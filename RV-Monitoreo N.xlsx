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systengservice-my.sharepoint.com/personal/jortegar_grupocoril_com/Documents/Andru/RV/"/>
    </mc:Choice>
  </mc:AlternateContent>
  <xr:revisionPtr revIDLastSave="83929" documentId="8_{71544D10-02E4-4E10-AD41-4EDCE56BA2D1}" xr6:coauthVersionLast="47" xr6:coauthVersionMax="47" xr10:uidLastSave="{DA29B21E-54CD-490E-A7E3-1B9F6C958CB9}"/>
  <bookViews>
    <workbookView xWindow="-108" yWindow="-108" windowWidth="23256" windowHeight="13896" activeTab="1" xr2:uid="{00000000-000D-0000-FFFF-FFFF00000000}"/>
  </bookViews>
  <sheets>
    <sheet name="Intro" sheetId="7" r:id="rId1"/>
    <sheet name="Portada RV" sheetId="8" r:id="rId2"/>
    <sheet name="P&amp;L Total" sheetId="6" r:id="rId3"/>
    <sheet name="Stock" sheetId="1" r:id="rId4"/>
    <sheet name="DATA" sheetId="11" r:id="rId5"/>
    <sheet name="BP" sheetId="10" r:id="rId6"/>
    <sheet name="Hoja1" sheetId="9" r:id="rId7"/>
    <sheet name="Compras" sheetId="2" r:id="rId8"/>
    <sheet name="Ventas" sheetId="3" r:id="rId9"/>
    <sheet name="Cerradas" sheetId="5" r:id="rId10"/>
    <sheet name="Dividendos" sheetId="4" r:id="rId11"/>
  </sheets>
  <definedNames>
    <definedName name="_C206">#REF!</definedName>
    <definedName name="_C207">#REF!</definedName>
    <definedName name="_xlnm._FilterDatabase" localSheetId="9" hidden="1">Cerradas!$A$1:$E$1</definedName>
    <definedName name="_xlnm._FilterDatabase" localSheetId="2" hidden="1">'P&amp;L Total'!$A$1:$L$46</definedName>
    <definedName name="_xlnm._FilterDatabase" localSheetId="3" hidden="1">Stock!$A$1:$O$42</definedName>
    <definedName name="a" localSheetId="1" hidden="1">{"'1999'!$A$1:$F$66"}</definedName>
    <definedName name="a" hidden="1">{"'1999'!$A$1:$F$66"}</definedName>
    <definedName name="aaaa" localSheetId="1" hidden="1">{"'1999'!$A$1:$F$66"}</definedName>
    <definedName name="aaaa" hidden="1">{"'1999'!$A$1:$F$66"}</definedName>
    <definedName name="aaaaaaaaa" localSheetId="1" hidden="1">{"'1999'!$A$1:$F$66"}</definedName>
    <definedName name="aaaaaaaaa" hidden="1">{"'1999'!$A$1:$F$66"}</definedName>
    <definedName name="ADGGHHNHG" localSheetId="1" hidden="1">{"'1999'!$A$1:$F$66"}</definedName>
    <definedName name="ADGGHHNHG" hidden="1">{"'1999'!$A$1:$F$66"}</definedName>
    <definedName name="afrwegteaytsgzd" localSheetId="1" hidden="1">{"'1999'!$A$1:$F$66"}</definedName>
    <definedName name="afrwegteaytsgzd" hidden="1">{"'1999'!$A$1:$F$66"}</definedName>
    <definedName name="aSA" localSheetId="1" hidden="1">{"'1999'!$A$1:$F$66"}</definedName>
    <definedName name="aSA" hidden="1">{"'1999'!$A$1:$F$66"}</definedName>
    <definedName name="asasffresghgrg" localSheetId="1" hidden="1">{"'1999'!$A$1:$F$66"}</definedName>
    <definedName name="asasffresghgrg" hidden="1">{"'1999'!$A$1:$F$66"}</definedName>
    <definedName name="asfwdsfazwQFDQewd" localSheetId="1" hidden="1">{"'1999'!$A$1:$F$66"}</definedName>
    <definedName name="asfwdsfazwQFDQewd" hidden="1">{"'1999'!$A$1:$F$66"}</definedName>
    <definedName name="asss" localSheetId="1" hidden="1">{"'1999'!$A$1:$F$66"}</definedName>
    <definedName name="asss" hidden="1">{"'1999'!$A$1:$F$66"}</definedName>
    <definedName name="Bases">#REF!</definedName>
    <definedName name="BXBVG" localSheetId="1" hidden="1">{"'1999'!$A$1:$F$66"}</definedName>
    <definedName name="BXBVG" hidden="1">{"'1999'!$A$1:$F$66"}</definedName>
    <definedName name="ccc" localSheetId="1" hidden="1">{"'1999'!$A$1:$F$66"}</definedName>
    <definedName name="ccc" hidden="1">{"'1999'!$A$1:$F$66"}</definedName>
    <definedName name="CFD" localSheetId="1" hidden="1">{"'1999'!$A$1:$F$66"}</definedName>
    <definedName name="CFD" hidden="1">{"'1999'!$A$1:$F$66"}</definedName>
    <definedName name="CIQWBGuid" hidden="1">"5c273574-26f0-48dc-a123-3ceef15322f1"</definedName>
    <definedName name="colene" localSheetId="1" hidden="1">{"'1999'!$A$1:$F$66"}</definedName>
    <definedName name="colene" hidden="1">{"'1999'!$A$1:$F$66"}</definedName>
    <definedName name="Cuadro" localSheetId="1" hidden="1">{"'1999'!$A$1:$F$66"}</definedName>
    <definedName name="Cuadro" hidden="1">{"'1999'!$A$1:$F$66"}</definedName>
    <definedName name="DatosCompras">#REF!</definedName>
    <definedName name="dd" localSheetId="1" hidden="1">{"'1999'!$A$1:$F$66"}</definedName>
    <definedName name="dd" hidden="1">{"'1999'!$A$1:$F$66"}</definedName>
    <definedName name="ddd" localSheetId="1" hidden="1">{"'1999'!$A$1:$F$66"}</definedName>
    <definedName name="ddd" hidden="1">{"'1999'!$A$1:$F$66"}</definedName>
    <definedName name="dddddddddddddd" localSheetId="1" hidden="1">{"'1999'!$A$1:$F$66"}</definedName>
    <definedName name="dddddddddddddd" hidden="1">{"'1999'!$A$1:$F$66"}</definedName>
    <definedName name="dddddddx" localSheetId="1" hidden="1">{"'1999'!$A$1:$F$66"}</definedName>
    <definedName name="dddddddx" hidden="1">{"'1999'!$A$1:$F$66"}</definedName>
    <definedName name="dddff" localSheetId="1" hidden="1">{"'1999'!$A$1:$F$66"}</definedName>
    <definedName name="dddff" hidden="1">{"'1999'!$A$1:$F$66"}</definedName>
    <definedName name="DF" localSheetId="1" hidden="1">{"'1999'!$A$1:$F$66"}</definedName>
    <definedName name="DF" hidden="1">{"'1999'!$A$1:$F$66"}</definedName>
    <definedName name="dfd" localSheetId="1" hidden="1">{"'1999'!$A$1:$F$66"}</definedName>
    <definedName name="dfd" hidden="1">{"'1999'!$A$1:$F$66"}</definedName>
    <definedName name="DFDF" localSheetId="1" hidden="1">{"'1999'!$A$1:$F$66"}</definedName>
    <definedName name="DFDF" hidden="1">{"'1999'!$A$1:$F$66"}</definedName>
    <definedName name="DFDFD" localSheetId="1" hidden="1">{"'1999'!$A$1:$F$66"}</definedName>
    <definedName name="DFDFD" hidden="1">{"'1999'!$A$1:$F$66"}</definedName>
    <definedName name="dfdfdfds" localSheetId="1" hidden="1">{"'1999'!$A$1:$F$66"}</definedName>
    <definedName name="dfdfdfds" hidden="1">{"'1999'!$A$1:$F$66"}</definedName>
    <definedName name="dfdff" localSheetId="1" hidden="1">{"'1999'!$A$1:$F$66"}</definedName>
    <definedName name="dfdff" hidden="1">{"'1999'!$A$1:$F$66"}</definedName>
    <definedName name="dfgfgfg" localSheetId="1" hidden="1">{"'1999'!$A$1:$F$66"}</definedName>
    <definedName name="dfgfgfg" hidden="1">{"'1999'!$A$1:$F$66"}</definedName>
    <definedName name="dfgghhh" localSheetId="1" hidden="1">{"'1999'!$A$1:$F$66"}</definedName>
    <definedName name="dfgghhh" hidden="1">{"'1999'!$A$1:$F$66"}</definedName>
    <definedName name="DFRFCVDD" localSheetId="1" hidden="1">{"'1999'!$A$1:$F$66"}</definedName>
    <definedName name="DFRFCVDD" hidden="1">{"'1999'!$A$1:$F$66"}</definedName>
    <definedName name="dfsd" localSheetId="1" hidden="1">{"'1999'!$A$1:$F$66"}</definedName>
    <definedName name="dfsd" hidden="1">{"'1999'!$A$1:$F$66"}</definedName>
    <definedName name="dsdfs" localSheetId="1" hidden="1">{"'1999'!$A$1:$F$66"}</definedName>
    <definedName name="dsdfs" hidden="1">{"'1999'!$A$1:$F$66"}</definedName>
    <definedName name="DSDS" localSheetId="1" hidden="1">{"'1999'!$A$1:$F$66"}</definedName>
    <definedName name="DSDS" hidden="1">{"'1999'!$A$1:$F$66"}</definedName>
    <definedName name="DSS" localSheetId="1" hidden="1">{"'1999'!$A$1:$F$66"}</definedName>
    <definedName name="DSS" hidden="1">{"'1999'!$A$1:$F$66"}</definedName>
    <definedName name="Durations">#REF!</definedName>
    <definedName name="ewde" localSheetId="1" hidden="1">{"'1999'!$A$1:$F$66"}</definedName>
    <definedName name="ewde" hidden="1">{"'1999'!$A$1:$F$66"}</definedName>
    <definedName name="fderg" localSheetId="1" hidden="1">{"'1999'!$A$1:$F$66"}</definedName>
    <definedName name="fderg" hidden="1">{"'1999'!$A$1:$F$66"}</definedName>
    <definedName name="fdfrvdvrf" localSheetId="1" hidden="1">{"'1999'!$A$1:$F$66"}</definedName>
    <definedName name="fdfrvdvrf" hidden="1">{"'1999'!$A$1:$F$66"}</definedName>
    <definedName name="fdgfg" localSheetId="1" hidden="1">{"'1999'!$A$1:$F$66"}</definedName>
    <definedName name="fdgfg" hidden="1">{"'1999'!$A$1:$F$66"}</definedName>
    <definedName name="fdv" localSheetId="1" hidden="1">{"'1999'!$A$1:$F$66"}</definedName>
    <definedName name="fdv" hidden="1">{"'1999'!$A$1:$F$66"}</definedName>
    <definedName name="Fecha">#REF!</definedName>
    <definedName name="fecha2">#REF!</definedName>
    <definedName name="ffffffffffffffffffffffffffffff" localSheetId="1" hidden="1">{"'1999'!$A$1:$F$66"}</definedName>
    <definedName name="ffffffffffffffffffffffffffffff" hidden="1">{"'1999'!$A$1:$F$66"}</definedName>
    <definedName name="ffgfg" localSheetId="1" hidden="1">{"'1999'!$A$1:$F$66"}</definedName>
    <definedName name="ffgfg" hidden="1">{"'1999'!$A$1:$F$66"}</definedName>
    <definedName name="fgbfcxhdtdf" localSheetId="1" hidden="1">{"'1999'!$A$1:$F$66"}</definedName>
    <definedName name="fgbfcxhdtdf" hidden="1">{"'1999'!$A$1:$F$66"}</definedName>
    <definedName name="FGDF" localSheetId="1" hidden="1">{"'1999'!$A$1:$F$66"}</definedName>
    <definedName name="FGDF" hidden="1">{"'1999'!$A$1:$F$66"}</definedName>
    <definedName name="fgdf1" localSheetId="1" hidden="1">{"'1999'!$A$1:$F$66"}</definedName>
    <definedName name="fgdf1" hidden="1">{"'1999'!$A$1:$F$66"}</definedName>
    <definedName name="fgf" localSheetId="1" hidden="1">{"'1999'!$A$1:$F$66"}</definedName>
    <definedName name="fgf" hidden="1">{"'1999'!$A$1:$F$66"}</definedName>
    <definedName name="fgtgtgf" localSheetId="1" hidden="1">{"'1999'!$A$1:$F$66"}</definedName>
    <definedName name="fgtgtgf" hidden="1">{"'1999'!$A$1:$F$66"}</definedName>
    <definedName name="Filtros">#REF!</definedName>
    <definedName name="fwf5rqgthraszgeht" localSheetId="1" hidden="1">{"'1999'!$A$1:$F$66"}</definedName>
    <definedName name="fwf5rqgthraszgeht" hidden="1">{"'1999'!$A$1:$F$66"}</definedName>
    <definedName name="gfd" localSheetId="1" hidden="1">{"'1999'!$A$1:$F$66"}</definedName>
    <definedName name="gfd" hidden="1">{"'1999'!$A$1:$F$66"}</definedName>
    <definedName name="gff" localSheetId="1" hidden="1">{"'1999'!$A$1:$F$66"}</definedName>
    <definedName name="gff" hidden="1">{"'1999'!$A$1:$F$66"}</definedName>
    <definedName name="gfhgfh" localSheetId="1" hidden="1">{"'1999'!$A$1:$F$66"}</definedName>
    <definedName name="gfhgfh" hidden="1">{"'1999'!$A$1:$F$66"}</definedName>
    <definedName name="ggg" localSheetId="1" hidden="1">{"'1999'!$A$1:$F$66"}</definedName>
    <definedName name="ggg" hidden="1">{"'1999'!$A$1:$F$66"}</definedName>
    <definedName name="ggggggggggggggggggggg" localSheetId="1" hidden="1">{"'1999'!$A$1:$F$66"}</definedName>
    <definedName name="ggggggggggggggggggggg" hidden="1">{"'1999'!$A$1:$F$66"}</definedName>
    <definedName name="ghgmzxdfd" localSheetId="1" hidden="1">{"'1999'!$A$1:$F$66"}</definedName>
    <definedName name="ghgmzxdfd" hidden="1">{"'1999'!$A$1:$F$66"}</definedName>
    <definedName name="ghyt" localSheetId="1" hidden="1">{"'1999'!$A$1:$F$66"}</definedName>
    <definedName name="ghyt" hidden="1">{"'1999'!$A$1:$F$66"}</definedName>
    <definedName name="hgddhff" localSheetId="1" hidden="1">{"'1999'!$A$1:$F$66"}</definedName>
    <definedName name="hgddhff" hidden="1">{"'1999'!$A$1:$F$66"}</definedName>
    <definedName name="hghgfdfr" localSheetId="1" hidden="1">{"'1999'!$A$1:$F$66"}</definedName>
    <definedName name="hghgfdfr" hidden="1">{"'1999'!$A$1:$F$66"}</definedName>
    <definedName name="hstegefsdss" localSheetId="1" hidden="1">{"'1999'!$A$1:$F$66"}</definedName>
    <definedName name="hstegefsdss" hidden="1">{"'1999'!$A$1:$F$66"}</definedName>
    <definedName name="HTML_CodePage" hidden="1">1252</definedName>
    <definedName name="HTML_Control" localSheetId="1" hidden="1">{"'1999'!$A$1:$F$66"}</definedName>
    <definedName name="HTML_Control" hidden="1">{"'1999'!$A$1:$F$66"}</definedName>
    <definedName name="html_CONTROL1" localSheetId="1" hidden="1">{"'1999'!$A$1:$F$66"}</definedName>
    <definedName name="html_CONTROL1" hidden="1">{"'1999'!$A$1:$F$66"}</definedName>
    <definedName name="HTML_Description" hidden="1">""</definedName>
    <definedName name="HTML_Email" hidden="1">"arriaran@conasevnet.gob.pe"</definedName>
    <definedName name="HTML_Header" hidden="1">""</definedName>
    <definedName name="HTML_LastUpdate" hidden="1">"31/01/2000"</definedName>
    <definedName name="HTML_LineAfter" hidden="1">FALSE</definedName>
    <definedName name="HTML_LineBefore" hidden="1">FALSE</definedName>
    <definedName name="HTML_Name" hidden="1">"Alejandro Arriarán (348)"</definedName>
    <definedName name="HTML_OBDlg2" hidden="1">TRUE</definedName>
    <definedName name="HTML_OBDlg4" hidden="1">TRUE</definedName>
    <definedName name="HTML_OS" hidden="1">0</definedName>
    <definedName name="HTML_PathFile" hidden="1">"E:\OfertaPublica\Inscritas\HTML.htm"</definedName>
    <definedName name="HTML_Title" hidden="1">"Ofertas99"</definedName>
    <definedName name="ihfsderffbh" localSheetId="1" hidden="1">{"'1999'!$A$1:$F$66"}</definedName>
    <definedName name="ihfsderffbh" hidden="1">{"'1999'!$A$1:$F$66"}</definedName>
    <definedName name="ihgffffdds" localSheetId="1" hidden="1">{"'1999'!$A$1:$F$66"}</definedName>
    <definedName name="ihgffffdds" hidden="1">{"'1999'!$A$1:$F$66"}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"12/22/2014 22:01:12"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jjjjjjtgggggggggggggg" localSheetId="1" hidden="1">{"'1999'!$A$1:$F$66"}</definedName>
    <definedName name="jjjjjjjtgggggggggggggg" hidden="1">{"'1999'!$A$1:$F$66"}</definedName>
    <definedName name="kjh" localSheetId="1" hidden="1">{"'1999'!$A$1:$F$66"}</definedName>
    <definedName name="kjh" hidden="1">{"'1999'!$A$1:$F$66"}</definedName>
    <definedName name="kjhgffffd" localSheetId="1" hidden="1">{"'1999'!$A$1:$F$66"}</definedName>
    <definedName name="kjhgffffd" hidden="1">{"'1999'!$A$1:$F$66"}</definedName>
    <definedName name="Nominales">#REF!</definedName>
    <definedName name="ñññ" localSheetId="1" hidden="1">{"'1999'!$A$1:$F$66"}</definedName>
    <definedName name="ñññ" hidden="1">{"'1999'!$A$1:$F$66"}</definedName>
    <definedName name="Pág1">#REF!</definedName>
    <definedName name="Pág2">#REF!</definedName>
    <definedName name="Portafolios">#REF!</definedName>
    <definedName name="rfdf" localSheetId="1" hidden="1">{"'1999'!$A$1:$F$66"}</definedName>
    <definedName name="rfdf" hidden="1">{"'1999'!$A$1:$F$66"}</definedName>
    <definedName name="rghds" localSheetId="1" hidden="1">{"'1999'!$A$1:$F$66"}</definedName>
    <definedName name="rghds" hidden="1">{"'1999'!$A$1:$F$66"}</definedName>
    <definedName name="rszeggbdzxvgb" localSheetId="1" hidden="1">{"'1999'!$A$1:$F$66"}</definedName>
    <definedName name="rszeggbdzxvgb" hidden="1">{"'1999'!$A$1:$F$66"}</definedName>
    <definedName name="sadvfgvfd" localSheetId="1" hidden="1">{"'1999'!$A$1:$F$66"}</definedName>
    <definedName name="sadvfgvfd" hidden="1">{"'1999'!$A$1:$F$66"}</definedName>
    <definedName name="sddff" localSheetId="1" hidden="1">{"'1999'!$A$1:$F$66"}</definedName>
    <definedName name="sddff" hidden="1">{"'1999'!$A$1:$F$66"}</definedName>
    <definedName name="sdf" localSheetId="1" hidden="1">{"'1999'!$A$1:$F$66"}</definedName>
    <definedName name="sdf" hidden="1">{"'1999'!$A$1:$F$66"}</definedName>
    <definedName name="SDFDFD" localSheetId="1" hidden="1">{"'1999'!$A$1:$F$66"}</definedName>
    <definedName name="SDFDFD" hidden="1">{"'1999'!$A$1:$F$66"}</definedName>
    <definedName name="sdfdfxf" localSheetId="1" hidden="1">{"'1999'!$A$1:$F$66"}</definedName>
    <definedName name="sdfdfxf" hidden="1">{"'1999'!$A$1:$F$66"}</definedName>
    <definedName name="sdfdsf" localSheetId="1" hidden="1">{"'1999'!$A$1:$F$66"}</definedName>
    <definedName name="sdfdsf" hidden="1">{"'1999'!$A$1:$F$66"}</definedName>
    <definedName name="sdfsdf" localSheetId="1" hidden="1">{"'1999'!$A$1:$F$66"}</definedName>
    <definedName name="sdfsdf" hidden="1">{"'1999'!$A$1:$F$66"}</definedName>
    <definedName name="sds" localSheetId="1" hidden="1">{"'1999'!$A$1:$F$66"}</definedName>
    <definedName name="sds" hidden="1">{"'1999'!$A$1:$F$66"}</definedName>
    <definedName name="sdsd" localSheetId="1" hidden="1">{"'1999'!$A$1:$F$66"}</definedName>
    <definedName name="sdsd" hidden="1">{"'1999'!$A$1:$F$66"}</definedName>
    <definedName name="ssss" localSheetId="1" hidden="1">{"'1999'!$A$1:$F$66"}</definedName>
    <definedName name="ssss" hidden="1">{"'1999'!$A$1:$F$66"}</definedName>
    <definedName name="vfdsghbgzsbczvxv" localSheetId="1" hidden="1">{"'1999'!$A$1:$F$66"}</definedName>
    <definedName name="vfdsghbgzsbczvxv" hidden="1">{"'1999'!$A$1:$F$66"}</definedName>
    <definedName name="w" localSheetId="1" hidden="1">{"'1999'!$A$1:$F$66"}</definedName>
    <definedName name="w" hidden="1">{"'1999'!$A$1:$F$66"}</definedName>
    <definedName name="wefd" localSheetId="1" hidden="1">{"'1999'!$A$1:$F$66"}</definedName>
    <definedName name="wefd" hidden="1">{"'1999'!$A$1:$F$66"}</definedName>
    <definedName name="WWWW" localSheetId="1" hidden="1">{"'1999'!$A$1:$F$66"}</definedName>
    <definedName name="WWWW" hidden="1">{"'1999'!$A$1:$F$66"}</definedName>
    <definedName name="XDFSDFDF" localSheetId="1" hidden="1">{"'1999'!$A$1:$F$66"}</definedName>
    <definedName name="XDFSDFDF" hidden="1">{"'1999'!$A$1:$F$66"}</definedName>
    <definedName name="xsdc" localSheetId="1" hidden="1">{"'1999'!$A$1:$F$66"}</definedName>
    <definedName name="xsdc" hidden="1">{"'1999'!$A$1:$F$66"}</definedName>
    <definedName name="yyty" localSheetId="1" hidden="1">{"'1999'!$A$1:$F$66"}</definedName>
    <definedName name="yyty" hidden="1">{"'1999'!$A$1:$F$66"}</definedName>
    <definedName name="zxsddd" localSheetId="1" hidden="1">{"'1999'!$A$1:$F$66"}</definedName>
    <definedName name="zxsddd" hidden="1">{"'1999'!$A$1:$F$66"}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6" l="1"/>
  <c r="F58" i="6"/>
  <c r="C58" i="6"/>
  <c r="B58" i="6"/>
  <c r="D58" i="6" a="1"/>
  <c r="I49" i="1" a="1"/>
  <c r="D58" i="6" l="1"/>
  <c r="J58" i="6" s="1"/>
  <c r="I49" i="1"/>
  <c r="O49" i="1" a="1"/>
  <c r="O49" i="1" l="1"/>
  <c r="D49" i="1" a="1"/>
  <c r="D49" i="1"/>
  <c r="B49" i="1" a="1"/>
  <c r="B49" i="1"/>
  <c r="H49" i="1" a="1"/>
  <c r="H49" i="1"/>
  <c r="G49" i="1" a="1"/>
  <c r="G49" i="1" s="1"/>
  <c r="F49" i="1"/>
  <c r="J49" i="1" s="1"/>
  <c r="C49" i="1"/>
  <c r="N149" i="2"/>
  <c r="L149" i="2"/>
  <c r="I149" i="2"/>
  <c r="A149" i="2" s="1"/>
  <c r="G149" i="2"/>
  <c r="J48" i="3"/>
  <c r="D48" i="3"/>
  <c r="N153" i="2"/>
  <c r="L153" i="2"/>
  <c r="I153" i="2"/>
  <c r="A153" i="2" s="1"/>
  <c r="G153" i="2"/>
  <c r="E49" i="1"/>
  <c r="F149" i="2" a="1"/>
  <c r="H149" i="2"/>
  <c r="H153" i="2"/>
  <c r="F153" i="2" a="1"/>
  <c r="F100" i="2" a="1"/>
  <c r="L49" i="1" l="1"/>
  <c r="F149" i="2"/>
  <c r="F153" i="2"/>
  <c r="F100" i="2"/>
  <c r="F103" i="2" a="1"/>
  <c r="N49" i="1" l="1"/>
  <c r="K49" i="1"/>
  <c r="M49" i="1" s="1"/>
  <c r="F103" i="2"/>
  <c r="H100" i="2"/>
  <c r="H103" i="2"/>
  <c r="H99" i="2"/>
  <c r="F99" i="2" a="1"/>
  <c r="F99" i="2"/>
  <c r="F102" i="2" a="1"/>
  <c r="F102" i="2"/>
  <c r="F98" i="2" a="1"/>
  <c r="F98" i="2"/>
  <c r="H101" i="2"/>
  <c r="H97" i="2"/>
  <c r="F101" i="2" a="1"/>
  <c r="F101" i="2"/>
  <c r="F97" i="2" a="1"/>
  <c r="F97" i="2"/>
  <c r="H102" i="2"/>
  <c r="H98" i="2"/>
  <c r="F96" i="2" a="1"/>
  <c r="F96" i="2"/>
  <c r="H96" i="2"/>
  <c r="AE95" i="10" a="1"/>
  <c r="AE122" i="10" a="1"/>
  <c r="AE53" i="10" a="1"/>
  <c r="AE88" i="10" a="1"/>
  <c r="AE86" i="10" a="1"/>
  <c r="AE24" i="10" a="1"/>
  <c r="AE70" i="10" a="1"/>
  <c r="AE41" i="10" a="1"/>
  <c r="AE179" i="10" a="1"/>
  <c r="AE71" i="10" a="1"/>
  <c r="AE191" i="10" a="1"/>
  <c r="AE103" i="10" a="1"/>
  <c r="AE23" i="10" a="1"/>
  <c r="AE46" i="10" a="1"/>
  <c r="AE134" i="10" a="1"/>
  <c r="AE107" i="10" a="1"/>
  <c r="AE61" i="10" a="1"/>
  <c r="AE171" i="10" a="1"/>
  <c r="AE123" i="10" a="1"/>
  <c r="AE117" i="10" a="1"/>
  <c r="AE173" i="10" a="1"/>
  <c r="AE21" i="10" a="1"/>
  <c r="AE33" i="10" a="1"/>
  <c r="AE139" i="10" a="1"/>
  <c r="AE60" i="10" a="1"/>
  <c r="AE118" i="10" a="1"/>
  <c r="AE85" i="10" a="1"/>
  <c r="AE93" i="10" a="1"/>
  <c r="AE136" i="10" a="1"/>
  <c r="AE17" i="10" a="1"/>
  <c r="AE145" i="10" a="1"/>
  <c r="AE114" i="10" a="1"/>
  <c r="AE130" i="10" a="1"/>
  <c r="AE40" i="10" a="1"/>
  <c r="AE175" i="10" a="1"/>
  <c r="AE8" i="10" a="1"/>
  <c r="AE69" i="10" a="1"/>
  <c r="AE104" i="10" a="1"/>
  <c r="AE170" i="10" a="1"/>
  <c r="AE34" i="10" a="1"/>
  <c r="AE143" i="10" a="1"/>
  <c r="AE180" i="10" a="1"/>
  <c r="AE28" i="10" a="1"/>
  <c r="AE144" i="10" a="1"/>
  <c r="AE119" i="10" a="1"/>
  <c r="AE155" i="10" a="1"/>
  <c r="AE112" i="10" a="1"/>
  <c r="AE128" i="10" a="1"/>
  <c r="AE91" i="10" a="1"/>
  <c r="AE166" i="10" a="1"/>
  <c r="AE65" i="10" a="1"/>
  <c r="AE9" i="10" a="1"/>
  <c r="AE102" i="10" a="1"/>
  <c r="AE32" i="10" a="1"/>
  <c r="AE116" i="10" a="1"/>
  <c r="AE78" i="10" a="1"/>
  <c r="AE29" i="10" a="1"/>
  <c r="AE82" i="10" a="1"/>
  <c r="AE174" i="10" a="1"/>
  <c r="AE172" i="10" a="1"/>
  <c r="AE190" i="10" a="1"/>
  <c r="AE14" i="10" a="1"/>
  <c r="AE19" i="10" a="1"/>
  <c r="AE131" i="10" a="1"/>
  <c r="AE100" i="10" a="1"/>
  <c r="AE169" i="10" a="1"/>
  <c r="AE111" i="10" a="1"/>
  <c r="AE4" i="10" a="1"/>
  <c r="AE74" i="10" a="1"/>
  <c r="AE54" i="10" a="1"/>
  <c r="AE133" i="10" a="1"/>
  <c r="AE20" i="10" a="1"/>
  <c r="AE187" i="10" a="1"/>
  <c r="AE163" i="10" a="1"/>
  <c r="AE57" i="10" a="1"/>
  <c r="AE113" i="10" a="1"/>
  <c r="AE84" i="10" a="1"/>
  <c r="AE62" i="10" a="1"/>
  <c r="AE47" i="10" a="1"/>
  <c r="AE7" i="10" a="1"/>
  <c r="AE38" i="10" a="1"/>
  <c r="AE79" i="10" a="1"/>
  <c r="AE135" i="10" a="1"/>
  <c r="AE81" i="10" a="1"/>
  <c r="AE48" i="10" a="1"/>
  <c r="AE50" i="10" a="1"/>
  <c r="AE182" i="10" a="1"/>
  <c r="AE97" i="10" a="1"/>
  <c r="AE108" i="10" a="1"/>
  <c r="AE45" i="10" a="1"/>
  <c r="AE51" i="10" a="1"/>
  <c r="AE27" i="10" a="1"/>
  <c r="AE159" i="10" a="1"/>
  <c r="AE167" i="10" a="1"/>
  <c r="AE178" i="10" a="1"/>
  <c r="AE184" i="10" a="1"/>
  <c r="AE72" i="10" a="1"/>
  <c r="AE185" i="10" a="1"/>
  <c r="AE44" i="10" a="1"/>
  <c r="AE152" i="10" a="1"/>
  <c r="AE58" i="10" a="1"/>
  <c r="AE115" i="10" a="1"/>
  <c r="AE83" i="10" a="1"/>
  <c r="AE43" i="10" a="1"/>
  <c r="AE189" i="10" a="1"/>
  <c r="AE150" i="10" a="1"/>
  <c r="AE126" i="10" a="1"/>
  <c r="AE125" i="10" a="1"/>
  <c r="AE106" i="10" a="1"/>
  <c r="AE153" i="10" a="1"/>
  <c r="AE18" i="10" a="1"/>
  <c r="AE96" i="10" a="1"/>
  <c r="AE52" i="10" a="1"/>
  <c r="AE162" i="10" a="1"/>
  <c r="AE161" i="10" a="1"/>
  <c r="AE110" i="10" a="1"/>
  <c r="AE22" i="10" a="1"/>
  <c r="AE64" i="10" a="1"/>
  <c r="AE140" i="10" a="1"/>
  <c r="AE154" i="10" a="1"/>
  <c r="AE98" i="10" a="1"/>
  <c r="AE73" i="10" a="1"/>
  <c r="AE193" i="10" a="1"/>
  <c r="AE165" i="10" a="1"/>
  <c r="AE25" i="10" a="1"/>
  <c r="AE77" i="10" a="1"/>
  <c r="AE12" i="10" a="1"/>
  <c r="AE132" i="10" a="1"/>
  <c r="AE36" i="10" a="1"/>
  <c r="AE94" i="10" a="1"/>
  <c r="AE63" i="10" a="1"/>
  <c r="AE148" i="10" a="1"/>
  <c r="AE11" i="10" a="1"/>
  <c r="AE76" i="10" a="1"/>
  <c r="AE39" i="10" a="1"/>
  <c r="AE89" i="10" a="1"/>
  <c r="AE124" i="10" a="1"/>
  <c r="AE66" i="10" a="1"/>
  <c r="AE87" i="10" a="1"/>
  <c r="AE157" i="10" a="1"/>
  <c r="AE129" i="10" a="1"/>
  <c r="AE16" i="10" a="1"/>
  <c r="AE138" i="10" a="1"/>
  <c r="AE142" i="10" a="1"/>
  <c r="AE59" i="10" a="1"/>
  <c r="AE168" i="10" a="1"/>
  <c r="AE192" i="10" a="1"/>
  <c r="AE35" i="10" a="1"/>
  <c r="AE13" i="10" a="1"/>
  <c r="AE151" i="10" a="1"/>
  <c r="AE30" i="10" a="1"/>
  <c r="AE26" i="10" a="1"/>
  <c r="AE49" i="10" a="1"/>
  <c r="AE15" i="10" a="1"/>
  <c r="AE67" i="10" a="1"/>
  <c r="AE68" i="10" a="1"/>
  <c r="AE156" i="10" a="1"/>
  <c r="AE109" i="10" a="1"/>
  <c r="AE147" i="10" a="1"/>
  <c r="AE183" i="10" a="1"/>
  <c r="AE75" i="10" a="1"/>
  <c r="AE42" i="10" a="1"/>
  <c r="AE176" i="10" a="1"/>
  <c r="AE92" i="10" a="1"/>
  <c r="AE120" i="10" a="1"/>
  <c r="AE31" i="10" a="1"/>
  <c r="AE146" i="10" a="1"/>
  <c r="AE181" i="10" a="1"/>
  <c r="AE55" i="10" a="1"/>
  <c r="AE56" i="10" a="1"/>
  <c r="AE177" i="10" a="1"/>
  <c r="AE164" i="10" a="1"/>
  <c r="AE90" i="10" a="1"/>
  <c r="AE80" i="10" a="1"/>
  <c r="AE141" i="10" a="1"/>
  <c r="AE37" i="10" a="1"/>
  <c r="AE101" i="10" a="1"/>
  <c r="AE137" i="10" a="1"/>
  <c r="AE105" i="10" a="1"/>
  <c r="AE188" i="10" a="1"/>
  <c r="AE127" i="10" a="1"/>
  <c r="AE158" i="10" a="1"/>
  <c r="AE10" i="10" a="1"/>
  <c r="AE6" i="10" a="1"/>
  <c r="AE186" i="10" a="1"/>
  <c r="AE99" i="10" a="1"/>
  <c r="AE149" i="10" a="1"/>
  <c r="AE121" i="10" a="1"/>
  <c r="AE5" i="10" a="1"/>
  <c r="AE160" i="10" a="1"/>
  <c r="AE3" i="10" a="1"/>
  <c r="D191" i="10" a="1"/>
  <c r="AN191" i="10" a="1"/>
  <c r="F193" i="10" a="1"/>
  <c r="AT192" i="10" a="1"/>
  <c r="AB191" i="10" a="1"/>
  <c r="M191" i="10" a="1"/>
  <c r="W191" i="10" a="1"/>
  <c r="AP192" i="10" a="1"/>
  <c r="C191" i="10" a="1"/>
  <c r="I193" i="10" a="1"/>
  <c r="AV193" i="10" a="1"/>
  <c r="AI193" i="10" a="1"/>
  <c r="V191" i="10" a="1"/>
  <c r="J191" i="10" a="1"/>
  <c r="AC191" i="10" a="1"/>
  <c r="Q193" i="10" a="1"/>
  <c r="Z191" i="10" a="1"/>
  <c r="Z193" i="10" a="1"/>
  <c r="AR192" i="10" a="1"/>
  <c r="F192" i="10" a="1"/>
  <c r="AD192" i="10" a="1"/>
  <c r="AO193" i="10" a="1"/>
  <c r="L193" i="10" a="1"/>
  <c r="G192" i="10" a="1"/>
  <c r="AG192" i="10" a="1"/>
  <c r="N193" i="10" a="1"/>
  <c r="AC192" i="10" a="1"/>
  <c r="Z192" i="10" a="1"/>
  <c r="AJ193" i="10" a="1"/>
  <c r="Y193" i="10" a="1"/>
  <c r="AT193" i="10" a="1"/>
  <c r="N192" i="10" a="1"/>
  <c r="O192" i="10" a="1"/>
  <c r="H193" i="10" a="1"/>
  <c r="AC193" i="10" a="1"/>
  <c r="T193" i="10" a="1"/>
  <c r="Q192" i="10" a="1"/>
  <c r="S191" i="10" a="1"/>
  <c r="AD191" i="10" a="1"/>
  <c r="AK191" i="10" a="1"/>
  <c r="G193" i="10" a="1"/>
  <c r="R191" i="10" a="1"/>
  <c r="AL193" i="10" a="1"/>
  <c r="F191" i="10" a="1"/>
  <c r="AO191" i="10" a="1"/>
  <c r="AJ192" i="10" a="1"/>
  <c r="H192" i="10" a="1"/>
  <c r="AI192" i="10" a="1"/>
  <c r="W193" i="10" a="1"/>
  <c r="X192" i="10" a="1"/>
  <c r="AD193" i="10" a="1"/>
  <c r="M193" i="10" a="1"/>
  <c r="AK192" i="10" a="1"/>
  <c r="V192" i="10" a="1"/>
  <c r="I192" i="10" a="1"/>
  <c r="AN193" i="10" a="1"/>
  <c r="AR193" i="10" a="1"/>
  <c r="AU191" i="10" a="1"/>
  <c r="U193" i="10" a="1"/>
  <c r="J192" i="10" a="1"/>
  <c r="AG193" i="10" a="1"/>
  <c r="I191" i="10" a="1"/>
  <c r="AQ193" i="10" a="1"/>
  <c r="AA193" i="10" a="1"/>
  <c r="AH193" i="10" a="1"/>
  <c r="T192" i="10" a="1"/>
  <c r="E192" i="10" a="1"/>
  <c r="Q191" i="10" a="1"/>
  <c r="Y191" i="10" a="1"/>
  <c r="T191" i="10" a="1"/>
  <c r="AU192" i="10" a="1"/>
  <c r="AP191" i="10" a="1"/>
  <c r="AM191" i="10" a="1"/>
  <c r="AF191" i="10" a="1"/>
  <c r="L191" i="10" a="1"/>
  <c r="AM192" i="10" a="1"/>
  <c r="R192" i="10" a="1"/>
  <c r="O191" i="10" a="1"/>
  <c r="AP193" i="10" a="1"/>
  <c r="AW192" i="10" a="1"/>
  <c r="AA192" i="10" a="1"/>
  <c r="AQ191" i="10" a="1"/>
  <c r="O193" i="10" a="1"/>
  <c r="R193" i="10" a="1"/>
  <c r="P193" i="10" a="1"/>
  <c r="AU193" i="10" a="1"/>
  <c r="AT191" i="10" a="1"/>
  <c r="E193" i="10" a="1"/>
  <c r="AS193" i="10" a="1"/>
  <c r="N191" i="10" a="1"/>
  <c r="AB192" i="10" a="1"/>
  <c r="AW191" i="10" a="1"/>
  <c r="H191" i="10" a="1"/>
  <c r="D192" i="10" a="1"/>
  <c r="K192" i="10" a="1"/>
  <c r="AN192" i="10" a="1"/>
  <c r="AS192" i="10" a="1"/>
  <c r="P192" i="10" a="1"/>
  <c r="AW193" i="10" a="1"/>
  <c r="AF193" i="10" a="1"/>
  <c r="AO192" i="10" a="1"/>
  <c r="G191" i="10" a="1"/>
  <c r="AK193" i="10" a="1"/>
  <c r="AQ192" i="10" a="1"/>
  <c r="X191" i="10" a="1"/>
  <c r="K193" i="10" a="1"/>
  <c r="AS191" i="10" a="1"/>
  <c r="AV191" i="10" a="1"/>
  <c r="M192" i="10" a="1"/>
  <c r="C193" i="10" a="1"/>
  <c r="AF192" i="10" a="1"/>
  <c r="AJ191" i="10" a="1"/>
  <c r="AB193" i="10" a="1"/>
  <c r="AA191" i="10" a="1"/>
  <c r="P191" i="10" a="1"/>
  <c r="S192" i="10" a="1"/>
  <c r="AV192" i="10" a="1"/>
  <c r="J193" i="10" a="1"/>
  <c r="U191" i="10" a="1"/>
  <c r="AH192" i="10" a="1"/>
  <c r="X193" i="10" a="1"/>
  <c r="AL191" i="10" a="1"/>
  <c r="S193" i="10" a="1"/>
  <c r="AR191" i="10" a="1"/>
  <c r="V193" i="10" a="1"/>
  <c r="W192" i="10" a="1"/>
  <c r="U192" i="10" a="1"/>
  <c r="AG191" i="10" a="1"/>
  <c r="Y192" i="10" a="1"/>
  <c r="AI191" i="10" a="1"/>
  <c r="D193" i="10" a="1"/>
  <c r="C192" i="10" a="1"/>
  <c r="AL192" i="10" a="1"/>
  <c r="L192" i="10" a="1"/>
  <c r="E191" i="10" a="1"/>
  <c r="AH191" i="10" a="1"/>
  <c r="AM193" i="10" a="1"/>
  <c r="K191" i="10" a="1"/>
  <c r="Q190" i="10" a="1"/>
  <c r="Y188" i="10" a="1"/>
  <c r="V189" i="10" a="1"/>
  <c r="K189" i="10" a="1"/>
  <c r="AT189" i="10" a="1"/>
  <c r="AF190" i="10" a="1"/>
  <c r="J190" i="10" a="1"/>
  <c r="AU189" i="10" a="1"/>
  <c r="AS190" i="10" a="1"/>
  <c r="P189" i="10" a="1"/>
  <c r="AQ188" i="10" a="1"/>
  <c r="AD189" i="10" a="1"/>
  <c r="S189" i="10" a="1"/>
  <c r="P188" i="10" a="1"/>
  <c r="AW190" i="10" a="1"/>
  <c r="AV188" i="10" a="1"/>
  <c r="AV189" i="10" a="1"/>
  <c r="AP190" i="10" a="1"/>
  <c r="M190" i="10" a="1"/>
  <c r="T190" i="10" a="1"/>
  <c r="G190" i="10" a="1"/>
  <c r="D188" i="10" a="1"/>
  <c r="AQ190" i="10" a="1"/>
  <c r="V190" i="10" a="1"/>
  <c r="AC188" i="10" a="1"/>
  <c r="H188" i="10" a="1"/>
  <c r="AM189" i="10" a="1"/>
  <c r="S188" i="10" a="1"/>
  <c r="AT190" i="10" a="1"/>
  <c r="AN188" i="10" a="1"/>
  <c r="AJ190" i="10" a="1"/>
  <c r="V188" i="10" a="1"/>
  <c r="AC189" i="10" a="1"/>
  <c r="AF189" i="10" a="1"/>
  <c r="AJ189" i="10" a="1"/>
  <c r="AU188" i="10" a="1"/>
  <c r="AM190" i="10" a="1"/>
  <c r="Y190" i="10" a="1"/>
  <c r="AP189" i="10" a="1"/>
  <c r="AS188" i="10" a="1"/>
  <c r="Z190" i="10" a="1"/>
  <c r="W188" i="10" a="1"/>
  <c r="R189" i="10" a="1"/>
  <c r="F190" i="10" a="1"/>
  <c r="C190" i="10" a="1"/>
  <c r="X190" i="10" a="1"/>
  <c r="AO189" i="10" a="1"/>
  <c r="AQ189" i="10" a="1"/>
  <c r="L189" i="10" a="1"/>
  <c r="F188" i="10" a="1"/>
  <c r="AP188" i="10" a="1"/>
  <c r="K188" i="10" a="1"/>
  <c r="AI188" i="10" a="1"/>
  <c r="AL189" i="10" a="1"/>
  <c r="AU190" i="10" a="1"/>
  <c r="W189" i="10" a="1"/>
  <c r="AR190" i="10" a="1"/>
  <c r="R190" i="10" a="1"/>
  <c r="Z188" i="10" a="1"/>
  <c r="Q188" i="10" a="1"/>
  <c r="AT188" i="10" a="1"/>
  <c r="Y189" i="10" a="1"/>
  <c r="T188" i="10" a="1"/>
  <c r="W190" i="10" a="1"/>
  <c r="L190" i="10" a="1"/>
  <c r="J188" i="10" a="1"/>
  <c r="AJ188" i="10" a="1"/>
  <c r="AF188" i="10" a="1"/>
  <c r="X188" i="10" a="1"/>
  <c r="AB190" i="10" a="1"/>
  <c r="T189" i="10" a="1"/>
  <c r="L188" i="10" a="1"/>
  <c r="AA188" i="10" a="1"/>
  <c r="C189" i="10" a="1"/>
  <c r="D189" i="10" a="1"/>
  <c r="AW189" i="10" a="1"/>
  <c r="AD188" i="10" a="1"/>
  <c r="O189" i="10" a="1"/>
  <c r="D190" i="10" a="1"/>
  <c r="AV190" i="10" a="1"/>
  <c r="P190" i="10" a="1"/>
  <c r="AH189" i="10" a="1"/>
  <c r="AH188" i="10" a="1"/>
  <c r="N188" i="10" a="1"/>
  <c r="AD190" i="10" a="1"/>
  <c r="AW188" i="10" a="1"/>
  <c r="N189" i="10" a="1"/>
  <c r="AO190" i="10" a="1"/>
  <c r="Z189" i="10" a="1"/>
  <c r="AO188" i="10" a="1"/>
  <c r="G189" i="10" a="1"/>
  <c r="E189" i="10" a="1"/>
  <c r="AB189" i="10" a="1"/>
  <c r="AA190" i="10" a="1"/>
  <c r="J189" i="10" a="1"/>
  <c r="AC190" i="10" a="1"/>
  <c r="I190" i="10" a="1"/>
  <c r="U189" i="10" a="1"/>
  <c r="M188" i="10" a="1"/>
  <c r="G188" i="10" a="1"/>
  <c r="E188" i="10" a="1"/>
  <c r="AK189" i="10" a="1"/>
  <c r="AA189" i="10" a="1"/>
  <c r="N190" i="10" a="1"/>
  <c r="AR189" i="10" a="1"/>
  <c r="Q189" i="10" a="1"/>
  <c r="AN189" i="10" a="1"/>
  <c r="AS189" i="10" a="1"/>
  <c r="AI189" i="10" a="1"/>
  <c r="O190" i="10" a="1"/>
  <c r="AG188" i="10" a="1"/>
  <c r="M189" i="10" a="1"/>
  <c r="AG190" i="10" a="1"/>
  <c r="AL188" i="10" a="1"/>
  <c r="AL190" i="10" a="1"/>
  <c r="AG189" i="10" a="1"/>
  <c r="AH190" i="10" a="1"/>
  <c r="U190" i="10" a="1"/>
  <c r="K190" i="10" a="1"/>
  <c r="E190" i="10" a="1"/>
  <c r="AM188" i="10" a="1"/>
  <c r="H189" i="10" a="1"/>
  <c r="R188" i="10" a="1"/>
  <c r="AB188" i="10" a="1"/>
  <c r="AK190" i="10" a="1"/>
  <c r="F189" i="10" a="1"/>
  <c r="AI190" i="10" a="1"/>
  <c r="O188" i="10" a="1"/>
  <c r="U188" i="10" a="1"/>
  <c r="S190" i="10" a="1"/>
  <c r="AK188" i="10" a="1"/>
  <c r="I189" i="10" a="1"/>
  <c r="AN190" i="10" a="1"/>
  <c r="H190" i="10" a="1"/>
  <c r="I188" i="10" a="1"/>
  <c r="X189" i="10" a="1"/>
  <c r="C188" i="10" a="1"/>
  <c r="AR188" i="10" a="1"/>
  <c r="AN183" i="10" a="1"/>
  <c r="AI186" i="10" a="1"/>
  <c r="AM187" i="10" a="1"/>
  <c r="Q187" i="10" a="1"/>
  <c r="E184" i="10" a="1"/>
  <c r="AC183" i="10" a="1"/>
  <c r="J186" i="10" a="1"/>
  <c r="AO187" i="10" a="1"/>
  <c r="AB187" i="10" a="1"/>
  <c r="AG184" i="10" a="1"/>
  <c r="U184" i="10" a="1"/>
  <c r="C183" i="10" a="1"/>
  <c r="M183" i="10" a="1"/>
  <c r="AN185" i="10" a="1"/>
  <c r="AH184" i="10" a="1"/>
  <c r="AT184" i="10" a="1"/>
  <c r="AF185" i="10" a="1"/>
  <c r="H185" i="10" a="1"/>
  <c r="X183" i="10" a="1"/>
  <c r="D186" i="10" a="1"/>
  <c r="AS184" i="10" a="1"/>
  <c r="AU187" i="10" a="1"/>
  <c r="J185" i="10" a="1"/>
  <c r="S186" i="10" a="1"/>
  <c r="AP187" i="10" a="1"/>
  <c r="F184" i="10" a="1"/>
  <c r="P186" i="10" a="1"/>
  <c r="AH186" i="10" a="1"/>
  <c r="G184" i="10" a="1"/>
  <c r="AA186" i="10" a="1"/>
  <c r="D184" i="10" a="1"/>
  <c r="AA184" i="10" a="1"/>
  <c r="AS187" i="10" a="1"/>
  <c r="D187" i="10" a="1"/>
  <c r="D183" i="10" a="1"/>
  <c r="S183" i="10" a="1"/>
  <c r="D185" i="10" a="1"/>
  <c r="AL184" i="10" a="1"/>
  <c r="J187" i="10" a="1"/>
  <c r="AR186" i="10" a="1"/>
  <c r="AD183" i="10" a="1"/>
  <c r="Z184" i="10" a="1"/>
  <c r="AV183" i="10" a="1"/>
  <c r="W184" i="10" a="1"/>
  <c r="G187" i="10" a="1"/>
  <c r="AF184" i="10" a="1"/>
  <c r="N183" i="10" a="1"/>
  <c r="Y183" i="10" a="1"/>
  <c r="R186" i="10" a="1"/>
  <c r="AT185" i="10" a="1"/>
  <c r="N186" i="10" a="1"/>
  <c r="AW183" i="10" a="1"/>
  <c r="G183" i="10" a="1"/>
  <c r="AN187" i="10" a="1"/>
  <c r="AJ185" i="10" a="1"/>
  <c r="K184" i="10" a="1"/>
  <c r="E186" i="10" a="1"/>
  <c r="I185" i="10" a="1"/>
  <c r="G186" i="10" a="1"/>
  <c r="K185" i="10" a="1"/>
  <c r="AN186" i="10" a="1"/>
  <c r="S184" i="10" a="1"/>
  <c r="Q185" i="10" a="1"/>
  <c r="C184" i="10" a="1"/>
  <c r="Q186" i="10" a="1"/>
  <c r="U186" i="10" a="1"/>
  <c r="AI185" i="10" a="1"/>
  <c r="T184" i="10" a="1"/>
  <c r="L187" i="10" a="1"/>
  <c r="AB186" i="10" a="1"/>
  <c r="AA185" i="10" a="1"/>
  <c r="W187" i="10" a="1"/>
  <c r="AU183" i="10" a="1"/>
  <c r="Z187" i="10" a="1"/>
  <c r="AO186" i="10" a="1"/>
  <c r="X187" i="10" a="1"/>
  <c r="AK187" i="10" a="1"/>
  <c r="C185" i="10" a="1"/>
  <c r="T183" i="10" a="1"/>
  <c r="H183" i="10" a="1"/>
  <c r="W186" i="10" a="1"/>
  <c r="AH185" i="10" a="1"/>
  <c r="X186" i="10" a="1"/>
  <c r="AK185" i="10" a="1"/>
  <c r="R187" i="10" a="1"/>
  <c r="W183" i="10" a="1"/>
  <c r="K187" i="10" a="1"/>
  <c r="C186" i="10" a="1"/>
  <c r="F186" i="10" a="1"/>
  <c r="E183" i="10" a="1"/>
  <c r="U185" i="10" a="1"/>
  <c r="AB183" i="10" a="1"/>
  <c r="AL187" i="10" a="1"/>
  <c r="O184" i="10" a="1"/>
  <c r="AQ187" i="10" a="1"/>
  <c r="AM184" i="10" a="1"/>
  <c r="AS186" i="10" a="1"/>
  <c r="R183" i="10" a="1"/>
  <c r="AM185" i="10" a="1"/>
  <c r="Z186" i="10" a="1"/>
  <c r="AW187" i="10" a="1"/>
  <c r="AP185" i="10" a="1"/>
  <c r="AQ185" i="10" a="1"/>
  <c r="AP186" i="10" a="1"/>
  <c r="F187" i="10" a="1"/>
  <c r="AK186" i="10" a="1"/>
  <c r="AV186" i="10" a="1"/>
  <c r="AL183" i="10" a="1"/>
  <c r="AC186" i="10" a="1"/>
  <c r="AR185" i="10" a="1"/>
  <c r="AM186" i="10" a="1"/>
  <c r="AR184" i="10" a="1"/>
  <c r="AM183" i="10" a="1"/>
  <c r="AG185" i="10" a="1"/>
  <c r="AD185" i="10" a="1"/>
  <c r="Y184" i="10" a="1"/>
  <c r="X184" i="10" a="1"/>
  <c r="W185" i="10" a="1"/>
  <c r="M185" i="10" a="1"/>
  <c r="T185" i="10" a="1"/>
  <c r="H186" i="10" a="1"/>
  <c r="AA183" i="10" a="1"/>
  <c r="AV184" i="10" a="1"/>
  <c r="AQ184" i="10" a="1"/>
  <c r="S185" i="10" a="1"/>
  <c r="X185" i="10" a="1"/>
  <c r="AH183" i="10" a="1"/>
  <c r="AV187" i="10" a="1"/>
  <c r="I186" i="10" a="1"/>
  <c r="AS185" i="10" a="1"/>
  <c r="AO183" i="10" a="1"/>
  <c r="E185" i="10" a="1"/>
  <c r="R184" i="10" a="1"/>
  <c r="AP183" i="10" a="1"/>
  <c r="O185" i="10" a="1"/>
  <c r="AN184" i="10" a="1"/>
  <c r="Y185" i="10" a="1"/>
  <c r="AO184" i="10" a="1"/>
  <c r="K186" i="10" a="1"/>
  <c r="I184" i="10" a="1"/>
  <c r="AH187" i="10" a="1"/>
  <c r="AS183" i="10" a="1"/>
  <c r="R185" i="10" a="1"/>
  <c r="C187" i="10" a="1"/>
  <c r="P183" i="10" a="1"/>
  <c r="AD186" i="10" a="1"/>
  <c r="U187" i="10" a="1"/>
  <c r="AL186" i="10" a="1"/>
  <c r="M187" i="10" a="1"/>
  <c r="L185" i="10" a="1"/>
  <c r="AJ183" i="10" a="1"/>
  <c r="AJ184" i="10" a="1"/>
  <c r="AB184" i="10" a="1"/>
  <c r="AI187" i="10" a="1"/>
  <c r="J184" i="10" a="1"/>
  <c r="AU184" i="10" a="1"/>
  <c r="E187" i="10" a="1"/>
  <c r="M186" i="10" a="1"/>
  <c r="T186" i="10" a="1"/>
  <c r="V184" i="10" a="1"/>
  <c r="Q183" i="10" a="1"/>
  <c r="Z185" i="10" a="1"/>
  <c r="K183" i="10" a="1"/>
  <c r="AI183" i="10" a="1"/>
  <c r="O186" i="10" a="1"/>
  <c r="AC184" i="10" a="1"/>
  <c r="AQ183" i="10" a="1"/>
  <c r="P184" i="10" a="1"/>
  <c r="J183" i="10" a="1"/>
  <c r="V183" i="10" a="1"/>
  <c r="AR187" i="10" a="1"/>
  <c r="O187" i="10" a="1"/>
  <c r="V185" i="10" a="1"/>
  <c r="H187" i="10" a="1"/>
  <c r="I187" i="10" a="1"/>
  <c r="AU185" i="10" a="1"/>
  <c r="AU186" i="10" a="1"/>
  <c r="M184" i="10" a="1"/>
  <c r="V187" i="10" a="1"/>
  <c r="AI184" i="10" a="1"/>
  <c r="AW184" i="10" a="1"/>
  <c r="AA187" i="10" a="1"/>
  <c r="AC187" i="10" a="1"/>
  <c r="U183" i="10" a="1"/>
  <c r="AR183" i="10" a="1"/>
  <c r="S187" i="10" a="1"/>
  <c r="Z183" i="10" a="1"/>
  <c r="L183" i="10" a="1"/>
  <c r="T187" i="10" a="1"/>
  <c r="AF187" i="10" a="1"/>
  <c r="N185" i="10" a="1"/>
  <c r="AL185" i="10" a="1"/>
  <c r="G185" i="10" a="1"/>
  <c r="AB185" i="10" a="1"/>
  <c r="AP184" i="10" a="1"/>
  <c r="N184" i="10" a="1"/>
  <c r="AO185" i="10" a="1"/>
  <c r="H184" i="10" a="1"/>
  <c r="AK183" i="10" a="1"/>
  <c r="V186" i="10" a="1"/>
  <c r="AD184" i="10" a="1"/>
  <c r="AV185" i="10" a="1"/>
  <c r="P185" i="10" a="1"/>
  <c r="O183" i="10" a="1"/>
  <c r="AQ186" i="10" a="1"/>
  <c r="AT186" i="10" a="1"/>
  <c r="L186" i="10" a="1"/>
  <c r="Y186" i="10" a="1"/>
  <c r="AT183" i="10" a="1"/>
  <c r="F185" i="10" a="1"/>
  <c r="AG187" i="10" a="1"/>
  <c r="AW186" i="10" a="1"/>
  <c r="AT187" i="10" a="1"/>
  <c r="N187" i="10" a="1"/>
  <c r="AJ187" i="10" a="1"/>
  <c r="F183" i="10" a="1"/>
  <c r="AC185" i="10" a="1"/>
  <c r="Y187" i="10" a="1"/>
  <c r="L184" i="10" a="1"/>
  <c r="AD187" i="10" a="1"/>
  <c r="AK184" i="10" a="1"/>
  <c r="AW185" i="10" a="1"/>
  <c r="Q184" i="10" a="1"/>
  <c r="AF186" i="10" a="1"/>
  <c r="AG183" i="10" a="1"/>
  <c r="I183" i="10" a="1"/>
  <c r="AF183" i="10" a="1"/>
  <c r="AG186" i="10" a="1"/>
  <c r="AJ186" i="10" a="1"/>
  <c r="P187" i="10" a="1"/>
  <c r="AD174" i="10" a="1"/>
  <c r="AS178" i="10" a="1"/>
  <c r="L179" i="10" a="1"/>
  <c r="AN176" i="10" a="1"/>
  <c r="P174" i="10" a="1"/>
  <c r="K180" i="10" a="1"/>
  <c r="AN179" i="10" a="1"/>
  <c r="U181" i="10" a="1"/>
  <c r="AU180" i="10" a="1"/>
  <c r="AG182" i="10" a="1"/>
  <c r="O181" i="10" a="1"/>
  <c r="AK177" i="10" a="1"/>
  <c r="P182" i="10" a="1"/>
  <c r="R182" i="10" a="1"/>
  <c r="S178" i="10" a="1"/>
  <c r="V174" i="10" a="1"/>
  <c r="H179" i="10" a="1"/>
  <c r="X176" i="10" a="1"/>
  <c r="F179" i="10" a="1"/>
  <c r="Z180" i="10" a="1"/>
  <c r="X174" i="10" a="1"/>
  <c r="Y176" i="10" a="1"/>
  <c r="AQ181" i="10" a="1"/>
  <c r="F175" i="10" a="1"/>
  <c r="U177" i="10" a="1"/>
  <c r="C180" i="10" a="1"/>
  <c r="AP178" i="10" a="1"/>
  <c r="M180" i="10" a="1"/>
  <c r="AP177" i="10" a="1"/>
  <c r="AF177" i="10" a="1"/>
  <c r="AK175" i="10" a="1"/>
  <c r="AK180" i="10" a="1"/>
  <c r="R175" i="10" a="1"/>
  <c r="AP182" i="10" a="1"/>
  <c r="F176" i="10" a="1"/>
  <c r="K178" i="10" a="1"/>
  <c r="AW180" i="10" a="1"/>
  <c r="V178" i="10" a="1"/>
  <c r="V175" i="10" a="1"/>
  <c r="AW177" i="10" a="1"/>
  <c r="AN180" i="10" a="1"/>
  <c r="AB177" i="10" a="1"/>
  <c r="H180" i="10" a="1"/>
  <c r="Z174" i="10" a="1"/>
  <c r="J176" i="10" a="1"/>
  <c r="AK178" i="10" a="1"/>
  <c r="D177" i="10" a="1"/>
  <c r="AB178" i="10" a="1"/>
  <c r="AK182" i="10" a="1"/>
  <c r="AD181" i="10" a="1"/>
  <c r="C176" i="10" a="1"/>
  <c r="I178" i="10" a="1"/>
  <c r="AQ177" i="10" a="1"/>
  <c r="X181" i="10" a="1"/>
  <c r="AI178" i="10" a="1"/>
  <c r="AV174" i="10" a="1"/>
  <c r="C182" i="10" a="1"/>
  <c r="Y175" i="10" a="1"/>
  <c r="M179" i="10" a="1"/>
  <c r="AC178" i="10" a="1"/>
  <c r="U175" i="10" a="1"/>
  <c r="AC179" i="10" a="1"/>
  <c r="J177" i="10" a="1"/>
  <c r="AU177" i="10" a="1"/>
  <c r="Z177" i="10" a="1"/>
  <c r="D182" i="10" a="1"/>
  <c r="AQ175" i="10" a="1"/>
  <c r="AV180" i="10" a="1"/>
  <c r="Z179" i="10" a="1"/>
  <c r="AR178" i="10" a="1"/>
  <c r="AR175" i="10" a="1"/>
  <c r="E181" i="10" a="1"/>
  <c r="G177" i="10" a="1"/>
  <c r="K176" i="10" a="1"/>
  <c r="Z182" i="10" a="1"/>
  <c r="AG174" i="10" a="1"/>
  <c r="V181" i="10" a="1"/>
  <c r="AI177" i="10" a="1"/>
  <c r="AI181" i="10" a="1"/>
  <c r="AV179" i="10" a="1"/>
  <c r="X180" i="10" a="1"/>
  <c r="I174" i="10" a="1"/>
  <c r="R176" i="10" a="1"/>
  <c r="AD178" i="10" a="1"/>
  <c r="G174" i="10" a="1"/>
  <c r="F178" i="10" a="1"/>
  <c r="U178" i="10" a="1"/>
  <c r="AS181" i="10" a="1"/>
  <c r="G182" i="10" a="1"/>
  <c r="AH176" i="10" a="1"/>
  <c r="AS180" i="10" a="1"/>
  <c r="R179" i="10" a="1"/>
  <c r="L176" i="10" a="1"/>
  <c r="Q175" i="10" a="1"/>
  <c r="AR174" i="10" a="1"/>
  <c r="AF181" i="10" a="1"/>
  <c r="I175" i="10" a="1"/>
  <c r="AG178" i="10" a="1"/>
  <c r="M181" i="10" a="1"/>
  <c r="AL180" i="10" a="1"/>
  <c r="V182" i="10" a="1"/>
  <c r="AO176" i="10" a="1"/>
  <c r="X178" i="10" a="1"/>
  <c r="D181" i="10" a="1"/>
  <c r="AM177" i="10" a="1"/>
  <c r="AO180" i="10" a="1"/>
  <c r="AK174" i="10" a="1"/>
  <c r="AP176" i="10" a="1"/>
  <c r="AQ176" i="10" a="1"/>
  <c r="U176" i="10" a="1"/>
  <c r="AF176" i="10" a="1"/>
  <c r="F174" i="10" a="1"/>
  <c r="X179" i="10" a="1"/>
  <c r="AA174" i="10" a="1"/>
  <c r="O182" i="10" a="1"/>
  <c r="AR180" i="10" a="1"/>
  <c r="W177" i="10" a="1"/>
  <c r="AW179" i="10" a="1"/>
  <c r="AV175" i="10" a="1"/>
  <c r="AM179" i="10" a="1"/>
  <c r="AF175" i="10" a="1"/>
  <c r="AI180" i="10" a="1"/>
  <c r="T174" i="10" a="1"/>
  <c r="T175" i="10" a="1"/>
  <c r="Q180" i="10" a="1"/>
  <c r="C178" i="10" a="1"/>
  <c r="F177" i="10" a="1"/>
  <c r="W179" i="10" a="1"/>
  <c r="AW174" i="10" a="1"/>
  <c r="AB175" i="10" a="1"/>
  <c r="AC175" i="10" a="1"/>
  <c r="AT176" i="10" a="1"/>
  <c r="D176" i="10" a="1"/>
  <c r="G176" i="10" a="1"/>
  <c r="N180" i="10" a="1"/>
  <c r="AP175" i="10" a="1"/>
  <c r="C181" i="10" a="1"/>
  <c r="AH182" i="10" a="1"/>
  <c r="AL181" i="10" a="1"/>
  <c r="L178" i="10" a="1"/>
  <c r="AT179" i="10" a="1"/>
  <c r="AA182" i="10" a="1"/>
  <c r="Z181" i="10" a="1"/>
  <c r="Y179" i="10" a="1"/>
  <c r="I181" i="10" a="1"/>
  <c r="M174" i="10" a="1"/>
  <c r="AK176" i="10" a="1"/>
  <c r="AH174" i="10" a="1"/>
  <c r="S179" i="10" a="1"/>
  <c r="AU182" i="10" a="1"/>
  <c r="L180" i="10" a="1"/>
  <c r="AW175" i="10" a="1"/>
  <c r="K181" i="10" a="1"/>
  <c r="AS176" i="10" a="1"/>
  <c r="AL179" i="10" a="1"/>
  <c r="I177" i="10" a="1"/>
  <c r="AP174" i="10" a="1"/>
  <c r="J175" i="10" a="1"/>
  <c r="AM175" i="10" a="1"/>
  <c r="AK179" i="10" a="1"/>
  <c r="AB176" i="10" a="1"/>
  <c r="F180" i="10" a="1"/>
  <c r="AU174" i="10" a="1"/>
  <c r="AF179" i="10" a="1"/>
  <c r="I176" i="10" a="1"/>
  <c r="D178" i="10" a="1"/>
  <c r="AO177" i="10" a="1"/>
  <c r="Q174" i="10" a="1"/>
  <c r="N178" i="10" a="1"/>
  <c r="T176" i="10" a="1"/>
  <c r="S177" i="10" a="1"/>
  <c r="S176" i="10" a="1"/>
  <c r="Q177" i="10" a="1"/>
  <c r="AH178" i="10" a="1"/>
  <c r="AJ178" i="10" a="1"/>
  <c r="Y182" i="10" a="1"/>
  <c r="AW182" i="10" a="1"/>
  <c r="AL175" i="10" a="1"/>
  <c r="W181" i="10" a="1"/>
  <c r="AJ177" i="10" a="1"/>
  <c r="AR182" i="10" a="1"/>
  <c r="AJ182" i="10" a="1"/>
  <c r="C174" i="10" a="1"/>
  <c r="AV178" i="10" a="1"/>
  <c r="AD175" i="10" a="1"/>
  <c r="M176" i="10" a="1"/>
  <c r="M178" i="10" a="1"/>
  <c r="AH181" i="10" a="1"/>
  <c r="J178" i="10" a="1"/>
  <c r="W175" i="10" a="1"/>
  <c r="Y181" i="10" a="1"/>
  <c r="H176" i="10" a="1"/>
  <c r="S180" i="10" a="1"/>
  <c r="AW181" i="10" a="1"/>
  <c r="AP180" i="10" a="1"/>
  <c r="W178" i="10" a="1"/>
  <c r="N179" i="10" a="1"/>
  <c r="C177" i="10" a="1"/>
  <c r="AT181" i="10" a="1"/>
  <c r="AQ179" i="10" a="1"/>
  <c r="O178" i="10" a="1"/>
  <c r="AG176" i="10" a="1"/>
  <c r="AO181" i="10" a="1"/>
  <c r="J181" i="10" a="1"/>
  <c r="AO179" i="10" a="1"/>
  <c r="H181" i="10" a="1"/>
  <c r="AG181" i="10" a="1"/>
  <c r="AH180" i="10" a="1"/>
  <c r="AC174" i="10" a="1"/>
  <c r="AT174" i="10" a="1"/>
  <c r="G178" i="10" a="1"/>
  <c r="D180" i="10" a="1"/>
  <c r="AB179" i="10" a="1"/>
  <c r="D179" i="10" a="1"/>
  <c r="R174" i="10" a="1"/>
  <c r="AQ178" i="10" a="1"/>
  <c r="O180" i="10" a="1"/>
  <c r="K182" i="10" a="1"/>
  <c r="AT182" i="10" a="1"/>
  <c r="AB181" i="10" a="1"/>
  <c r="E182" i="10" a="1"/>
  <c r="Z178" i="10" a="1"/>
  <c r="AL178" i="10" a="1"/>
  <c r="AC176" i="10" a="1"/>
  <c r="AO182" i="10" a="1"/>
  <c r="P175" i="10" a="1"/>
  <c r="AQ182" i="10" a="1"/>
  <c r="L175" i="10" a="1"/>
  <c r="AW178" i="10" a="1"/>
  <c r="AA176" i="10" a="1"/>
  <c r="AJ179" i="10" a="1"/>
  <c r="Y180" i="10" a="1"/>
  <c r="Q181" i="10" a="1"/>
  <c r="E178" i="10" a="1"/>
  <c r="AF174" i="10" a="1"/>
  <c r="H174" i="10" a="1"/>
  <c r="X177" i="10" a="1"/>
  <c r="AU176" i="10" a="1"/>
  <c r="H175" i="10" a="1"/>
  <c r="AO174" i="10" a="1"/>
  <c r="N176" i="10" a="1"/>
  <c r="AT180" i="10" a="1"/>
  <c r="O175" i="10" a="1"/>
  <c r="S175" i="10" a="1"/>
  <c r="L174" i="10" a="1"/>
  <c r="AM176" i="10" a="1"/>
  <c r="J182" i="10" a="1"/>
  <c r="G180" i="10" a="1"/>
  <c r="Y178" i="10" a="1"/>
  <c r="F181" i="10" a="1"/>
  <c r="N182" i="10" a="1"/>
  <c r="AR176" i="10" a="1"/>
  <c r="AU175" i="10" a="1"/>
  <c r="R180" i="10" a="1"/>
  <c r="AL182" i="10" a="1"/>
  <c r="AL174" i="10" a="1"/>
  <c r="L181" i="10" a="1"/>
  <c r="S182" i="10" a="1"/>
  <c r="H178" i="10" a="1"/>
  <c r="AB174" i="10" a="1"/>
  <c r="X182" i="10" a="1"/>
  <c r="AC182" i="10" a="1"/>
  <c r="AT178" i="10" a="1"/>
  <c r="U180" i="10" a="1"/>
  <c r="AJ181" i="10" a="1"/>
  <c r="E177" i="10" a="1"/>
  <c r="AI182" i="10" a="1"/>
  <c r="R177" i="10" a="1"/>
  <c r="AD177" i="10" a="1"/>
  <c r="V176" i="10" a="1"/>
  <c r="AU179" i="10" a="1"/>
  <c r="I182" i="10" a="1"/>
  <c r="AJ176" i="10" a="1"/>
  <c r="N177" i="10" a="1"/>
  <c r="U182" i="10" a="1"/>
  <c r="M182" i="10" a="1"/>
  <c r="O174" i="10" a="1"/>
  <c r="AI179" i="10" a="1"/>
  <c r="O179" i="10" a="1"/>
  <c r="S174" i="10" a="1"/>
  <c r="AF180" i="10" a="1"/>
  <c r="V180" i="10" a="1"/>
  <c r="AG177" i="10" a="1"/>
  <c r="C175" i="10" a="1"/>
  <c r="Z176" i="10" a="1"/>
  <c r="Q179" i="10" a="1"/>
  <c r="E175" i="10" a="1"/>
  <c r="T182" i="10" a="1"/>
  <c r="O176" i="10" a="1"/>
  <c r="AI176" i="10" a="1"/>
  <c r="F182" i="10" a="1"/>
  <c r="W174" i="10" a="1"/>
  <c r="AU181" i="10" a="1"/>
  <c r="AD176" i="10" a="1"/>
  <c r="AD180" i="10" a="1"/>
  <c r="T179" i="10" a="1"/>
  <c r="G181" i="10" a="1"/>
  <c r="AJ175" i="10" a="1"/>
  <c r="G175" i="10" a="1"/>
  <c r="AA175" i="10" a="1"/>
  <c r="AR181" i="10" a="1"/>
  <c r="P178" i="10" a="1"/>
  <c r="Z175" i="10" a="1"/>
  <c r="AO175" i="10" a="1"/>
  <c r="V179" i="10" a="1"/>
  <c r="AQ180" i="10" a="1"/>
  <c r="L182" i="10" a="1"/>
  <c r="T177" i="10" a="1"/>
  <c r="W180" i="10" a="1"/>
  <c r="AN182" i="10" a="1"/>
  <c r="E179" i="10" a="1"/>
  <c r="AF182" i="10" a="1"/>
  <c r="AC180" i="10" a="1"/>
  <c r="AM181" i="10" a="1"/>
  <c r="AG180" i="10" a="1"/>
  <c r="K175" i="10" a="1"/>
  <c r="AB182" i="10" a="1"/>
  <c r="H182" i="10" a="1"/>
  <c r="AQ174" i="10" a="1"/>
  <c r="K179" i="10" a="1"/>
  <c r="AM178" i="10" a="1"/>
  <c r="AT177" i="10" a="1"/>
  <c r="U174" i="10" a="1"/>
  <c r="AD179" i="10" a="1"/>
  <c r="N174" i="10" a="1"/>
  <c r="AU178" i="10" a="1"/>
  <c r="S181" i="10" a="1"/>
  <c r="AM174" i="10" a="1"/>
  <c r="AB180" i="10" a="1"/>
  <c r="AI175" i="10" a="1"/>
  <c r="AS174" i="10" a="1"/>
  <c r="AR179" i="10" a="1"/>
  <c r="AA177" i="10" a="1"/>
  <c r="AK181" i="10" a="1"/>
  <c r="M175" i="10" a="1"/>
  <c r="AH179" i="10" a="1"/>
  <c r="D174" i="10" a="1"/>
  <c r="Y177" i="10" a="1"/>
  <c r="AN175" i="10" a="1"/>
  <c r="P177" i="10" a="1"/>
  <c r="AL177" i="10" a="1"/>
  <c r="J179" i="10" a="1"/>
  <c r="X175" i="10" a="1"/>
  <c r="AS179" i="10" a="1"/>
  <c r="AN181" i="10" a="1"/>
  <c r="AV182" i="10" a="1"/>
  <c r="AI174" i="10" a="1"/>
  <c r="AH177" i="10" a="1"/>
  <c r="K177" i="10" a="1"/>
  <c r="P176" i="10" a="1"/>
  <c r="Y174" i="10" a="1"/>
  <c r="AG179" i="10" a="1"/>
  <c r="AC177" i="10" a="1"/>
  <c r="AA179" i="10" a="1"/>
  <c r="AR177" i="10" a="1"/>
  <c r="K174" i="10" a="1"/>
  <c r="AF178" i="10" a="1"/>
  <c r="P179" i="10" a="1"/>
  <c r="AN174" i="10" a="1"/>
  <c r="T181" i="10" a="1"/>
  <c r="E180" i="10" a="1"/>
  <c r="AP179" i="10" a="1"/>
  <c r="I179" i="10" a="1"/>
  <c r="AV176" i="10" a="1"/>
  <c r="N181" i="10" a="1"/>
  <c r="W182" i="10" a="1"/>
  <c r="P181" i="10" a="1"/>
  <c r="AT175" i="10" a="1"/>
  <c r="I180" i="10" a="1"/>
  <c r="J180" i="10" a="1"/>
  <c r="H177" i="10" a="1"/>
  <c r="AN178" i="10" a="1"/>
  <c r="L177" i="10" a="1"/>
  <c r="AO178" i="10" a="1"/>
  <c r="AD182" i="10" a="1"/>
  <c r="Q178" i="10" a="1"/>
  <c r="AL176" i="10" a="1"/>
  <c r="Q182" i="10" a="1"/>
  <c r="P180" i="10" a="1"/>
  <c r="AJ174" i="10" a="1"/>
  <c r="AV181" i="10" a="1"/>
  <c r="AH175" i="10" a="1"/>
  <c r="O177" i="10" a="1"/>
  <c r="R181" i="10" a="1"/>
  <c r="AA178" i="10" a="1"/>
  <c r="AC181" i="10" a="1"/>
  <c r="AV177" i="10" a="1"/>
  <c r="AS177" i="10" a="1"/>
  <c r="G179" i="10" a="1"/>
  <c r="AW176" i="10" a="1"/>
  <c r="D175" i="10" a="1"/>
  <c r="E176" i="10" a="1"/>
  <c r="AP181" i="10" a="1"/>
  <c r="J174" i="10" a="1"/>
  <c r="R178" i="10" a="1"/>
  <c r="M177" i="10" a="1"/>
  <c r="AM182" i="10" a="1"/>
  <c r="T178" i="10" a="1"/>
  <c r="AA180" i="10" a="1"/>
  <c r="U179" i="10" a="1"/>
  <c r="AN177" i="10" a="1"/>
  <c r="AM180" i="10" a="1"/>
  <c r="AS182" i="10" a="1"/>
  <c r="AA181" i="10" a="1"/>
  <c r="T180" i="10" a="1"/>
  <c r="E174" i="10" a="1"/>
  <c r="C179" i="10" a="1"/>
  <c r="W176" i="10" a="1"/>
  <c r="AJ180" i="10" a="1"/>
  <c r="V177" i="10" a="1"/>
  <c r="Q176" i="10" a="1"/>
  <c r="AG175" i="10" a="1"/>
  <c r="AS175" i="10" a="1"/>
  <c r="N175" i="10" a="1"/>
  <c r="AE160" i="10" l="1"/>
  <c r="AE5" i="10"/>
  <c r="AE121" i="10"/>
  <c r="AE149" i="10"/>
  <c r="AE99" i="10"/>
  <c r="AE186" i="10"/>
  <c r="AE6" i="10"/>
  <c r="AE10" i="10"/>
  <c r="AE158" i="10"/>
  <c r="AE127" i="10"/>
  <c r="AE188" i="10"/>
  <c r="AE105" i="10"/>
  <c r="AE137" i="10"/>
  <c r="AE101" i="10"/>
  <c r="AE37" i="10"/>
  <c r="AE141" i="10"/>
  <c r="AE80" i="10"/>
  <c r="AE90" i="10"/>
  <c r="AE164" i="10"/>
  <c r="AE177" i="10"/>
  <c r="AE56" i="10"/>
  <c r="AE55" i="10"/>
  <c r="AE181" i="10"/>
  <c r="AE146" i="10"/>
  <c r="AE31" i="10"/>
  <c r="AE120" i="10"/>
  <c r="AE92" i="10"/>
  <c r="AE176" i="10"/>
  <c r="AE42" i="10"/>
  <c r="AE75" i="10"/>
  <c r="AE183" i="10"/>
  <c r="AE147" i="10"/>
  <c r="AE109" i="10"/>
  <c r="AE156" i="10"/>
  <c r="AE68" i="10"/>
  <c r="AE67" i="10"/>
  <c r="AE15" i="10"/>
  <c r="AE49" i="10"/>
  <c r="AE26" i="10"/>
  <c r="AE30" i="10"/>
  <c r="AE151" i="10"/>
  <c r="AE13" i="10"/>
  <c r="AE35" i="10"/>
  <c r="AE192" i="10"/>
  <c r="AE168" i="10"/>
  <c r="AE59" i="10"/>
  <c r="AE142" i="10"/>
  <c r="AE138" i="10"/>
  <c r="AE16" i="10"/>
  <c r="AE129" i="10"/>
  <c r="AE157" i="10"/>
  <c r="AE87" i="10"/>
  <c r="AE66" i="10"/>
  <c r="AE124" i="10"/>
  <c r="AE89" i="10"/>
  <c r="AE39" i="10"/>
  <c r="AE76" i="10"/>
  <c r="AE11" i="10"/>
  <c r="AE148" i="10"/>
  <c r="AE63" i="10"/>
  <c r="AE94" i="10"/>
  <c r="AE36" i="10"/>
  <c r="AE132" i="10"/>
  <c r="AE12" i="10"/>
  <c r="AE77" i="10"/>
  <c r="AE25" i="10"/>
  <c r="AE165" i="10"/>
  <c r="AE193" i="10"/>
  <c r="AE73" i="10"/>
  <c r="AE98" i="10"/>
  <c r="AE154" i="10"/>
  <c r="AE140" i="10"/>
  <c r="AE64" i="10"/>
  <c r="AE22" i="10"/>
  <c r="AE110" i="10"/>
  <c r="AE161" i="10"/>
  <c r="AE162" i="10"/>
  <c r="AE52" i="10"/>
  <c r="AE96" i="10"/>
  <c r="AE18" i="10"/>
  <c r="AE153" i="10"/>
  <c r="AE106" i="10"/>
  <c r="AE125" i="10"/>
  <c r="AE126" i="10"/>
  <c r="AE150" i="10"/>
  <c r="AE189" i="10"/>
  <c r="AE43" i="10"/>
  <c r="AE83" i="10"/>
  <c r="AE115" i="10"/>
  <c r="AE58" i="10"/>
  <c r="AE152" i="10"/>
  <c r="AE44" i="10"/>
  <c r="AE185" i="10"/>
  <c r="AE72" i="10"/>
  <c r="AE184" i="10"/>
  <c r="AE178" i="10"/>
  <c r="AE167" i="10"/>
  <c r="AE159" i="10"/>
  <c r="AE27" i="10"/>
  <c r="AE51" i="10"/>
  <c r="AE45" i="10"/>
  <c r="AE108" i="10"/>
  <c r="AE97" i="10"/>
  <c r="AE182" i="10"/>
  <c r="AE50" i="10"/>
  <c r="AE48" i="10"/>
  <c r="AE81" i="10"/>
  <c r="AE135" i="10"/>
  <c r="AE79" i="10"/>
  <c r="AE38" i="10"/>
  <c r="AE7" i="10"/>
  <c r="AE47" i="10"/>
  <c r="AE62" i="10"/>
  <c r="AE84" i="10"/>
  <c r="AE113" i="10"/>
  <c r="AE57" i="10"/>
  <c r="AE163" i="10"/>
  <c r="AE187" i="10"/>
  <c r="AE20" i="10"/>
  <c r="AE133" i="10"/>
  <c r="AE54" i="10"/>
  <c r="AE74" i="10"/>
  <c r="AE4" i="10"/>
  <c r="AE111" i="10"/>
  <c r="AE169" i="10"/>
  <c r="AE100" i="10"/>
  <c r="AE131" i="10"/>
  <c r="AE19" i="10"/>
  <c r="AE14" i="10"/>
  <c r="AE190" i="10"/>
  <c r="AE172" i="10"/>
  <c r="AE174" i="10"/>
  <c r="AE82" i="10"/>
  <c r="AE29" i="10"/>
  <c r="AE78" i="10"/>
  <c r="AE116" i="10"/>
  <c r="AE32" i="10"/>
  <c r="AE102" i="10"/>
  <c r="AE9" i="10"/>
  <c r="AE65" i="10"/>
  <c r="AE166" i="10"/>
  <c r="AE91" i="10"/>
  <c r="AE128" i="10"/>
  <c r="AE112" i="10"/>
  <c r="AE155" i="10"/>
  <c r="AE119" i="10"/>
  <c r="AE144" i="10"/>
  <c r="AE28" i="10"/>
  <c r="AE180" i="10"/>
  <c r="AE143" i="10"/>
  <c r="AE34" i="10"/>
  <c r="AE170" i="10"/>
  <c r="AE104" i="10"/>
  <c r="AE69" i="10"/>
  <c r="AE8" i="10"/>
  <c r="AE175" i="10"/>
  <c r="AE40" i="10"/>
  <c r="AE130" i="10"/>
  <c r="AE114" i="10"/>
  <c r="AE145" i="10"/>
  <c r="AE17" i="10"/>
  <c r="AE136" i="10"/>
  <c r="AE93" i="10"/>
  <c r="AE85" i="10"/>
  <c r="AE118" i="10"/>
  <c r="AE60" i="10"/>
  <c r="AE139" i="10"/>
  <c r="AE33" i="10"/>
  <c r="AE21" i="10"/>
  <c r="AE173" i="10"/>
  <c r="AE117" i="10"/>
  <c r="AE123" i="10"/>
  <c r="AE171" i="10"/>
  <c r="AE61" i="10"/>
  <c r="AE107" i="10"/>
  <c r="AE134" i="10"/>
  <c r="AE46" i="10"/>
  <c r="AE23" i="10"/>
  <c r="AE103" i="10"/>
  <c r="AE191" i="10"/>
  <c r="AE71" i="10"/>
  <c r="AE179" i="10"/>
  <c r="AE41" i="10"/>
  <c r="AE70" i="10"/>
  <c r="AE24" i="10"/>
  <c r="AE86" i="10"/>
  <c r="AE88" i="10"/>
  <c r="AE53" i="10"/>
  <c r="AE122" i="10"/>
  <c r="AE95" i="10"/>
  <c r="AE3" i="10"/>
  <c r="K191" i="10"/>
  <c r="AM193" i="10"/>
  <c r="AH191" i="10"/>
  <c r="E191" i="10"/>
  <c r="L192" i="10"/>
  <c r="AL192" i="10"/>
  <c r="C192" i="10"/>
  <c r="D193" i="10"/>
  <c r="AI191" i="10"/>
  <c r="Y192" i="10"/>
  <c r="AG191" i="10"/>
  <c r="U192" i="10"/>
  <c r="W192" i="10"/>
  <c r="V193" i="10"/>
  <c r="AR191" i="10"/>
  <c r="S193" i="10"/>
  <c r="AL191" i="10"/>
  <c r="X193" i="10"/>
  <c r="AH192" i="10"/>
  <c r="U191" i="10"/>
  <c r="J193" i="10"/>
  <c r="AV192" i="10"/>
  <c r="S192" i="10"/>
  <c r="P191" i="10"/>
  <c r="AA191" i="10"/>
  <c r="AB193" i="10"/>
  <c r="AJ191" i="10"/>
  <c r="AF192" i="10"/>
  <c r="C193" i="10"/>
  <c r="M192" i="10"/>
  <c r="AV191" i="10"/>
  <c r="AS191" i="10"/>
  <c r="K193" i="10"/>
  <c r="X191" i="10"/>
  <c r="AQ192" i="10"/>
  <c r="AK193" i="10"/>
  <c r="G191" i="10"/>
  <c r="AO192" i="10"/>
  <c r="AF193" i="10"/>
  <c r="AW193" i="10"/>
  <c r="P192" i="10"/>
  <c r="AS192" i="10"/>
  <c r="AN192" i="10"/>
  <c r="K192" i="10"/>
  <c r="D192" i="10"/>
  <c r="H191" i="10"/>
  <c r="AW191" i="10"/>
  <c r="AB192" i="10"/>
  <c r="N191" i="10"/>
  <c r="AS193" i="10"/>
  <c r="E193" i="10"/>
  <c r="AT191" i="10"/>
  <c r="AU193" i="10"/>
  <c r="P193" i="10"/>
  <c r="R193" i="10"/>
  <c r="O193" i="10"/>
  <c r="AQ191" i="10"/>
  <c r="AA192" i="10"/>
  <c r="AW192" i="10"/>
  <c r="AP193" i="10"/>
  <c r="O191" i="10"/>
  <c r="R192" i="10"/>
  <c r="AM192" i="10"/>
  <c r="L191" i="10"/>
  <c r="AF191" i="10"/>
  <c r="AM191" i="10"/>
  <c r="AP191" i="10"/>
  <c r="AU192" i="10"/>
  <c r="T191" i="10"/>
  <c r="Y191" i="10"/>
  <c r="Q191" i="10"/>
  <c r="E192" i="10"/>
  <c r="T192" i="10"/>
  <c r="AH193" i="10"/>
  <c r="AA193" i="10"/>
  <c r="AQ193" i="10"/>
  <c r="I191" i="10"/>
  <c r="AG193" i="10"/>
  <c r="J192" i="10"/>
  <c r="U193" i="10"/>
  <c r="AU191" i="10"/>
  <c r="AR193" i="10"/>
  <c r="AN193" i="10"/>
  <c r="I192" i="10"/>
  <c r="V192" i="10"/>
  <c r="AK192" i="10"/>
  <c r="M193" i="10"/>
  <c r="AD193" i="10"/>
  <c r="X192" i="10"/>
  <c r="W193" i="10"/>
  <c r="AI192" i="10"/>
  <c r="H192" i="10"/>
  <c r="AJ192" i="10"/>
  <c r="AO191" i="10"/>
  <c r="F191" i="10"/>
  <c r="AL193" i="10"/>
  <c r="R191" i="10"/>
  <c r="G193" i="10"/>
  <c r="AK191" i="10"/>
  <c r="AD191" i="10"/>
  <c r="S191" i="10"/>
  <c r="Q192" i="10"/>
  <c r="T193" i="10"/>
  <c r="AC193" i="10"/>
  <c r="H193" i="10"/>
  <c r="O192" i="10"/>
  <c r="N192" i="10"/>
  <c r="AT193" i="10"/>
  <c r="Y193" i="10"/>
  <c r="AJ193" i="10"/>
  <c r="Z192" i="10"/>
  <c r="AC192" i="10"/>
  <c r="N193" i="10"/>
  <c r="AG192" i="10"/>
  <c r="G192" i="10"/>
  <c r="L193" i="10"/>
  <c r="AO193" i="10"/>
  <c r="AD192" i="10"/>
  <c r="F192" i="10"/>
  <c r="AR192" i="10"/>
  <c r="Z193" i="10"/>
  <c r="Z191" i="10"/>
  <c r="Q193" i="10"/>
  <c r="AC191" i="10"/>
  <c r="J191" i="10"/>
  <c r="V191" i="10"/>
  <c r="AI193" i="10"/>
  <c r="AV193" i="10"/>
  <c r="I193" i="10"/>
  <c r="C191" i="10"/>
  <c r="AP192" i="10"/>
  <c r="W191" i="10"/>
  <c r="M191" i="10"/>
  <c r="AB191" i="10"/>
  <c r="AT192" i="10"/>
  <c r="F193" i="10"/>
  <c r="AN191" i="10"/>
  <c r="D191" i="10"/>
  <c r="AR188" i="10"/>
  <c r="C188" i="10"/>
  <c r="X189" i="10"/>
  <c r="I188" i="10"/>
  <c r="H190" i="10"/>
  <c r="AN190" i="10"/>
  <c r="I189" i="10"/>
  <c r="AK188" i="10"/>
  <c r="S190" i="10"/>
  <c r="U188" i="10"/>
  <c r="O188" i="10"/>
  <c r="AI190" i="10"/>
  <c r="F189" i="10"/>
  <c r="AK190" i="10"/>
  <c r="AB188" i="10"/>
  <c r="R188" i="10"/>
  <c r="H189" i="10"/>
  <c r="AM188" i="10"/>
  <c r="E190" i="10"/>
  <c r="K190" i="10"/>
  <c r="U190" i="10"/>
  <c r="AH190" i="10"/>
  <c r="AG189" i="10"/>
  <c r="AL190" i="10"/>
  <c r="AL188" i="10"/>
  <c r="AG190" i="10"/>
  <c r="M189" i="10"/>
  <c r="AG188" i="10"/>
  <c r="O190" i="10"/>
  <c r="AI189" i="10"/>
  <c r="AS189" i="10"/>
  <c r="AN189" i="10"/>
  <c r="Q189" i="10"/>
  <c r="AR189" i="10"/>
  <c r="N190" i="10"/>
  <c r="AA189" i="10"/>
  <c r="AK189" i="10"/>
  <c r="E188" i="10"/>
  <c r="G188" i="10"/>
  <c r="M188" i="10"/>
  <c r="U189" i="10"/>
  <c r="I190" i="10"/>
  <c r="AC190" i="10"/>
  <c r="J189" i="10"/>
  <c r="AA190" i="10"/>
  <c r="AB189" i="10"/>
  <c r="E189" i="10"/>
  <c r="G189" i="10"/>
  <c r="AO188" i="10"/>
  <c r="Z189" i="10"/>
  <c r="AO190" i="10"/>
  <c r="N189" i="10"/>
  <c r="AW188" i="10"/>
  <c r="AD190" i="10"/>
  <c r="N188" i="10"/>
  <c r="AH188" i="10"/>
  <c r="AH189" i="10"/>
  <c r="P190" i="10"/>
  <c r="AV190" i="10"/>
  <c r="D190" i="10"/>
  <c r="O189" i="10"/>
  <c r="AD188" i="10"/>
  <c r="AW189" i="10"/>
  <c r="D189" i="10"/>
  <c r="C189" i="10"/>
  <c r="AA188" i="10"/>
  <c r="L188" i="10"/>
  <c r="T189" i="10"/>
  <c r="AB190" i="10"/>
  <c r="X188" i="10"/>
  <c r="AF188" i="10"/>
  <c r="AJ188" i="10"/>
  <c r="J188" i="10"/>
  <c r="L190" i="10"/>
  <c r="W190" i="10"/>
  <c r="T188" i="10"/>
  <c r="Y189" i="10"/>
  <c r="AT188" i="10"/>
  <c r="Q188" i="10"/>
  <c r="Z188" i="10"/>
  <c r="R190" i="10"/>
  <c r="AR190" i="10"/>
  <c r="W189" i="10"/>
  <c r="AU190" i="10"/>
  <c r="AL189" i="10"/>
  <c r="AI188" i="10"/>
  <c r="K188" i="10"/>
  <c r="AP188" i="10"/>
  <c r="F188" i="10"/>
  <c r="L189" i="10"/>
  <c r="AQ189" i="10"/>
  <c r="AO189" i="10"/>
  <c r="X190" i="10"/>
  <c r="C190" i="10"/>
  <c r="F190" i="10"/>
  <c r="R189" i="10"/>
  <c r="W188" i="10"/>
  <c r="Z190" i="10"/>
  <c r="AS188" i="10"/>
  <c r="AP189" i="10"/>
  <c r="Y190" i="10"/>
  <c r="AM190" i="10"/>
  <c r="AU188" i="10"/>
  <c r="AJ189" i="10"/>
  <c r="AF189" i="10"/>
  <c r="AC189" i="10"/>
  <c r="V188" i="10"/>
  <c r="AJ190" i="10"/>
  <c r="AN188" i="10"/>
  <c r="AT190" i="10"/>
  <c r="S188" i="10"/>
  <c r="AM189" i="10"/>
  <c r="H188" i="10"/>
  <c r="AC188" i="10"/>
  <c r="V190" i="10"/>
  <c r="AQ190" i="10"/>
  <c r="D188" i="10"/>
  <c r="G190" i="10"/>
  <c r="T190" i="10"/>
  <c r="M190" i="10"/>
  <c r="AP190" i="10"/>
  <c r="AV189" i="10"/>
  <c r="AV188" i="10"/>
  <c r="AW190" i="10"/>
  <c r="P188" i="10"/>
  <c r="S189" i="10"/>
  <c r="AD189" i="10"/>
  <c r="AQ188" i="10"/>
  <c r="P189" i="10"/>
  <c r="AS190" i="10"/>
  <c r="AU189" i="10"/>
  <c r="J190" i="10"/>
  <c r="AF190" i="10"/>
  <c r="AT189" i="10"/>
  <c r="K189" i="10"/>
  <c r="V189" i="10"/>
  <c r="Y188" i="10"/>
  <c r="Q190" i="10"/>
  <c r="P187" i="10"/>
  <c r="AJ186" i="10"/>
  <c r="AG186" i="10"/>
  <c r="AF183" i="10"/>
  <c r="I183" i="10"/>
  <c r="AG183" i="10"/>
  <c r="AF186" i="10"/>
  <c r="Q184" i="10"/>
  <c r="AW185" i="10"/>
  <c r="AK184" i="10"/>
  <c r="AD187" i="10"/>
  <c r="L184" i="10"/>
  <c r="Y187" i="10"/>
  <c r="AC185" i="10"/>
  <c r="F183" i="10"/>
  <c r="AJ187" i="10"/>
  <c r="N187" i="10"/>
  <c r="AT187" i="10"/>
  <c r="AW186" i="10"/>
  <c r="AG187" i="10"/>
  <c r="F185" i="10"/>
  <c r="AT183" i="10"/>
  <c r="Y186" i="10"/>
  <c r="L186" i="10"/>
  <c r="AT186" i="10"/>
  <c r="AQ186" i="10"/>
  <c r="O183" i="10"/>
  <c r="P185" i="10"/>
  <c r="AV185" i="10"/>
  <c r="AD184" i="10"/>
  <c r="V186" i="10"/>
  <c r="AK183" i="10"/>
  <c r="H184" i="10"/>
  <c r="AO185" i="10"/>
  <c r="N184" i="10"/>
  <c r="AP184" i="10"/>
  <c r="AB185" i="10"/>
  <c r="G185" i="10"/>
  <c r="AL185" i="10"/>
  <c r="N185" i="10"/>
  <c r="AF187" i="10"/>
  <c r="T187" i="10"/>
  <c r="L183" i="10"/>
  <c r="Z183" i="10"/>
  <c r="S187" i="10"/>
  <c r="AR183" i="10"/>
  <c r="U183" i="10"/>
  <c r="AC187" i="10"/>
  <c r="AA187" i="10"/>
  <c r="AW184" i="10"/>
  <c r="AI184" i="10"/>
  <c r="V187" i="10"/>
  <c r="M184" i="10"/>
  <c r="AU186" i="10"/>
  <c r="AU185" i="10"/>
  <c r="I187" i="10"/>
  <c r="H187" i="10"/>
  <c r="V185" i="10"/>
  <c r="O187" i="10"/>
  <c r="AR187" i="10"/>
  <c r="V183" i="10"/>
  <c r="J183" i="10"/>
  <c r="P184" i="10"/>
  <c r="AQ183" i="10"/>
  <c r="AC184" i="10"/>
  <c r="O186" i="10"/>
  <c r="AI183" i="10"/>
  <c r="K183" i="10"/>
  <c r="Z185" i="10"/>
  <c r="Q183" i="10"/>
  <c r="V184" i="10"/>
  <c r="T186" i="10"/>
  <c r="M186" i="10"/>
  <c r="E187" i="10"/>
  <c r="AU184" i="10"/>
  <c r="J184" i="10"/>
  <c r="AI187" i="10"/>
  <c r="AB184" i="10"/>
  <c r="AJ184" i="10"/>
  <c r="AJ183" i="10"/>
  <c r="L185" i="10"/>
  <c r="M187" i="10"/>
  <c r="AL186" i="10"/>
  <c r="U187" i="10"/>
  <c r="AD186" i="10"/>
  <c r="P183" i="10"/>
  <c r="C187" i="10"/>
  <c r="R185" i="10"/>
  <c r="AS183" i="10"/>
  <c r="AH187" i="10"/>
  <c r="I184" i="10"/>
  <c r="K186" i="10"/>
  <c r="AO184" i="10"/>
  <c r="Y185" i="10"/>
  <c r="AN184" i="10"/>
  <c r="O185" i="10"/>
  <c r="AP183" i="10"/>
  <c r="R184" i="10"/>
  <c r="E185" i="10"/>
  <c r="AO183" i="10"/>
  <c r="AS185" i="10"/>
  <c r="I186" i="10"/>
  <c r="AV187" i="10"/>
  <c r="AH183" i="10"/>
  <c r="X185" i="10"/>
  <c r="S185" i="10"/>
  <c r="AQ184" i="10"/>
  <c r="AV184" i="10"/>
  <c r="AA183" i="10"/>
  <c r="H186" i="10"/>
  <c r="T185" i="10"/>
  <c r="M185" i="10"/>
  <c r="W185" i="10"/>
  <c r="X184" i="10"/>
  <c r="Y184" i="10"/>
  <c r="AD185" i="10"/>
  <c r="AG185" i="10"/>
  <c r="AM183" i="10"/>
  <c r="AR184" i="10"/>
  <c r="AM186" i="10"/>
  <c r="AR185" i="10"/>
  <c r="AC186" i="10"/>
  <c r="AL183" i="10"/>
  <c r="AV186" i="10"/>
  <c r="AK186" i="10"/>
  <c r="F187" i="10"/>
  <c r="AP186" i="10"/>
  <c r="AQ185" i="10"/>
  <c r="AP185" i="10"/>
  <c r="AW187" i="10"/>
  <c r="Z186" i="10"/>
  <c r="AM185" i="10"/>
  <c r="R183" i="10"/>
  <c r="AS186" i="10"/>
  <c r="AM184" i="10"/>
  <c r="AQ187" i="10"/>
  <c r="O184" i="10"/>
  <c r="AL187" i="10"/>
  <c r="AB183" i="10"/>
  <c r="U185" i="10"/>
  <c r="E183" i="10"/>
  <c r="F186" i="10"/>
  <c r="C186" i="10"/>
  <c r="K187" i="10"/>
  <c r="W183" i="10"/>
  <c r="R187" i="10"/>
  <c r="AK185" i="10"/>
  <c r="X186" i="10"/>
  <c r="AH185" i="10"/>
  <c r="W186" i="10"/>
  <c r="H183" i="10"/>
  <c r="T183" i="10"/>
  <c r="C185" i="10"/>
  <c r="AK187" i="10"/>
  <c r="X187" i="10"/>
  <c r="AO186" i="10"/>
  <c r="Z187" i="10"/>
  <c r="AU183" i="10"/>
  <c r="W187" i="10"/>
  <c r="AA185" i="10"/>
  <c r="AB186" i="10"/>
  <c r="L187" i="10"/>
  <c r="T184" i="10"/>
  <c r="AI185" i="10"/>
  <c r="U186" i="10"/>
  <c r="Q186" i="10"/>
  <c r="C184" i="10"/>
  <c r="Q185" i="10"/>
  <c r="S184" i="10"/>
  <c r="AN186" i="10"/>
  <c r="K185" i="10"/>
  <c r="G186" i="10"/>
  <c r="I185" i="10"/>
  <c r="E186" i="10"/>
  <c r="K184" i="10"/>
  <c r="AJ185" i="10"/>
  <c r="AN187" i="10"/>
  <c r="G183" i="10"/>
  <c r="AW183" i="10"/>
  <c r="N186" i="10"/>
  <c r="AT185" i="10"/>
  <c r="R186" i="10"/>
  <c r="Y183" i="10"/>
  <c r="N183" i="10"/>
  <c r="AF184" i="10"/>
  <c r="G187" i="10"/>
  <c r="W184" i="10"/>
  <c r="AV183" i="10"/>
  <c r="Z184" i="10"/>
  <c r="AD183" i="10"/>
  <c r="AR186" i="10"/>
  <c r="J187" i="10"/>
  <c r="AL184" i="10"/>
  <c r="D185" i="10"/>
  <c r="S183" i="10"/>
  <c r="D183" i="10"/>
  <c r="D187" i="10"/>
  <c r="AS187" i="10"/>
  <c r="AA184" i="10"/>
  <c r="D184" i="10"/>
  <c r="AA186" i="10"/>
  <c r="G184" i="10"/>
  <c r="AH186" i="10"/>
  <c r="P186" i="10"/>
  <c r="F184" i="10"/>
  <c r="AP187" i="10"/>
  <c r="S186" i="10"/>
  <c r="J185" i="10"/>
  <c r="AU187" i="10"/>
  <c r="AS184" i="10"/>
  <c r="D186" i="10"/>
  <c r="X183" i="10"/>
  <c r="H185" i="10"/>
  <c r="AF185" i="10"/>
  <c r="AT184" i="10"/>
  <c r="AH184" i="10"/>
  <c r="AN185" i="10"/>
  <c r="M183" i="10"/>
  <c r="C183" i="10"/>
  <c r="U184" i="10"/>
  <c r="AG184" i="10"/>
  <c r="AB187" i="10"/>
  <c r="AO187" i="10"/>
  <c r="J186" i="10"/>
  <c r="AC183" i="10"/>
  <c r="E184" i="10"/>
  <c r="Q187" i="10"/>
  <c r="AM187" i="10"/>
  <c r="AI186" i="10"/>
  <c r="AN183" i="10"/>
  <c r="N175" i="10"/>
  <c r="AS175" i="10"/>
  <c r="AG175" i="10"/>
  <c r="Q176" i="10"/>
  <c r="V177" i="10"/>
  <c r="AJ180" i="10"/>
  <c r="W176" i="10"/>
  <c r="C179" i="10"/>
  <c r="E174" i="10"/>
  <c r="T180" i="10"/>
  <c r="AA181" i="10"/>
  <c r="AS182" i="10"/>
  <c r="AM180" i="10"/>
  <c r="AN177" i="10"/>
  <c r="U179" i="10"/>
  <c r="AA180" i="10"/>
  <c r="T178" i="10"/>
  <c r="AM182" i="10"/>
  <c r="M177" i="10"/>
  <c r="R178" i="10"/>
  <c r="J174" i="10"/>
  <c r="AP181" i="10"/>
  <c r="E176" i="10"/>
  <c r="D175" i="10"/>
  <c r="AW176" i="10"/>
  <c r="G179" i="10"/>
  <c r="AS177" i="10"/>
  <c r="AV177" i="10"/>
  <c r="AC181" i="10"/>
  <c r="AA178" i="10"/>
  <c r="R181" i="10"/>
  <c r="O177" i="10"/>
  <c r="AH175" i="10"/>
  <c r="AV181" i="10"/>
  <c r="AJ174" i="10"/>
  <c r="P180" i="10"/>
  <c r="Q182" i="10"/>
  <c r="AL176" i="10"/>
  <c r="Q178" i="10"/>
  <c r="AD182" i="10"/>
  <c r="AO178" i="10"/>
  <c r="L177" i="10"/>
  <c r="AN178" i="10"/>
  <c r="H177" i="10"/>
  <c r="J180" i="10"/>
  <c r="I180" i="10"/>
  <c r="AT175" i="10"/>
  <c r="P181" i="10"/>
  <c r="W182" i="10"/>
  <c r="N181" i="10"/>
  <c r="AV176" i="10"/>
  <c r="I179" i="10"/>
  <c r="AP179" i="10"/>
  <c r="E180" i="10"/>
  <c r="T181" i="10"/>
  <c r="AN174" i="10"/>
  <c r="P179" i="10"/>
  <c r="AF178" i="10"/>
  <c r="K174" i="10"/>
  <c r="AR177" i="10"/>
  <c r="AA179" i="10"/>
  <c r="AC177" i="10"/>
  <c r="AG179" i="10"/>
  <c r="Y174" i="10"/>
  <c r="P176" i="10"/>
  <c r="K177" i="10"/>
  <c r="AH177" i="10"/>
  <c r="AI174" i="10"/>
  <c r="AV182" i="10"/>
  <c r="AN181" i="10"/>
  <c r="AS179" i="10"/>
  <c r="X175" i="10"/>
  <c r="J179" i="10"/>
  <c r="AL177" i="10"/>
  <c r="P177" i="10"/>
  <c r="AN175" i="10"/>
  <c r="Y177" i="10"/>
  <c r="D174" i="10"/>
  <c r="AH179" i="10"/>
  <c r="M175" i="10"/>
  <c r="AK181" i="10"/>
  <c r="AA177" i="10"/>
  <c r="AR179" i="10"/>
  <c r="AS174" i="10"/>
  <c r="AI175" i="10"/>
  <c r="AB180" i="10"/>
  <c r="AM174" i="10"/>
  <c r="S181" i="10"/>
  <c r="AU178" i="10"/>
  <c r="N174" i="10"/>
  <c r="AD179" i="10"/>
  <c r="U174" i="10"/>
  <c r="AT177" i="10"/>
  <c r="AM178" i="10"/>
  <c r="K179" i="10"/>
  <c r="AQ174" i="10"/>
  <c r="H182" i="10"/>
  <c r="AB182" i="10"/>
  <c r="K175" i="10"/>
  <c r="AG180" i="10"/>
  <c r="AM181" i="10"/>
  <c r="AC180" i="10"/>
  <c r="AF182" i="10"/>
  <c r="E179" i="10"/>
  <c r="AN182" i="10"/>
  <c r="W180" i="10"/>
  <c r="T177" i="10"/>
  <c r="L182" i="10"/>
  <c r="AQ180" i="10"/>
  <c r="V179" i="10"/>
  <c r="AO175" i="10"/>
  <c r="Z175" i="10"/>
  <c r="P178" i="10"/>
  <c r="AR181" i="10"/>
  <c r="AA175" i="10"/>
  <c r="G175" i="10"/>
  <c r="AJ175" i="10"/>
  <c r="G181" i="10"/>
  <c r="T179" i="10"/>
  <c r="AD180" i="10"/>
  <c r="AD176" i="10"/>
  <c r="AU181" i="10"/>
  <c r="W174" i="10"/>
  <c r="F182" i="10"/>
  <c r="AI176" i="10"/>
  <c r="O176" i="10"/>
  <c r="T182" i="10"/>
  <c r="E175" i="10"/>
  <c r="Q179" i="10"/>
  <c r="Z176" i="10"/>
  <c r="C175" i="10"/>
  <c r="AG177" i="10"/>
  <c r="V180" i="10"/>
  <c r="AF180" i="10"/>
  <c r="S174" i="10"/>
  <c r="O179" i="10"/>
  <c r="AI179" i="10"/>
  <c r="O174" i="10"/>
  <c r="M182" i="10"/>
  <c r="U182" i="10"/>
  <c r="N177" i="10"/>
  <c r="AJ176" i="10"/>
  <c r="I182" i="10"/>
  <c r="AU179" i="10"/>
  <c r="V176" i="10"/>
  <c r="AD177" i="10"/>
  <c r="R177" i="10"/>
  <c r="AI182" i="10"/>
  <c r="E177" i="10"/>
  <c r="AJ181" i="10"/>
  <c r="U180" i="10"/>
  <c r="AT178" i="10"/>
  <c r="AC182" i="10"/>
  <c r="X182" i="10"/>
  <c r="AB174" i="10"/>
  <c r="H178" i="10"/>
  <c r="S182" i="10"/>
  <c r="L181" i="10"/>
  <c r="AL174" i="10"/>
  <c r="AL182" i="10"/>
  <c r="R180" i="10"/>
  <c r="AU175" i="10"/>
  <c r="AR176" i="10"/>
  <c r="N182" i="10"/>
  <c r="F181" i="10"/>
  <c r="Y178" i="10"/>
  <c r="G180" i="10"/>
  <c r="J182" i="10"/>
  <c r="AM176" i="10"/>
  <c r="L174" i="10"/>
  <c r="S175" i="10"/>
  <c r="O175" i="10"/>
  <c r="AT180" i="10"/>
  <c r="N176" i="10"/>
  <c r="AO174" i="10"/>
  <c r="H175" i="10"/>
  <c r="AU176" i="10"/>
  <c r="X177" i="10"/>
  <c r="H174" i="10"/>
  <c r="AF174" i="10"/>
  <c r="E178" i="10"/>
  <c r="Q181" i="10"/>
  <c r="Y180" i="10"/>
  <c r="AJ179" i="10"/>
  <c r="AA176" i="10"/>
  <c r="AW178" i="10"/>
  <c r="L175" i="10"/>
  <c r="AQ182" i="10"/>
  <c r="P175" i="10"/>
  <c r="AO182" i="10"/>
  <c r="AC176" i="10"/>
  <c r="AL178" i="10"/>
  <c r="Z178" i="10"/>
  <c r="E182" i="10"/>
  <c r="AB181" i="10"/>
  <c r="AT182" i="10"/>
  <c r="K182" i="10"/>
  <c r="O180" i="10"/>
  <c r="AQ178" i="10"/>
  <c r="R174" i="10"/>
  <c r="D179" i="10"/>
  <c r="AB179" i="10"/>
  <c r="D180" i="10"/>
  <c r="G178" i="10"/>
  <c r="AT174" i="10"/>
  <c r="AC174" i="10"/>
  <c r="AH180" i="10"/>
  <c r="AG181" i="10"/>
  <c r="H181" i="10"/>
  <c r="AO179" i="10"/>
  <c r="J181" i="10"/>
  <c r="AO181" i="10"/>
  <c r="AG176" i="10"/>
  <c r="O178" i="10"/>
  <c r="AQ179" i="10"/>
  <c r="AT181" i="10"/>
  <c r="C177" i="10"/>
  <c r="N179" i="10"/>
  <c r="W178" i="10"/>
  <c r="AP180" i="10"/>
  <c r="AW181" i="10"/>
  <c r="S180" i="10"/>
  <c r="H176" i="10"/>
  <c r="Y181" i="10"/>
  <c r="W175" i="10"/>
  <c r="J178" i="10"/>
  <c r="AH181" i="10"/>
  <c r="M178" i="10"/>
  <c r="M176" i="10"/>
  <c r="AD175" i="10"/>
  <c r="AV178" i="10"/>
  <c r="C174" i="10"/>
  <c r="AJ182" i="10"/>
  <c r="AR182" i="10"/>
  <c r="AJ177" i="10"/>
  <c r="W181" i="10"/>
  <c r="AL175" i="10"/>
  <c r="AW182" i="10"/>
  <c r="Y182" i="10"/>
  <c r="AJ178" i="10"/>
  <c r="AH178" i="10"/>
  <c r="Q177" i="10"/>
  <c r="S176" i="10"/>
  <c r="S177" i="10"/>
  <c r="T176" i="10"/>
  <c r="N178" i="10"/>
  <c r="Q174" i="10"/>
  <c r="AO177" i="10"/>
  <c r="D178" i="10"/>
  <c r="I176" i="10"/>
  <c r="AF179" i="10"/>
  <c r="AU174" i="10"/>
  <c r="F180" i="10"/>
  <c r="AB176" i="10"/>
  <c r="AK179" i="10"/>
  <c r="AM175" i="10"/>
  <c r="J175" i="10"/>
  <c r="AP174" i="10"/>
  <c r="I177" i="10"/>
  <c r="AL179" i="10"/>
  <c r="AS176" i="10"/>
  <c r="K181" i="10"/>
  <c r="AW175" i="10"/>
  <c r="L180" i="10"/>
  <c r="AU182" i="10"/>
  <c r="S179" i="10"/>
  <c r="AH174" i="10"/>
  <c r="AK176" i="10"/>
  <c r="M174" i="10"/>
  <c r="I181" i="10"/>
  <c r="Y179" i="10"/>
  <c r="Z181" i="10"/>
  <c r="AA182" i="10"/>
  <c r="AT179" i="10"/>
  <c r="L178" i="10"/>
  <c r="AL181" i="10"/>
  <c r="AH182" i="10"/>
  <c r="C181" i="10"/>
  <c r="AP175" i="10"/>
  <c r="N180" i="10"/>
  <c r="G176" i="10"/>
  <c r="D176" i="10"/>
  <c r="AT176" i="10"/>
  <c r="AC175" i="10"/>
  <c r="AB175" i="10"/>
  <c r="AW174" i="10"/>
  <c r="W179" i="10"/>
  <c r="F177" i="10"/>
  <c r="C178" i="10"/>
  <c r="Q180" i="10"/>
  <c r="T175" i="10"/>
  <c r="T174" i="10"/>
  <c r="AI180" i="10"/>
  <c r="AF175" i="10"/>
  <c r="AM179" i="10"/>
  <c r="AV175" i="10"/>
  <c r="AW179" i="10"/>
  <c r="W177" i="10"/>
  <c r="AR180" i="10"/>
  <c r="O182" i="10"/>
  <c r="AA174" i="10"/>
  <c r="X179" i="10"/>
  <c r="F174" i="10"/>
  <c r="AF176" i="10"/>
  <c r="U176" i="10"/>
  <c r="AQ176" i="10"/>
  <c r="AP176" i="10"/>
  <c r="AK174" i="10"/>
  <c r="AO180" i="10"/>
  <c r="AM177" i="10"/>
  <c r="D181" i="10"/>
  <c r="X178" i="10"/>
  <c r="AO176" i="10"/>
  <c r="V182" i="10"/>
  <c r="AL180" i="10"/>
  <c r="M181" i="10"/>
  <c r="AG178" i="10"/>
  <c r="I175" i="10"/>
  <c r="AF181" i="10"/>
  <c r="AR174" i="10"/>
  <c r="Q175" i="10"/>
  <c r="L176" i="10"/>
  <c r="R179" i="10"/>
  <c r="AS180" i="10"/>
  <c r="AH176" i="10"/>
  <c r="G182" i="10"/>
  <c r="AS181" i="10"/>
  <c r="U178" i="10"/>
  <c r="F178" i="10"/>
  <c r="G174" i="10"/>
  <c r="AD178" i="10"/>
  <c r="R176" i="10"/>
  <c r="I174" i="10"/>
  <c r="X180" i="10"/>
  <c r="AV179" i="10"/>
  <c r="AI181" i="10"/>
  <c r="AI177" i="10"/>
  <c r="V181" i="10"/>
  <c r="AG174" i="10"/>
  <c r="Z182" i="10"/>
  <c r="K176" i="10"/>
  <c r="G177" i="10"/>
  <c r="E181" i="10"/>
  <c r="AR175" i="10"/>
  <c r="AR178" i="10"/>
  <c r="Z179" i="10"/>
  <c r="AV180" i="10"/>
  <c r="AQ175" i="10"/>
  <c r="D182" i="10"/>
  <c r="Z177" i="10"/>
  <c r="AU177" i="10"/>
  <c r="J177" i="10"/>
  <c r="AC179" i="10"/>
  <c r="U175" i="10"/>
  <c r="AC178" i="10"/>
  <c r="M179" i="10"/>
  <c r="Y175" i="10"/>
  <c r="C182" i="10"/>
  <c r="AV174" i="10"/>
  <c r="AI178" i="10"/>
  <c r="X181" i="10"/>
  <c r="AQ177" i="10"/>
  <c r="I178" i="10"/>
  <c r="C176" i="10"/>
  <c r="AD181" i="10"/>
  <c r="AK182" i="10"/>
  <c r="AB178" i="10"/>
  <c r="D177" i="10"/>
  <c r="AK178" i="10"/>
  <c r="J176" i="10"/>
  <c r="Z174" i="10"/>
  <c r="H180" i="10"/>
  <c r="AB177" i="10"/>
  <c r="AN180" i="10"/>
  <c r="AW177" i="10"/>
  <c r="V175" i="10"/>
  <c r="V178" i="10"/>
  <c r="AW180" i="10"/>
  <c r="K178" i="10"/>
  <c r="F176" i="10"/>
  <c r="AP182" i="10"/>
  <c r="R175" i="10"/>
  <c r="AK180" i="10"/>
  <c r="AK175" i="10"/>
  <c r="AF177" i="10"/>
  <c r="AP177" i="10"/>
  <c r="M180" i="10"/>
  <c r="AP178" i="10"/>
  <c r="C180" i="10"/>
  <c r="U177" i="10"/>
  <c r="F175" i="10"/>
  <c r="AQ181" i="10"/>
  <c r="Y176" i="10"/>
  <c r="X174" i="10"/>
  <c r="Z180" i="10"/>
  <c r="F179" i="10"/>
  <c r="X176" i="10"/>
  <c r="H179" i="10"/>
  <c r="V174" i="10"/>
  <c r="S178" i="10"/>
  <c r="R182" i="10"/>
  <c r="P182" i="10"/>
  <c r="AK177" i="10"/>
  <c r="O181" i="10"/>
  <c r="AG182" i="10"/>
  <c r="AU180" i="10"/>
  <c r="U181" i="10"/>
  <c r="AN179" i="10"/>
  <c r="K180" i="10"/>
  <c r="P174" i="10"/>
  <c r="AN176" i="10"/>
  <c r="L179" i="10"/>
  <c r="AS178" i="10"/>
  <c r="AD174" i="10"/>
  <c r="L11" i="10" a="1"/>
  <c r="M11" i="10" a="1"/>
  <c r="F11" i="10" a="1"/>
  <c r="AP11" i="10" a="1"/>
  <c r="AM11" i="10" a="1"/>
  <c r="W11" i="10" a="1"/>
  <c r="AR11" i="10" a="1"/>
  <c r="T11" i="10" a="1"/>
  <c r="T11" i="10" l="1"/>
  <c r="AR11" i="10"/>
  <c r="W11" i="10"/>
  <c r="AM11" i="10"/>
  <c r="AP11" i="10"/>
  <c r="F11" i="10"/>
  <c r="M11" i="10"/>
  <c r="L11" i="10"/>
  <c r="AQ9" i="10" a="1"/>
  <c r="AH9" i="10" a="1"/>
  <c r="M9" i="10" a="1"/>
  <c r="AI9" i="10" a="1"/>
  <c r="R9" i="10" a="1"/>
  <c r="AF9" i="10" a="1"/>
  <c r="AR9" i="10" a="1"/>
  <c r="AR9" i="10" l="1"/>
  <c r="AF9" i="10"/>
  <c r="R9" i="10"/>
  <c r="AI9" i="10"/>
  <c r="M9" i="10"/>
  <c r="AH9" i="10"/>
  <c r="AQ9" i="10"/>
  <c r="AU9" i="10" a="1"/>
  <c r="AJ9" i="10" a="1"/>
  <c r="E9" i="10" a="1"/>
  <c r="Y9" i="10" a="1"/>
  <c r="X9" i="10" a="1"/>
  <c r="AA9" i="10" a="1"/>
  <c r="AT9" i="10" a="1"/>
  <c r="AP9" i="10" a="1"/>
  <c r="O9" i="10" a="1"/>
  <c r="S9" i="10" a="1"/>
  <c r="AV9" i="10" a="1"/>
  <c r="Q9" i="10" a="1"/>
  <c r="T9" i="10" a="1"/>
  <c r="AK9" i="10" a="1"/>
  <c r="AO9" i="10" a="1"/>
  <c r="AO9" i="10" l="1"/>
  <c r="AK9" i="10"/>
  <c r="T9" i="10"/>
  <c r="Q9" i="10"/>
  <c r="AV9" i="10"/>
  <c r="S9" i="10"/>
  <c r="O9" i="10"/>
  <c r="AP9" i="10"/>
  <c r="AT9" i="10"/>
  <c r="AA9" i="10"/>
  <c r="X9" i="10"/>
  <c r="Y9" i="10"/>
  <c r="E9" i="10"/>
  <c r="AJ9" i="10"/>
  <c r="AU9" i="10"/>
  <c r="W9" i="10" a="1"/>
  <c r="H9" i="10" a="1"/>
  <c r="I9" i="10" a="1"/>
  <c r="U3" i="10" a="1"/>
  <c r="AL9" i="10" a="1"/>
  <c r="AU3" i="10" a="1"/>
  <c r="P9" i="10" a="1"/>
  <c r="O3" i="10" a="1"/>
  <c r="AH3" i="10" a="1"/>
  <c r="Z9" i="10" a="1"/>
  <c r="W3" i="10" a="1"/>
  <c r="F3" i="10" a="1"/>
  <c r="M3" i="10" a="1"/>
  <c r="V3" i="10" a="1"/>
  <c r="V9" i="10" a="1"/>
  <c r="AM9" i="10" a="1"/>
  <c r="AM9" i="10" l="1"/>
  <c r="V9" i="10"/>
  <c r="V3" i="10"/>
  <c r="M3" i="10"/>
  <c r="F3" i="10"/>
  <c r="W3" i="10"/>
  <c r="Z9" i="10"/>
  <c r="AH3" i="10"/>
  <c r="O3" i="10"/>
  <c r="P9" i="10"/>
  <c r="AU3" i="10"/>
  <c r="AL9" i="10"/>
  <c r="U3" i="10"/>
  <c r="I9" i="10"/>
  <c r="H9" i="10"/>
  <c r="W9" i="10"/>
  <c r="D11" i="10" a="1"/>
  <c r="C11" i="10" a="1"/>
  <c r="K9" i="10" a="1"/>
  <c r="J11" i="10" a="1"/>
  <c r="AD9" i="10" a="1"/>
  <c r="E11" i="10" a="1"/>
  <c r="C9" i="10" a="1"/>
  <c r="AW9" i="10" a="1"/>
  <c r="D9" i="10" a="1"/>
  <c r="F9" i="10" a="1"/>
  <c r="I11" i="10" a="1"/>
  <c r="AS9" i="10" a="1"/>
  <c r="AU11" i="10" a="1"/>
  <c r="O11" i="10" a="1"/>
  <c r="AF11" i="10" a="1"/>
  <c r="U9" i="10" a="1"/>
  <c r="U9" i="10" l="1"/>
  <c r="AF11" i="10"/>
  <c r="O11" i="10"/>
  <c r="AU11" i="10"/>
  <c r="AS9" i="10"/>
  <c r="I11" i="10"/>
  <c r="F9" i="10"/>
  <c r="D9" i="10"/>
  <c r="AW9" i="10"/>
  <c r="C9" i="10"/>
  <c r="E11" i="10"/>
  <c r="AD9" i="10"/>
  <c r="J11" i="10"/>
  <c r="K9" i="10"/>
  <c r="C11" i="10"/>
  <c r="D11" i="10"/>
  <c r="AC9" i="10" a="1"/>
  <c r="AH11" i="10" a="1"/>
  <c r="AL11" i="10" a="1"/>
  <c r="AA11" i="10" a="1"/>
  <c r="J9" i="10" a="1"/>
  <c r="AD11" i="10" a="1"/>
  <c r="AN9" i="10" a="1"/>
  <c r="L9" i="10" a="1"/>
  <c r="AB9" i="10" a="1"/>
  <c r="G9" i="10" a="1"/>
  <c r="AG9" i="10" a="1"/>
  <c r="AC11" i="10" a="1"/>
  <c r="Z11" i="10" a="1"/>
  <c r="G11" i="10" a="1"/>
  <c r="N9" i="10" a="1"/>
  <c r="N9" i="10" l="1"/>
  <c r="G11" i="10"/>
  <c r="Z11" i="10"/>
  <c r="AC11" i="10"/>
  <c r="AG9" i="10"/>
  <c r="G9" i="10"/>
  <c r="AB9" i="10"/>
  <c r="L9" i="10"/>
  <c r="AN9" i="10"/>
  <c r="AD11" i="10"/>
  <c r="J9" i="10"/>
  <c r="AA11" i="10"/>
  <c r="AL11" i="10"/>
  <c r="AH11" i="10"/>
  <c r="AC9" i="10"/>
  <c r="N11" i="10" a="1"/>
  <c r="AG11" i="10" a="1"/>
  <c r="AV11" i="10" a="1"/>
  <c r="V11" i="10" a="1"/>
  <c r="AO11" i="10" a="1"/>
  <c r="R11" i="10" a="1"/>
  <c r="U11" i="10" a="1"/>
  <c r="X11" i="10" a="1"/>
  <c r="X11" i="10" l="1"/>
  <c r="U11" i="10"/>
  <c r="R11" i="10"/>
  <c r="AO11" i="10"/>
  <c r="V11" i="10"/>
  <c r="AV11" i="10"/>
  <c r="AG11" i="10"/>
  <c r="N11" i="10"/>
  <c r="H11" i="10" a="1"/>
  <c r="AW11" i="10" a="1"/>
  <c r="Q11" i="10" a="1"/>
  <c r="C3" i="10" a="1"/>
  <c r="AJ11" i="10" a="1"/>
  <c r="AC3" i="10" a="1"/>
  <c r="K3" i="10" a="1"/>
  <c r="AI11" i="10" a="1"/>
  <c r="AN3" i="10" a="1"/>
  <c r="P3" i="10" a="1"/>
  <c r="G3" i="10" a="1"/>
  <c r="K11" i="10" a="1"/>
  <c r="AR3" i="10" a="1"/>
  <c r="X3" i="10" a="1"/>
  <c r="AK11" i="10" a="1"/>
  <c r="AB11" i="10" a="1"/>
  <c r="AB11" i="10" l="1"/>
  <c r="AK11" i="10"/>
  <c r="X3" i="10"/>
  <c r="AR3" i="10"/>
  <c r="K11" i="10"/>
  <c r="G3" i="10"/>
  <c r="P3" i="10"/>
  <c r="AN3" i="10"/>
  <c r="AI11" i="10"/>
  <c r="K3" i="10"/>
  <c r="AC3" i="10"/>
  <c r="AJ11" i="10"/>
  <c r="C3" i="10"/>
  <c r="Q11" i="10"/>
  <c r="AW11" i="10"/>
  <c r="H11" i="10"/>
  <c r="AS6" i="10" a="1"/>
  <c r="AH6" i="10" a="1"/>
  <c r="AI7" i="10" a="1"/>
  <c r="V8" i="10" a="1"/>
  <c r="R10" i="10" a="1"/>
  <c r="Z10" i="10" a="1"/>
  <c r="AR8" i="10" a="1"/>
  <c r="O8" i="10" a="1"/>
  <c r="AA13" i="10" a="1"/>
  <c r="R13" i="10" a="1"/>
  <c r="AP12" i="10" a="1"/>
  <c r="AS3" i="10" a="1"/>
  <c r="AQ11" i="10" a="1"/>
  <c r="AK3" i="10" a="1"/>
  <c r="AJ3" i="10" a="1"/>
  <c r="AW4" i="10" a="1"/>
  <c r="E4" i="10" a="1"/>
  <c r="AV4" i="10" a="1"/>
  <c r="AT5" i="10" a="1"/>
  <c r="M4" i="10" a="1"/>
  <c r="AJ5" i="10" a="1"/>
  <c r="S6" i="10" a="1"/>
  <c r="AR5" i="10" a="1"/>
  <c r="AG5" i="10" a="1"/>
  <c r="AF5" i="10" a="1"/>
  <c r="AN6" i="10" a="1"/>
  <c r="Q6" i="10" a="1"/>
  <c r="H7" i="10" a="1"/>
  <c r="F7" i="10" a="1"/>
  <c r="AF7" i="10" a="1"/>
  <c r="AG8" i="10" a="1"/>
  <c r="E8" i="10" a="1"/>
  <c r="L10" i="10" a="1"/>
  <c r="AI14" i="10" a="1"/>
  <c r="AU14" i="10" a="1"/>
  <c r="M12" i="10" a="1"/>
  <c r="Q14" i="10" a="1"/>
  <c r="U13" i="10" a="1"/>
  <c r="AA12" i="10" a="1"/>
  <c r="H10" i="10" a="1"/>
  <c r="Y8" i="10" a="1"/>
  <c r="X10" i="10" a="1"/>
  <c r="Q8" i="10" a="1"/>
  <c r="G13" i="10" a="1"/>
  <c r="E14" i="10" a="1"/>
  <c r="L13" i="10" a="1"/>
  <c r="AT13" i="10" a="1"/>
  <c r="Y12" i="10" a="1"/>
  <c r="AR13" i="10" a="1"/>
  <c r="X13" i="10" a="1"/>
  <c r="K14" i="10" a="1"/>
  <c r="S13" i="10" a="1"/>
  <c r="AG13" i="10" a="1"/>
  <c r="S12" i="10" a="1"/>
  <c r="AN7" i="10" a="1"/>
  <c r="AJ7" i="10" a="1"/>
  <c r="V13" i="10" a="1"/>
  <c r="AW12" i="10" a="1"/>
  <c r="T12" i="10" a="1"/>
  <c r="U12" i="10" a="1"/>
  <c r="AM13" i="10" a="1"/>
  <c r="AA3" i="10" a="1"/>
  <c r="AB3" i="10" a="1"/>
  <c r="N3" i="10" a="1"/>
  <c r="E3" i="10" a="1"/>
  <c r="AK4" i="10" a="1"/>
  <c r="AF4" i="10" a="1"/>
  <c r="O4" i="10" a="1"/>
  <c r="K5" i="10" a="1"/>
  <c r="L4" i="10" a="1"/>
  <c r="AD5" i="10" a="1"/>
  <c r="Z6" i="10" a="1"/>
  <c r="AK6" i="10" a="1"/>
  <c r="P5" i="10" a="1"/>
  <c r="W5" i="10" a="1"/>
  <c r="AC6" i="10" a="1"/>
  <c r="F6" i="10" a="1"/>
  <c r="AD7" i="10" a="1"/>
  <c r="AU7" i="10" a="1"/>
  <c r="AR6" i="10" a="1"/>
  <c r="F10" i="10" a="1"/>
  <c r="D8" i="10" a="1"/>
  <c r="P7" i="10" a="1"/>
  <c r="AM10" i="10" a="1"/>
  <c r="AO8" i="10" a="1"/>
  <c r="R8" i="10" a="1"/>
  <c r="AI12" i="10" a="1"/>
  <c r="AP14" i="10" a="1"/>
  <c r="AU12" i="10" a="1"/>
  <c r="AL12" i="10" a="1"/>
  <c r="I13" i="10" a="1"/>
  <c r="AA7" i="10" a="1"/>
  <c r="AT10" i="10" a="1"/>
  <c r="AT8" i="10" a="1"/>
  <c r="M10" i="10" a="1"/>
  <c r="AV14" i="10" a="1"/>
  <c r="F13" i="10" a="1"/>
  <c r="X12" i="10" a="1"/>
  <c r="I8" i="10" a="1"/>
  <c r="AJ8" i="10" a="1"/>
  <c r="G10" i="10" a="1"/>
  <c r="AL10" i="10" a="1"/>
  <c r="AP8" i="10" a="1"/>
  <c r="AW8" i="10" a="1"/>
  <c r="V12" i="10" a="1"/>
  <c r="X14" i="10" a="1"/>
  <c r="AQ12" i="10" a="1"/>
  <c r="P10" i="10" a="1"/>
  <c r="O7" i="10" a="1"/>
  <c r="E6" i="10" a="1"/>
  <c r="AI13" i="10" a="1"/>
  <c r="I3" i="10" a="1"/>
  <c r="AL3" i="10" a="1"/>
  <c r="Y3" i="10" a="1"/>
  <c r="AW3" i="10" a="1"/>
  <c r="AM4" i="10" a="1"/>
  <c r="G4" i="10" a="1"/>
  <c r="J4" i="10" a="1"/>
  <c r="S5" i="10" a="1"/>
  <c r="AG4" i="10" a="1"/>
  <c r="J5" i="10" a="1"/>
  <c r="W6" i="10" a="1"/>
  <c r="D6" i="10" a="1"/>
  <c r="U5" i="10" a="1"/>
  <c r="AM5" i="10" a="1"/>
  <c r="AG6" i="10" a="1"/>
  <c r="U6" i="10" a="1"/>
  <c r="AI10" i="10" a="1"/>
  <c r="AC7" i="10" a="1"/>
  <c r="AT7" i="10" a="1"/>
  <c r="AW6" i="10" a="1"/>
  <c r="S7" i="10" a="1"/>
  <c r="AB7" i="10" a="1"/>
  <c r="AP10" i="10" a="1"/>
  <c r="O10" i="10" a="1"/>
  <c r="S14" i="10" a="1"/>
  <c r="AC12" i="10" a="1"/>
  <c r="N13" i="10" a="1"/>
  <c r="AK5" i="10" a="1"/>
  <c r="I6" i="10" a="1"/>
  <c r="C8" i="10" a="1"/>
  <c r="AB12" i="10" a="1"/>
  <c r="AL13" i="10" a="1"/>
  <c r="AQ13" i="10" a="1"/>
  <c r="AS12" i="10" a="1"/>
  <c r="L12" i="10" a="1"/>
  <c r="W14" i="10" a="1"/>
  <c r="Z12" i="10" a="1"/>
  <c r="J3" i="10" a="1"/>
  <c r="Q3" i="10" a="1"/>
  <c r="Z3" i="10" a="1"/>
  <c r="AJ4" i="10" a="1"/>
  <c r="AN4" i="10" a="1"/>
  <c r="S4" i="10" a="1"/>
  <c r="V5" i="10" a="1"/>
  <c r="T7" i="10" a="1"/>
  <c r="O5" i="10" a="1"/>
  <c r="AP6" i="10" a="1"/>
  <c r="H6" i="10" a="1"/>
  <c r="Y5" i="10" a="1"/>
  <c r="N6" i="10" a="1"/>
  <c r="K8" i="10" a="1"/>
  <c r="AF8" i="10" a="1"/>
  <c r="AN12" i="10" a="1"/>
  <c r="AS14" i="10" a="1"/>
  <c r="O12" i="10" a="1"/>
  <c r="AK14" i="10" a="1"/>
  <c r="AJ13" i="10" a="1"/>
  <c r="AR10" i="10" a="1"/>
  <c r="AM7" i="10" a="1"/>
  <c r="AL7" i="10" a="1"/>
  <c r="Z8" i="10" a="1"/>
  <c r="N8" i="10" a="1"/>
  <c r="L8" i="10" a="1"/>
  <c r="K10" i="10" a="1"/>
  <c r="T10" i="10" a="1"/>
  <c r="AV8" i="10" a="1"/>
  <c r="AK12" i="10" a="1"/>
  <c r="AT11" i="10" a="1"/>
  <c r="AI3" i="10" a="1"/>
  <c r="AP3" i="10" a="1"/>
  <c r="AA4" i="10" a="1"/>
  <c r="X4" i="10" a="1"/>
  <c r="P4" i="10" a="1"/>
  <c r="AO4" i="10" a="1"/>
  <c r="AC5" i="10" a="1"/>
  <c r="U7" i="10" a="1"/>
  <c r="AN5" i="10" a="1"/>
  <c r="AJ6" i="10" a="1"/>
  <c r="M6" i="10" a="1"/>
  <c r="I5" i="10" a="1"/>
  <c r="M5" i="10" a="1"/>
  <c r="C6" i="10" a="1"/>
  <c r="AB6" i="10" a="1"/>
  <c r="V10" i="10" a="1"/>
  <c r="AS7" i="10" a="1"/>
  <c r="E10" i="10" a="1"/>
  <c r="AU13" i="10" a="1"/>
  <c r="AB14" i="10" a="1"/>
  <c r="H13" i="10" a="1"/>
  <c r="AC14" i="10" a="1"/>
  <c r="Y6" i="10" a="1"/>
  <c r="AF10" i="10" a="1"/>
  <c r="W7" i="10" a="1"/>
  <c r="G7" i="10" a="1"/>
  <c r="AO7" i="10" a="1"/>
  <c r="AQ10" i="10" a="1"/>
  <c r="AQ8" i="10" a="1"/>
  <c r="AG12" i="10" a="1"/>
  <c r="Y10" i="10" a="1"/>
  <c r="K13" i="10" a="1"/>
  <c r="X6" i="10" a="1"/>
  <c r="AC10" i="10" a="1"/>
  <c r="E7" i="10" a="1"/>
  <c r="AU8" i="10" a="1"/>
  <c r="G8" i="10" a="1"/>
  <c r="AK8" i="10" a="1"/>
  <c r="AC13" i="10" a="1"/>
  <c r="AB13" i="10" a="1"/>
  <c r="AS13" i="10" a="1"/>
  <c r="R7" i="10" a="1"/>
  <c r="AW13" i="10" a="1"/>
  <c r="M13" i="10" a="1"/>
  <c r="AH12" i="10" a="1"/>
  <c r="S11" i="10" a="1"/>
  <c r="AD3" i="10" a="1"/>
  <c r="AO3" i="10" a="1"/>
  <c r="AP4" i="10" a="1"/>
  <c r="U4" i="10" a="1"/>
  <c r="AH4" i="10" a="1"/>
  <c r="R4" i="10" a="1"/>
  <c r="AW5" i="10" a="1"/>
  <c r="V7" i="10" a="1"/>
  <c r="AA5" i="10" a="1"/>
  <c r="Q5" i="10" a="1"/>
  <c r="AV6" i="10" a="1"/>
  <c r="X5" i="10" a="1"/>
  <c r="D5" i="10" a="1"/>
  <c r="AL6" i="10" a="1"/>
  <c r="AO10" i="10" a="1"/>
  <c r="S8" i="10" a="1"/>
  <c r="AH8" i="10" a="1"/>
  <c r="X8" i="10" a="1"/>
  <c r="AD10" i="10" a="1"/>
  <c r="AS8" i="10" a="1"/>
  <c r="AP13" i="10" a="1"/>
  <c r="AQ14" i="10" a="1"/>
  <c r="D14" i="10" a="1"/>
  <c r="T13" i="10" a="1"/>
  <c r="Q12" i="10" a="1"/>
  <c r="G12" i="10" a="1"/>
  <c r="AO12" i="10" a="1"/>
  <c r="Z13" i="10" a="1"/>
  <c r="AK7" i="10" a="1"/>
  <c r="AQ7" i="10" a="1"/>
  <c r="AC8" i="10" a="1"/>
  <c r="AB8" i="10" a="1"/>
  <c r="W12" i="10" a="1"/>
  <c r="AR14" i="10" a="1"/>
  <c r="AV12" i="10" a="1"/>
  <c r="AH7" i="10" a="1"/>
  <c r="AN8" i="10" a="1"/>
  <c r="V14" i="10" a="1"/>
  <c r="H12" i="10" a="1"/>
  <c r="AQ6" i="10" a="1"/>
  <c r="P11" i="10" a="1"/>
  <c r="AF3" i="10" a="1"/>
  <c r="V4" i="10" a="1"/>
  <c r="AI4" i="10" a="1"/>
  <c r="H4" i="10" a="1"/>
  <c r="Y4" i="10" a="1"/>
  <c r="D4" i="10" a="1"/>
  <c r="AB5" i="10" a="1"/>
  <c r="AI6" i="10" a="1"/>
  <c r="AO5" i="10" a="1"/>
  <c r="AA6" i="10" a="1"/>
  <c r="AB10" i="10" a="1"/>
  <c r="C10" i="10" a="1"/>
  <c r="I10" i="10" a="1"/>
  <c r="W10" i="10" a="1"/>
  <c r="E13" i="10" a="1"/>
  <c r="AT14" i="10" a="1"/>
  <c r="W13" i="10" a="1"/>
  <c r="C12" i="10" a="1"/>
  <c r="AW7" i="10" a="1"/>
  <c r="AD8" i="10" a="1"/>
  <c r="AJ12" i="10" a="1"/>
  <c r="AN14" i="10" a="1"/>
  <c r="AV13" i="10" a="1"/>
  <c r="D7" i="10" a="1"/>
  <c r="Q7" i="10" a="1"/>
  <c r="AR7" i="10" a="1"/>
  <c r="AA8" i="10" a="1"/>
  <c r="AA10" i="10" a="1"/>
  <c r="O13" i="10" a="1"/>
  <c r="R14" i="10" a="1"/>
  <c r="AT12" i="10" a="1"/>
  <c r="R3" i="10" a="1"/>
  <c r="Z5" i="10" a="1"/>
  <c r="AL8" i="10" a="1"/>
  <c r="AO13" i="10" a="1"/>
  <c r="AN13" i="10" a="1"/>
  <c r="AD13" i="10" a="1"/>
  <c r="U10" i="10" a="1"/>
  <c r="F4" i="10" a="1"/>
  <c r="AR4" i="10" a="1"/>
  <c r="AI5" i="10" a="1"/>
  <c r="G5" i="10" a="1"/>
  <c r="L5" i="10" a="1"/>
  <c r="V6" i="10" a="1"/>
  <c r="O6" i="10" a="1"/>
  <c r="AG10" i="10" a="1"/>
  <c r="S10" i="10" a="1"/>
  <c r="G6" i="10" a="1"/>
  <c r="Y11" i="10" a="1"/>
  <c r="D3" i="10" a="1"/>
  <c r="AB4" i="10" a="1"/>
  <c r="I4" i="10" a="1"/>
  <c r="N4" i="10" a="1"/>
  <c r="AG7" i="10" a="1"/>
  <c r="AP5" i="10" a="1"/>
  <c r="AT6" i="10" a="1"/>
  <c r="AI8" i="10" a="1"/>
  <c r="Q10" i="10" a="1"/>
  <c r="AK10" i="10" a="1"/>
  <c r="Z7" i="10" a="1"/>
  <c r="AM8" i="10" a="1"/>
  <c r="AS10" i="10" a="1"/>
  <c r="J8" i="10" a="1"/>
  <c r="F8" i="10" a="1"/>
  <c r="P12" i="10" a="1"/>
  <c r="P13" i="10" a="1"/>
  <c r="Y13" i="10" a="1"/>
  <c r="AT3" i="10" a="1"/>
  <c r="AS11" i="10" a="1"/>
  <c r="H3" i="10" a="1"/>
  <c r="AM3" i="10" a="1"/>
  <c r="AU4" i="10" a="1"/>
  <c r="C4" i="10" a="1"/>
  <c r="AL4" i="10" a="1"/>
  <c r="T4" i="10" a="1"/>
  <c r="N7" i="10" a="1"/>
  <c r="K6" i="10" a="1"/>
  <c r="AV5" i="10" a="1"/>
  <c r="AU6" i="10" a="1"/>
  <c r="AS5" i="10" a="1"/>
  <c r="C5" i="10" a="1"/>
  <c r="L6" i="10" a="1"/>
  <c r="AC4" i="10" a="1"/>
  <c r="AH5" i="10" a="1"/>
  <c r="P6" i="10" a="1"/>
  <c r="AF6" i="10" a="1"/>
  <c r="Y7" i="10" a="1"/>
  <c r="AU10" i="10" a="1"/>
  <c r="AV7" i="10" a="1"/>
  <c r="L7" i="10" a="1"/>
  <c r="K7" i="10" a="1"/>
  <c r="M8" i="10" a="1"/>
  <c r="N10" i="10" a="1"/>
  <c r="D10" i="10" a="1"/>
  <c r="J10" i="10" a="1"/>
  <c r="P8" i="10" a="1"/>
  <c r="AF13" i="10" a="1"/>
  <c r="J13" i="10" a="1"/>
  <c r="O14" i="10" a="1"/>
  <c r="E12" i="10" a="1"/>
  <c r="AH13" i="10" a="1"/>
  <c r="L14" i="10" a="1"/>
  <c r="AQ3" i="10" a="1"/>
  <c r="AN11" i="10" a="1"/>
  <c r="AV3" i="10" a="1"/>
  <c r="S3" i="10" a="1"/>
  <c r="AT4" i="10" a="1"/>
  <c r="AD4" i="10" a="1"/>
  <c r="AQ4" i="10" a="1"/>
  <c r="AQ5" i="10" a="1"/>
  <c r="K4" i="10" a="1"/>
  <c r="X7" i="10" a="1"/>
  <c r="AD6" i="10" a="1"/>
  <c r="N5" i="10" a="1"/>
  <c r="F5" i="10" a="1"/>
  <c r="R5" i="10" a="1"/>
  <c r="AO6" i="10" a="1"/>
  <c r="H8" i="10" a="1"/>
  <c r="N12" i="10" a="1"/>
  <c r="Q13" i="10" a="1"/>
  <c r="AR12" i="10" a="1"/>
  <c r="F14" i="10" a="1"/>
  <c r="AK13" i="10" a="1"/>
  <c r="AD12" i="10" a="1"/>
  <c r="F12" i="10" a="1"/>
  <c r="AH10" i="10" a="1"/>
  <c r="T3" i="10" a="1"/>
  <c r="AG3" i="10" a="1"/>
  <c r="W4" i="10" a="1"/>
  <c r="Z4" i="10" a="1"/>
  <c r="AS4" i="10" a="1"/>
  <c r="AL5" i="10" a="1"/>
  <c r="Q4" i="10" a="1"/>
  <c r="I7" i="10" a="1"/>
  <c r="AU5" i="10" a="1"/>
  <c r="T5" i="10" a="1"/>
  <c r="AM6" i="10" a="1"/>
  <c r="M7" i="10" a="1"/>
  <c r="AW10" i="10" a="1"/>
  <c r="R6" i="10" a="1"/>
  <c r="C7" i="10" a="1"/>
  <c r="J7" i="10" a="1"/>
  <c r="AN10" i="10" a="1"/>
  <c r="AV10" i="10" a="1"/>
  <c r="U8" i="10" a="1"/>
  <c r="L3" i="10" a="1"/>
  <c r="J6" i="10" a="1"/>
  <c r="E5" i="10" a="1"/>
  <c r="H5" i="10" a="1"/>
  <c r="T6" i="10" a="1"/>
  <c r="AP7" i="10" a="1"/>
  <c r="W8" i="10" a="1"/>
  <c r="AJ10" i="10" a="1"/>
  <c r="T8" i="10" a="1"/>
  <c r="C13" i="10" a="1"/>
  <c r="D13" i="10" a="1"/>
  <c r="AM12" i="10" a="1"/>
  <c r="U15" i="10" a="1"/>
  <c r="V15" i="10" a="1"/>
  <c r="C14" i="10" a="1"/>
  <c r="U14" i="10" a="1"/>
  <c r="F15" i="10" a="1"/>
  <c r="R15" i="10" a="1"/>
  <c r="AN15" i="10" a="1"/>
  <c r="E15" i="10" a="1"/>
  <c r="K16" i="10" a="1"/>
  <c r="N17" i="10" a="1"/>
  <c r="AV18" i="10" a="1"/>
  <c r="AN19" i="10" a="1"/>
  <c r="X16" i="10" a="1"/>
  <c r="AF19" i="10" a="1"/>
  <c r="Q17" i="10" a="1"/>
  <c r="F17" i="10" a="1"/>
  <c r="AC18" i="10" a="1"/>
  <c r="AL17" i="10" a="1"/>
  <c r="G18" i="10" a="1"/>
  <c r="Y18" i="10" a="1"/>
  <c r="N20" i="10" a="1"/>
  <c r="AR19" i="10" a="1"/>
  <c r="M19" i="10" a="1"/>
  <c r="T18" i="10" a="1"/>
  <c r="W19" i="10" a="1"/>
  <c r="AS20" i="10" a="1"/>
  <c r="AQ20" i="10" a="1"/>
  <c r="Q21" i="10" a="1"/>
  <c r="AJ21" i="10" a="1"/>
  <c r="AH20" i="10" a="1"/>
  <c r="W21" i="10" a="1"/>
  <c r="X21" i="10" a="1"/>
  <c r="AP32" i="10" a="1"/>
  <c r="D25" i="10" a="1"/>
  <c r="C32" i="10" a="1"/>
  <c r="AP22" i="10" a="1"/>
  <c r="N32" i="10" a="1"/>
  <c r="Y22" i="10" a="1"/>
  <c r="AD32" i="10" a="1"/>
  <c r="H32" i="10" a="1"/>
  <c r="G23" i="10" a="1"/>
  <c r="R32" i="10" a="1"/>
  <c r="AL23" i="10" a="1"/>
  <c r="AI23" i="10" a="1"/>
  <c r="T23" i="10" a="1"/>
  <c r="G24" i="10" a="1"/>
  <c r="AG23" i="10" a="1"/>
  <c r="AU24" i="10" a="1"/>
  <c r="R24" i="10" a="1"/>
  <c r="D24" i="10" a="1"/>
  <c r="AT25" i="10" a="1"/>
  <c r="K25" i="10" a="1"/>
  <c r="AP25" i="10" a="1"/>
  <c r="AF26" i="10" a="1"/>
  <c r="AJ26" i="10" a="1"/>
  <c r="AO26" i="10" a="1"/>
  <c r="I12" i="10" a="1"/>
  <c r="AW15" i="10" a="1"/>
  <c r="N15" i="10" a="1"/>
  <c r="AO14" i="10" a="1"/>
  <c r="G14" i="10" a="1"/>
  <c r="H15" i="10" a="1"/>
  <c r="L15" i="10" a="1"/>
  <c r="AR15" i="10" a="1"/>
  <c r="G15" i="10" a="1"/>
  <c r="AC16" i="10" a="1"/>
  <c r="AJ17" i="10" a="1"/>
  <c r="N18" i="10" a="1"/>
  <c r="AJ16" i="10" a="1"/>
  <c r="W16" i="10" a="1"/>
  <c r="D20" i="10" a="1"/>
  <c r="AU17" i="10" a="1"/>
  <c r="Z17" i="10" a="1"/>
  <c r="AD18" i="10" a="1"/>
  <c r="F18" i="10" a="1"/>
  <c r="P18" i="10" a="1"/>
  <c r="C18" i="10" a="1"/>
  <c r="S20" i="10" a="1"/>
  <c r="AC19" i="10" a="1"/>
  <c r="AH19" i="10" a="1"/>
  <c r="AB19" i="10" a="1"/>
  <c r="C20" i="10" a="1"/>
  <c r="Q20" i="10" a="1"/>
  <c r="Y21" i="10" a="1"/>
  <c r="AT21" i="10" a="1"/>
  <c r="Z20" i="10" a="1"/>
  <c r="F21" i="10" a="1"/>
  <c r="AI21" i="10" a="1"/>
  <c r="AA32" i="10" a="1"/>
  <c r="AJ25" i="10" a="1"/>
  <c r="AC32" i="10" a="1"/>
  <c r="K12" i="10" a="1"/>
  <c r="AC15" i="10" a="1"/>
  <c r="P15" i="10" a="1"/>
  <c r="H14" i="10" a="1"/>
  <c r="AS16" i="10" a="1"/>
  <c r="S15" i="10" a="1"/>
  <c r="Q15" i="10" a="1"/>
  <c r="AM15" i="10" a="1"/>
  <c r="AT15" i="10" a="1"/>
  <c r="G16" i="10" a="1"/>
  <c r="M17" i="10" a="1"/>
  <c r="S18" i="10" a="1"/>
  <c r="H16" i="10" a="1"/>
  <c r="Q16" i="10" a="1"/>
  <c r="I19" i="10" a="1"/>
  <c r="J17" i="10" a="1"/>
  <c r="AO17" i="10" a="1"/>
  <c r="AM18" i="10" a="1"/>
  <c r="E17" i="10" a="1"/>
  <c r="AF18" i="10" a="1"/>
  <c r="AI18" i="10" a="1"/>
  <c r="J20" i="10" a="1"/>
  <c r="AV19" i="10" a="1"/>
  <c r="O19" i="10" a="1"/>
  <c r="D18" i="10" a="1"/>
  <c r="G19" i="10" a="1"/>
  <c r="AW20" i="10" a="1"/>
  <c r="O20" i="10" a="1"/>
  <c r="AA21" i="10" a="1"/>
  <c r="I21" i="10" a="1"/>
  <c r="V20" i="10" a="1"/>
  <c r="AM21" i="10" a="1"/>
  <c r="AB21" i="10" a="1"/>
  <c r="AO32" i="10" a="1"/>
  <c r="S22" i="10" a="1"/>
  <c r="AH32" i="10" a="1"/>
  <c r="AL22" i="10" a="1"/>
  <c r="T32" i="10" a="1"/>
  <c r="AA22" i="10" a="1"/>
  <c r="Z25" i="10" a="1"/>
  <c r="AI22" i="10" a="1"/>
  <c r="X23" i="10" a="1"/>
  <c r="AU32" i="10" a="1"/>
  <c r="E24" i="10" a="1"/>
  <c r="AU23" i="10" a="1"/>
  <c r="C23" i="10" a="1"/>
  <c r="K23" i="10" a="1"/>
  <c r="J12" i="10" a="1"/>
  <c r="AP15" i="10" a="1"/>
  <c r="AV15" i="10" a="1"/>
  <c r="Z14" i="10" a="1"/>
  <c r="U16" i="10" a="1"/>
  <c r="AB15" i="10" a="1"/>
  <c r="AH16" i="10" a="1"/>
  <c r="AL15" i="10" a="1"/>
  <c r="J15" i="10" a="1"/>
  <c r="AQ16" i="10" a="1"/>
  <c r="H17" i="10" a="1"/>
  <c r="AV17" i="10" a="1"/>
  <c r="AK16" i="10" a="1"/>
  <c r="W20" i="10" a="1"/>
  <c r="AK17" i="10" a="1"/>
  <c r="AQ17" i="10" a="1"/>
  <c r="AD17" i="10" a="1"/>
  <c r="AA17" i="10" a="1"/>
  <c r="AK18" i="10" a="1"/>
  <c r="AJ18" i="10" a="1"/>
  <c r="V17" i="10" a="1"/>
  <c r="K19" i="10" a="1"/>
  <c r="T19" i="10" a="1"/>
  <c r="AL20" i="10" a="1"/>
  <c r="D19" i="10" a="1"/>
  <c r="L19" i="10" a="1"/>
  <c r="AG20" i="10" a="1"/>
  <c r="K21" i="10" a="1"/>
  <c r="AU21" i="10" a="1"/>
  <c r="AO20" i="10" a="1"/>
  <c r="L21" i="10" a="1"/>
  <c r="E21" i="10" a="1"/>
  <c r="I32" i="10" a="1"/>
  <c r="K22" i="10" a="1"/>
  <c r="AQ32" i="10" a="1"/>
  <c r="L22" i="10" a="1"/>
  <c r="D32" i="10" a="1"/>
  <c r="E32" i="10" a="1"/>
  <c r="AF12" i="10" a="1"/>
  <c r="P14" i="10" a="1"/>
  <c r="AD15" i="10" a="1"/>
  <c r="AG14" i="10" a="1"/>
  <c r="AU16" i="10" a="1"/>
  <c r="W15" i="10" a="1"/>
  <c r="I16" i="10" a="1"/>
  <c r="AA15" i="10" a="1"/>
  <c r="P16" i="10" a="1"/>
  <c r="AW16" i="10" a="1"/>
  <c r="C17" i="10" a="1"/>
  <c r="E19" i="10" a="1"/>
  <c r="T16" i="10" a="1"/>
  <c r="S16" i="10" a="1"/>
  <c r="AW19" i="10" a="1"/>
  <c r="L17" i="10" a="1"/>
  <c r="U17" i="10" a="1"/>
  <c r="W17" i="10" a="1"/>
  <c r="AL18" i="10" a="1"/>
  <c r="AU18" i="10" a="1"/>
  <c r="W18" i="10" a="1"/>
  <c r="AF15" i="10" a="1"/>
  <c r="Y14" i="10" a="1"/>
  <c r="AM14" i="10" a="1"/>
  <c r="AF14" i="10" a="1"/>
  <c r="M15" i="10" a="1"/>
  <c r="AQ15" i="10" a="1"/>
  <c r="AH14" i="10" a="1"/>
  <c r="AJ14" i="10" a="1"/>
  <c r="J14" i="10" a="1"/>
  <c r="T15" i="10" a="1"/>
  <c r="AW14" i="10" a="1"/>
  <c r="N16" i="10" a="1"/>
  <c r="X18" i="10" a="1"/>
  <c r="X17" i="10" a="1"/>
  <c r="R18" i="10" a="1"/>
  <c r="I20" i="10" a="1"/>
  <c r="AP19" i="10" a="1"/>
  <c r="AO19" i="10" a="1"/>
  <c r="AN20" i="10" a="1"/>
  <c r="AC21" i="10" a="1"/>
  <c r="D21" i="10" a="1"/>
  <c r="AV25" i="10" a="1"/>
  <c r="Z32" i="10" a="1"/>
  <c r="Y32" i="10" a="1"/>
  <c r="F24" i="10" a="1"/>
  <c r="AM24" i="10" a="1"/>
  <c r="C25" i="10" a="1"/>
  <c r="Y25" i="10" a="1"/>
  <c r="H26" i="10" a="1"/>
  <c r="Y26" i="10" a="1"/>
  <c r="R26" i="10" a="1"/>
  <c r="AF27" i="10" a="1"/>
  <c r="AK28" i="10" a="1"/>
  <c r="U29" i="10" a="1"/>
  <c r="AF30" i="10" a="1"/>
  <c r="AD29" i="10" a="1"/>
  <c r="AU28" i="10" a="1"/>
  <c r="Y30" i="10" a="1"/>
  <c r="O31" i="10" a="1"/>
  <c r="I34" i="10" a="1"/>
  <c r="L31" i="10" a="1"/>
  <c r="P34" i="10" a="1"/>
  <c r="AC33" i="10" a="1"/>
  <c r="P27" i="10" a="1"/>
  <c r="AK26" i="10" a="1"/>
  <c r="Z26" i="10" a="1"/>
  <c r="C27" i="10" a="1"/>
  <c r="AH28" i="10" a="1"/>
  <c r="G28" i="10" a="1"/>
  <c r="AQ29" i="10" a="1"/>
  <c r="AM30" i="10" a="1"/>
  <c r="L29" i="10" a="1"/>
  <c r="Y31" i="10" a="1"/>
  <c r="M31" i="10" a="1"/>
  <c r="S31" i="10" a="1"/>
  <c r="L33" i="10" a="1"/>
  <c r="H33" i="10" a="1"/>
  <c r="AU33" i="10" a="1"/>
  <c r="K33" i="10" a="1"/>
  <c r="AB35" i="10" a="1"/>
  <c r="G35" i="10" a="1"/>
  <c r="F35" i="10" a="1"/>
  <c r="W36" i="10" a="1"/>
  <c r="AJ35" i="10" a="1"/>
  <c r="AD21" i="10" a="1"/>
  <c r="R12" i="10" a="1"/>
  <c r="AD14" i="10" a="1"/>
  <c r="AP16" i="10" a="1"/>
  <c r="AA20" i="10" a="1"/>
  <c r="S17" i="10" a="1"/>
  <c r="L20" i="10" a="1"/>
  <c r="AI19" i="10" a="1"/>
  <c r="P21" i="10" a="1"/>
  <c r="AR22" i="10" a="1"/>
  <c r="K32" i="10" a="1"/>
  <c r="X22" i="10" a="1"/>
  <c r="AN32" i="10" a="1"/>
  <c r="AK22" i="10" a="1"/>
  <c r="U25" i="10" a="1"/>
  <c r="AJ24" i="10" a="1"/>
  <c r="L24" i="10" a="1"/>
  <c r="AA24" i="10" a="1"/>
  <c r="E25" i="10" a="1"/>
  <c r="I26" i="10" a="1"/>
  <c r="AR27" i="10" a="1"/>
  <c r="M33" i="10" a="1"/>
  <c r="AH35" i="10" a="1"/>
  <c r="T35" i="10" a="1"/>
  <c r="AJ34" i="10" a="1"/>
  <c r="C35" i="10" a="1"/>
  <c r="D12" i="10" a="1"/>
  <c r="AB16" i="10" a="1"/>
  <c r="AR16" i="10" a="1"/>
  <c r="AD19" i="10" a="1"/>
  <c r="AW18" i="10" a="1"/>
  <c r="K20" i="10" a="1"/>
  <c r="AL19" i="10" a="1"/>
  <c r="AA19" i="10" a="1"/>
  <c r="E20" i="10" a="1"/>
  <c r="AW21" i="10" a="1"/>
  <c r="AQ21" i="10" a="1"/>
  <c r="AS22" i="10" a="1"/>
  <c r="C22" i="10" a="1"/>
  <c r="W32" i="10" a="1"/>
  <c r="F32" i="10" a="1"/>
  <c r="Z22" i="10" a="1"/>
  <c r="AK23" i="10" a="1"/>
  <c r="AB24" i="10" a="1"/>
  <c r="C24" i="10" a="1"/>
  <c r="AD25" i="10" a="1"/>
  <c r="AB26" i="10" a="1"/>
  <c r="Z27" i="10" a="1"/>
  <c r="AN26" i="10" a="1"/>
  <c r="AQ27" i="10" a="1"/>
  <c r="AO28" i="10" a="1"/>
  <c r="AV29" i="10" a="1"/>
  <c r="AR30" i="10" a="1"/>
  <c r="G29" i="10" a="1"/>
  <c r="AB37" i="10" a="1"/>
  <c r="AN30" i="10" a="1"/>
  <c r="F31" i="10" a="1"/>
  <c r="AS34" i="10" a="1"/>
  <c r="Q31" i="10" a="1"/>
  <c r="AW31" i="10" a="1"/>
  <c r="Z33" i="10" a="1"/>
  <c r="AQ30" i="10" a="1"/>
  <c r="AQ31" i="10" a="1"/>
  <c r="AL31" i="10" a="1"/>
  <c r="AT31" i="10" a="1"/>
  <c r="X31" i="10" a="1"/>
  <c r="J26" i="10" a="1"/>
  <c r="M26" i="10" a="1"/>
  <c r="E27" i="10" a="1"/>
  <c r="S28" i="10" a="1"/>
  <c r="K30" i="10" a="1"/>
  <c r="AG29" i="10" a="1"/>
  <c r="T37" i="10" a="1"/>
  <c r="AD34" i="10" a="1"/>
  <c r="AN33" i="10" a="1"/>
  <c r="AQ35" i="10" a="1"/>
  <c r="AI16" i="10" a="1"/>
  <c r="Q19" i="10" a="1"/>
  <c r="AU20" i="10" a="1"/>
  <c r="AW17" i="10" a="1"/>
  <c r="E18" i="10" a="1"/>
  <c r="AK21" i="10" a="1"/>
  <c r="AG22" i="10" a="1"/>
  <c r="N22" i="10" a="1"/>
  <c r="AB32" i="10" a="1"/>
  <c r="G22" i="10" a="1"/>
  <c r="L32" i="10" a="1"/>
  <c r="AU22" i="10" a="1"/>
  <c r="AM25" i="10" a="1"/>
  <c r="N25" i="10" a="1"/>
  <c r="R27" i="10" a="1"/>
  <c r="Q26" i="10" a="1"/>
  <c r="Q28" i="10" a="1"/>
  <c r="AU29" i="10" a="1"/>
  <c r="I30" i="10" a="1"/>
  <c r="W30" i="10" a="1"/>
  <c r="W29" i="10" a="1"/>
  <c r="Q30" i="10" a="1"/>
  <c r="AR31" i="10" a="1"/>
  <c r="AF34" i="10" a="1"/>
  <c r="AO31" i="10" a="1"/>
  <c r="D34" i="10" a="1"/>
  <c r="N33" i="10" a="1"/>
  <c r="J33" i="10" a="1"/>
  <c r="N36" i="10" a="1"/>
  <c r="AT35" i="10" a="1"/>
  <c r="AB36" i="10" a="1"/>
  <c r="O35" i="10" a="1"/>
  <c r="AI35" i="10" a="1"/>
  <c r="S35" i="10" a="1"/>
  <c r="O36" i="10" a="1"/>
  <c r="R35" i="10" a="1"/>
  <c r="AC26" i="10" a="1"/>
  <c r="AD27" i="10" a="1"/>
  <c r="AJ27" i="10" a="1"/>
  <c r="AS28" i="10" a="1"/>
  <c r="AQ28" i="10" a="1"/>
  <c r="D29" i="10" a="1"/>
  <c r="V30" i="10" a="1"/>
  <c r="E29" i="10" a="1"/>
  <c r="AD37" i="10" a="1"/>
  <c r="T30" i="10" a="1"/>
  <c r="T28" i="10" a="1"/>
  <c r="AJ30" i="10" a="1"/>
  <c r="X30" i="10" a="1"/>
  <c r="AT33" i="10" a="1"/>
  <c r="D36" i="10" a="1"/>
  <c r="Y16" i="10" a="1"/>
  <c r="R16" i="10" a="1"/>
  <c r="AM19" i="10" a="1"/>
  <c r="K17" i="10" a="1"/>
  <c r="K18" i="10" a="1"/>
  <c r="AT17" i="10" a="1"/>
  <c r="J18" i="10" a="1"/>
  <c r="P20" i="10" a="1"/>
  <c r="O21" i="10" a="1"/>
  <c r="AJ20" i="10" a="1"/>
  <c r="C21" i="10" a="1"/>
  <c r="AV22" i="10" a="1"/>
  <c r="M22" i="10" a="1"/>
  <c r="M23" i="10" a="1"/>
  <c r="F25" i="10" a="1"/>
  <c r="Y23" i="10" a="1"/>
  <c r="M24" i="10" a="1"/>
  <c r="K24" i="10" a="1"/>
  <c r="V25" i="10" a="1"/>
  <c r="AT26" i="10" a="1"/>
  <c r="AO34" i="10" a="1"/>
  <c r="AV34" i="10" a="1"/>
  <c r="I14" i="10" a="1"/>
  <c r="N19" i="10" a="1"/>
  <c r="AP20" i="10" a="1"/>
  <c r="AB18" i="10" a="1"/>
  <c r="Y17" i="10" a="1"/>
  <c r="AR21" i="10" a="1"/>
  <c r="U21" i="10" a="1"/>
  <c r="AT22" i="10" a="1"/>
  <c r="X32" i="10" a="1"/>
  <c r="H22" i="10" a="1"/>
  <c r="AL32" i="10" a="1"/>
  <c r="T25" i="10" a="1"/>
  <c r="Z24" i="10" a="1"/>
  <c r="AR25" i="10" a="1"/>
  <c r="AS25" i="10" a="1"/>
  <c r="X15" i="10" a="1"/>
  <c r="AM16" i="10" a="1"/>
  <c r="AA16" i="10" a="1"/>
  <c r="D17" i="10" a="1"/>
  <c r="AA18" i="10" a="1"/>
  <c r="AF17" i="10" a="1"/>
  <c r="AN18" i="10" a="1"/>
  <c r="AK20" i="10" a="1"/>
  <c r="AV21" i="10" a="1"/>
  <c r="AB20" i="10" a="1"/>
  <c r="AH21" i="10" a="1"/>
  <c r="AH22" i="10" a="1"/>
  <c r="AU25" i="10" a="1"/>
  <c r="D23" i="10" a="1"/>
  <c r="Q23" i="10" a="1"/>
  <c r="AR24" i="10" a="1"/>
  <c r="AN24" i="10" a="1"/>
  <c r="P26" i="10" a="1"/>
  <c r="N26" i="10" a="1"/>
  <c r="AM27" i="10" a="1"/>
  <c r="AF28" i="10" a="1"/>
  <c r="AM26" i="10" a="1"/>
  <c r="P29" i="10" a="1"/>
  <c r="AJ28" i="10" a="1"/>
  <c r="K29" i="10" a="1"/>
  <c r="U30" i="10" a="1"/>
  <c r="C29" i="10" a="1"/>
  <c r="H29" i="10" a="1"/>
  <c r="AP37" i="10" a="1"/>
  <c r="AD30" i="10" a="1"/>
  <c r="Z31" i="10" a="1"/>
  <c r="AM31" i="10" a="1"/>
  <c r="X33" i="10" a="1"/>
  <c r="O34" i="10" a="1"/>
  <c r="AR33" i="10" a="1"/>
  <c r="N27" i="10" a="1"/>
  <c r="H28" i="10" a="1"/>
  <c r="P30" i="10" a="1"/>
  <c r="S30" i="10" a="1"/>
  <c r="AH29" i="10" a="1"/>
  <c r="X29" i="10" a="1"/>
  <c r="AA30" i="10" a="1"/>
  <c r="AG31" i="10" a="1"/>
  <c r="AK37" i="10" a="1"/>
  <c r="AA33" i="10" a="1"/>
  <c r="J34" i="10" a="1"/>
  <c r="T33" i="10" a="1"/>
  <c r="W33" i="10" a="1"/>
  <c r="AM37" i="10" a="1"/>
  <c r="T31" i="10" a="1"/>
  <c r="AI37" i="10" a="1"/>
  <c r="L34" i="10" a="1"/>
  <c r="AP31" i="10" a="1"/>
  <c r="AP33" i="10" a="1"/>
  <c r="AU36" i="10" a="1"/>
  <c r="G36" i="10" a="1"/>
  <c r="AI34" i="10" a="1"/>
  <c r="K28" i="10" a="1"/>
  <c r="AK31" i="10" a="1"/>
  <c r="AV37" i="10" a="1"/>
  <c r="J36" i="10" a="1"/>
  <c r="Z34" i="10" a="1"/>
  <c r="AF29" i="10" a="1"/>
  <c r="R30" i="10" a="1"/>
  <c r="AU31" i="10" a="1"/>
  <c r="AA31" i="10" a="1"/>
  <c r="V34" i="10" a="1"/>
  <c r="AH31" i="10" a="1"/>
  <c r="AT36" i="10" a="1"/>
  <c r="AW34" i="10" a="1"/>
  <c r="AF20" i="10" a="1"/>
  <c r="U22" i="10" a="1"/>
  <c r="AI24" i="10" a="1"/>
  <c r="AF16" i="10" a="1"/>
  <c r="AT16" i="10" a="1"/>
  <c r="Z16" i="10" a="1"/>
  <c r="AK19" i="10" a="1"/>
  <c r="X20" i="10" a="1"/>
  <c r="AT20" i="10" a="1"/>
  <c r="Y20" i="10" a="1"/>
  <c r="P22" i="10" a="1"/>
  <c r="AT32" i="10" a="1"/>
  <c r="O22" i="10" a="1"/>
  <c r="S32" i="10" a="1"/>
  <c r="O23" i="10" a="1"/>
  <c r="AS23" i="10" a="1"/>
  <c r="AW23" i="10" a="1"/>
  <c r="V24" i="10" a="1"/>
  <c r="Q25" i="10" a="1"/>
  <c r="G26" i="10" a="1"/>
  <c r="Q27" i="10" a="1"/>
  <c r="V28" i="10" a="1"/>
  <c r="I36" i="10" a="1"/>
  <c r="AM35" i="10" a="1"/>
  <c r="C36" i="10" a="1"/>
  <c r="AG35" i="10" a="1"/>
  <c r="R34" i="10" a="1"/>
  <c r="P35" i="10" a="1"/>
  <c r="T36" i="10" a="1"/>
  <c r="AU34" i="10" a="1"/>
  <c r="AU27" i="10" a="1"/>
  <c r="AW29" i="10" a="1"/>
  <c r="L28" i="10" a="1"/>
  <c r="S29" i="10" a="1"/>
  <c r="AO30" i="10" a="1"/>
  <c r="L30" i="10" a="1"/>
  <c r="AS29" i="10" a="1"/>
  <c r="AT30" i="10" a="1"/>
  <c r="G31" i="10" a="1"/>
  <c r="F33" i="10" a="1"/>
  <c r="AC29" i="10" a="1"/>
  <c r="AK30" i="10" a="1"/>
  <c r="D30" i="10" a="1"/>
  <c r="AC31" i="10" a="1"/>
  <c r="V33" i="10" a="1"/>
  <c r="AR35" i="10" a="1"/>
  <c r="W35" i="10" a="1"/>
  <c r="AW35" i="10" a="1"/>
  <c r="AQ34" i="10" a="1"/>
  <c r="AG34" i="10" a="1"/>
  <c r="AR28" i="10" a="1"/>
  <c r="AP28" i="10" a="1"/>
  <c r="U34" i="10" a="1"/>
  <c r="AM36" i="10" a="1"/>
  <c r="E31" i="10" a="1"/>
  <c r="N37" i="10" a="1"/>
  <c r="Q33" i="10" a="1"/>
  <c r="AN36" i="10" a="1"/>
  <c r="H35" i="10" a="1"/>
  <c r="Y19" i="10" a="1"/>
  <c r="W23" i="10" a="1"/>
  <c r="S24" i="10" a="1"/>
  <c r="F27" i="10" a="1"/>
  <c r="AL14" i="10" a="1"/>
  <c r="D16" i="10" a="1"/>
  <c r="AG15" i="10" a="1"/>
  <c r="AJ19" i="10" a="1"/>
  <c r="U19" i="10" a="1"/>
  <c r="AG17" i="10" a="1"/>
  <c r="M18" i="10" a="1"/>
  <c r="R17" i="10" a="1"/>
  <c r="Z18" i="10" a="1"/>
  <c r="AV20" i="10" a="1"/>
  <c r="G21" i="10" a="1"/>
  <c r="AD20" i="10" a="1"/>
  <c r="S21" i="10" a="1"/>
  <c r="AN22" i="10" a="1"/>
  <c r="R22" i="10" a="1"/>
  <c r="V32" i="10" a="1"/>
  <c r="U23" i="10" a="1"/>
  <c r="AB23" i="10" a="1"/>
  <c r="J24" i="10" a="1"/>
  <c r="AW24" i="10" a="1"/>
  <c r="O26" i="10" a="1"/>
  <c r="AR26" i="10" a="1"/>
  <c r="L26" i="10" a="1"/>
  <c r="U27" i="10" a="1"/>
  <c r="AS37" i="10" a="1"/>
  <c r="AI31" i="10" a="1"/>
  <c r="AV33" i="10" a="1"/>
  <c r="R36" i="10" a="1"/>
  <c r="T14" i="10" a="1"/>
  <c r="E16" i="10" a="1"/>
  <c r="AQ19" i="10" a="1"/>
  <c r="I17" i="10" a="1"/>
  <c r="V18" i="10" a="1"/>
  <c r="AT18" i="10" a="1"/>
  <c r="V21" i="10" a="1"/>
  <c r="Q32" i="10" a="1"/>
  <c r="AH25" i="10" a="1"/>
  <c r="V22" i="10" a="1"/>
  <c r="AC24" i="10" a="1"/>
  <c r="AM23" i="10" a="1"/>
  <c r="AJ23" i="10" a="1"/>
  <c r="AT23" i="10" a="1"/>
  <c r="AI25" i="10" a="1"/>
  <c r="F26" i="10" a="1"/>
  <c r="AQ26" i="10" a="1"/>
  <c r="Y28" i="10" a="1"/>
  <c r="V27" i="10" a="1"/>
  <c r="AK29" i="10" a="1"/>
  <c r="D28" i="10" a="1"/>
  <c r="AV30" i="10" a="1"/>
  <c r="F16" i="10" a="1"/>
  <c r="AH15" i="10" a="1"/>
  <c r="H19" i="10" a="1"/>
  <c r="T17" i="10" a="1"/>
  <c r="AP17" i="10" a="1"/>
  <c r="T20" i="10" a="1"/>
  <c r="C19" i="10" a="1"/>
  <c r="AP21" i="10" a="1"/>
  <c r="AS21" i="10" a="1"/>
  <c r="AF32" i="10" a="1"/>
  <c r="AF22" i="10" a="1"/>
  <c r="AJ32" i="10" a="1"/>
  <c r="M25" i="10" a="1"/>
  <c r="AW22" i="10" a="1"/>
  <c r="AR23" i="10" a="1"/>
  <c r="R23" i="10" a="1"/>
  <c r="W24" i="10" a="1"/>
  <c r="AO24" i="10" a="1"/>
  <c r="W25" i="10" a="1"/>
  <c r="W26" i="10" a="1"/>
  <c r="AD26" i="10" a="1"/>
  <c r="AO27" i="10" a="1"/>
  <c r="W27" i="10" a="1"/>
  <c r="V29" i="10" a="1"/>
  <c r="L27" i="10" a="1"/>
  <c r="AL29" i="10" a="1"/>
  <c r="AI30" i="10" a="1"/>
  <c r="AA28" i="10" a="1"/>
  <c r="AJ29" i="10" a="1"/>
  <c r="F37" i="10" a="1"/>
  <c r="AP30" i="10" a="1"/>
  <c r="AB30" i="10" a="1"/>
  <c r="D31" i="10" a="1"/>
  <c r="J37" i="10" a="1"/>
  <c r="M34" i="10" a="1"/>
  <c r="I33" i="10" a="1"/>
  <c r="AS33" i="10" a="1"/>
  <c r="AH34" i="10" a="1"/>
  <c r="AG33" i="10" a="1"/>
  <c r="AO33" i="10" a="1"/>
  <c r="AJ33" i="10" a="1"/>
  <c r="AF36" i="10" a="1"/>
  <c r="D35" i="10" a="1"/>
  <c r="U36" i="10" a="1"/>
  <c r="Q35" i="10" a="1"/>
  <c r="AN34" i="10" a="1"/>
  <c r="L35" i="10" a="1"/>
  <c r="AF33" i="10" a="1"/>
  <c r="I35" i="10" a="1"/>
  <c r="H34" i="10" a="1"/>
  <c r="E30" i="10" a="1"/>
  <c r="N31" i="10" a="1"/>
  <c r="AI33" i="10" a="1"/>
  <c r="AD33" i="10" a="1"/>
  <c r="V35" i="10" a="1"/>
  <c r="T34" i="10" a="1"/>
  <c r="E22" i="10" a="1"/>
  <c r="M14" i="10" a="1"/>
  <c r="AL16" i="10" a="1"/>
  <c r="AO16" i="10" a="1"/>
  <c r="V16" i="10" a="1"/>
  <c r="L18" i="10" a="1"/>
  <c r="AB17" i="10" a="1"/>
  <c r="F19" i="10" a="1"/>
  <c r="AR32" i="10" a="1"/>
  <c r="AG25" i="10" a="1"/>
  <c r="I22" i="10" a="1"/>
  <c r="AQ24" i="10" a="1"/>
  <c r="H23" i="10" a="1"/>
  <c r="N23" i="10" a="1"/>
  <c r="J23" i="10" a="1"/>
  <c r="AF24" i="10" a="1"/>
  <c r="Q24" i="10" a="1"/>
  <c r="AV26" i="10" a="1"/>
  <c r="V26" i="10" a="1"/>
  <c r="AW28" i="10" a="1"/>
  <c r="Y27" i="10" a="1"/>
  <c r="T29" i="10" a="1"/>
  <c r="I27" i="10" a="1"/>
  <c r="O28" i="10" a="1"/>
  <c r="AC30" i="10" a="1"/>
  <c r="AA29" i="10" a="1"/>
  <c r="AW37" i="10" a="1"/>
  <c r="AW30" i="10" a="1"/>
  <c r="H31" i="10" a="1"/>
  <c r="K34" i="10" a="1"/>
  <c r="AR29" i="10" a="1"/>
  <c r="O30" i="10" a="1"/>
  <c r="AM33" i="10" a="1"/>
  <c r="N35" i="10" a="1"/>
  <c r="AK34" i="10" a="1"/>
  <c r="C16" i="10" a="1"/>
  <c r="AG16" i="10" a="1"/>
  <c r="L16" i="10" a="1"/>
  <c r="X19" i="10" a="1"/>
  <c r="AS18" i="10" a="1"/>
  <c r="O17" i="10" a="1"/>
  <c r="AM20" i="10" a="1"/>
  <c r="J19" i="10" a="1"/>
  <c r="M21" i="10" a="1"/>
  <c r="AG21" i="10" a="1"/>
  <c r="AW32" i="10" a="1"/>
  <c r="AK32" i="10" a="1"/>
  <c r="AI32" i="10" a="1"/>
  <c r="AQ23" i="10" a="1"/>
  <c r="AT24" i="10" a="1"/>
  <c r="O24" i="10" a="1"/>
  <c r="X24" i="10" a="1"/>
  <c r="R25" i="10" a="1"/>
  <c r="AL26" i="10" a="1"/>
  <c r="K26" i="10" a="1"/>
  <c r="X27" i="10" a="1"/>
  <c r="F28" i="10" a="1"/>
  <c r="AV27" i="10" a="1"/>
  <c r="AC27" i="10" a="1"/>
  <c r="F29" i="10" a="1"/>
  <c r="AB28" i="10" a="1"/>
  <c r="AH30" i="10" a="1"/>
  <c r="M29" i="10" a="1"/>
  <c r="F30" i="10" a="1"/>
  <c r="AG30" i="10" a="1"/>
  <c r="AS31" i="10" a="1"/>
  <c r="AJ37" i="10" a="1"/>
  <c r="AB34" i="10" a="1"/>
  <c r="AR34" i="10" a="1"/>
  <c r="T21" i="10" a="1"/>
  <c r="AJ22" i="10" a="1"/>
  <c r="AV32" i="10" a="1"/>
  <c r="AB25" i="10" a="1"/>
  <c r="E23" i="10" a="1"/>
  <c r="AL24" i="10" a="1"/>
  <c r="AP23" i="10" a="1"/>
  <c r="AO23" i="10" a="1"/>
  <c r="AV23" i="10" a="1"/>
  <c r="Y24" i="10" a="1"/>
  <c r="U26" i="10" a="1"/>
  <c r="X26" i="10" a="1"/>
  <c r="C26" i="10" a="1"/>
  <c r="AB27" i="10" a="1"/>
  <c r="AG28" i="10" a="1"/>
  <c r="N14" i="10" a="1"/>
  <c r="D15" i="10" a="1"/>
  <c r="G17" i="10" a="1"/>
  <c r="AI20" i="10" a="1"/>
  <c r="AN17" i="10" a="1"/>
  <c r="Q18" i="10" a="1"/>
  <c r="AP18" i="10" a="1"/>
  <c r="O33" i="10" a="1"/>
  <c r="AL21" i="10" a="1"/>
  <c r="V23" i="10" a="1"/>
  <c r="J27" i="10" a="1"/>
  <c r="I15" i="10" a="1"/>
  <c r="AN16" i="10" a="1"/>
  <c r="AH17" i="10" a="1"/>
  <c r="AR18" i="10" a="1"/>
  <c r="AS19" i="10" a="1"/>
  <c r="AR20" i="10" a="1"/>
  <c r="Z19" i="10" a="1"/>
  <c r="Z21" i="10" a="1"/>
  <c r="AS32" i="10" a="1"/>
  <c r="G32" i="10" a="1"/>
  <c r="AM32" i="10" a="1"/>
  <c r="H25" i="10" a="1"/>
  <c r="AV24" i="10" a="1"/>
  <c r="AD23" i="10" a="1"/>
  <c r="AA23" i="10" a="1"/>
  <c r="I24" i="10" a="1"/>
  <c r="P24" i="10" a="1"/>
  <c r="AN25" i="10" a="1"/>
  <c r="H27" i="10" a="1"/>
  <c r="C28" i="10" a="1"/>
  <c r="AI27" i="10" a="1"/>
  <c r="AL27" i="10" a="1"/>
  <c r="AN29" i="10" a="1"/>
  <c r="E28" i="10" a="1"/>
  <c r="J28" i="10" a="1"/>
  <c r="F34" i="10" a="1"/>
  <c r="O25" i="10" a="1"/>
  <c r="AL25" i="10" a="1"/>
  <c r="N28" i="10" a="1"/>
  <c r="C15" i="10" a="1"/>
  <c r="AS15" i="10" a="1"/>
  <c r="AJ15" i="10" a="1"/>
  <c r="AH18" i="10" a="1"/>
  <c r="O18" i="10" a="1"/>
  <c r="R19" i="10" a="1"/>
  <c r="J21" i="10" a="1"/>
  <c r="X25" i="10" a="1"/>
  <c r="J32" i="10" a="1"/>
  <c r="AC23" i="10" a="1"/>
  <c r="T22" i="10" a="1"/>
  <c r="Z23" i="10" a="1"/>
  <c r="AH23" i="10" a="1"/>
  <c r="I23" i="10" a="1"/>
  <c r="AD24" i="10" a="1"/>
  <c r="P25" i="10" a="1"/>
  <c r="AP26" i="10" a="1"/>
  <c r="AW26" i="10" a="1"/>
  <c r="G27" i="10" a="1"/>
  <c r="AP29" i="10" a="1"/>
  <c r="AW27" i="10" a="1"/>
  <c r="Y29" i="10" a="1"/>
  <c r="AC28" i="10" a="1"/>
  <c r="Z28" i="10" a="1"/>
  <c r="H30" i="10" a="1"/>
  <c r="K31" i="10" a="1"/>
  <c r="K15" i="10" a="1"/>
  <c r="O15" i="10" a="1"/>
  <c r="M16" i="10" a="1"/>
  <c r="AM17" i="10" a="1"/>
  <c r="AO15" i="10" a="1"/>
  <c r="Y15" i="10" a="1"/>
  <c r="AV16" i="10" a="1"/>
  <c r="AS17" i="10" a="1"/>
  <c r="AC17" i="10" a="1"/>
  <c r="I18" i="10" a="1"/>
  <c r="V19" i="10" a="1"/>
  <c r="AO21" i="10" a="1"/>
  <c r="U32" i="10" a="1"/>
  <c r="AF23" i="10" a="1"/>
  <c r="AC22" i="10" a="1"/>
  <c r="J25" i="10" a="1"/>
  <c r="AP24" i="10" a="1"/>
  <c r="L23" i="10" a="1"/>
  <c r="AH24" i="10" a="1"/>
  <c r="T24" i="10" a="1"/>
  <c r="AA26" i="10" a="1"/>
  <c r="S27" i="10" a="1"/>
  <c r="Z15" i="10" a="1"/>
  <c r="U18" i="10" a="1"/>
  <c r="J16" i="10" a="1"/>
  <c r="AQ18" i="10" a="1"/>
  <c r="H20" i="10" a="1"/>
  <c r="AT19" i="10" a="1"/>
  <c r="G20" i="10" a="1"/>
  <c r="P19" i="10" a="1"/>
  <c r="AN21" i="10" a="1"/>
  <c r="H21" i="10" a="1"/>
  <c r="AQ25" i="10" a="1"/>
  <c r="W22" i="10" a="1"/>
  <c r="D22" i="10" a="1"/>
  <c r="H24" i="10" a="1"/>
  <c r="AG24" i="10" a="1"/>
  <c r="AW25" i="10" a="1"/>
  <c r="D26" i="10" a="1"/>
  <c r="AN27" i="10" a="1"/>
  <c r="AG26" i="10" a="1"/>
  <c r="AI15" i="10" a="1"/>
  <c r="P17" i="10" a="1"/>
  <c r="AI17" i="10" a="1"/>
  <c r="F20" i="10" a="1"/>
  <c r="AF21" i="10" a="1"/>
  <c r="AD22" i="10" a="1"/>
  <c r="AB22" i="10" a="1"/>
  <c r="O32" i="10" a="1"/>
  <c r="P23" i="10" a="1"/>
  <c r="J22" i="10" a="1"/>
  <c r="I25" i="10" a="1"/>
  <c r="AS24" i="10" a="1"/>
  <c r="AN23" i="10" a="1"/>
  <c r="AK24" i="10" a="1"/>
  <c r="S25" i="10" a="1"/>
  <c r="AO25" i="10" a="1"/>
  <c r="AP27" i="10" a="1"/>
  <c r="AH27" i="10" a="1"/>
  <c r="AI26" i="10" a="1"/>
  <c r="AA27" i="10" a="1"/>
  <c r="R29" i="10" a="1"/>
  <c r="AT28" i="10" a="1"/>
  <c r="AI28" i="10" a="1"/>
  <c r="M28" i="10" a="1"/>
  <c r="J29" i="10" a="1"/>
  <c r="U31" i="10" a="1"/>
  <c r="AL34" i="10" a="1"/>
  <c r="P31" i="10" a="1"/>
  <c r="AN31" i="10" a="1"/>
  <c r="Y33" i="10" a="1"/>
  <c r="G33" i="10" a="1"/>
  <c r="S33" i="10" a="1"/>
  <c r="R33" i="10" a="1"/>
  <c r="AP35" i="10" a="1"/>
  <c r="Y35" i="10" a="1"/>
  <c r="AV35" i="10" a="1"/>
  <c r="M35" i="10" a="1"/>
  <c r="W34" i="10" a="1"/>
  <c r="AI36" i="10" a="1"/>
  <c r="G34" i="10" a="1"/>
  <c r="AS27" i="10" a="1"/>
  <c r="AN28" i="10" a="1"/>
  <c r="P28" i="10" a="1"/>
  <c r="C30" i="10" a="1"/>
  <c r="J31" i="10" a="1"/>
  <c r="AB31" i="10" a="1"/>
  <c r="AH33" i="10" a="1"/>
  <c r="D33" i="10" a="1"/>
  <c r="E33" i="10" a="1"/>
  <c r="AB33" i="10" a="1"/>
  <c r="AS35" i="10" a="1"/>
  <c r="AK35" i="10" a="1"/>
  <c r="S36" i="10" a="1"/>
  <c r="C33" i="10" a="1"/>
  <c r="X35" i="10" a="1"/>
  <c r="AD36" i="10" a="1"/>
  <c r="AK27" i="10" a="1"/>
  <c r="AA14" i="10" a="1"/>
  <c r="AK15" i="10" a="1"/>
  <c r="AD16" i="10" a="1"/>
  <c r="AG18" i="10" a="1"/>
  <c r="O16" i="10" a="1"/>
  <c r="U20" i="10" a="1"/>
  <c r="S19" i="10" a="1"/>
  <c r="AG19" i="10" a="1"/>
  <c r="AC20" i="10" a="1"/>
  <c r="N21" i="10" a="1"/>
  <c r="R21" i="10" a="1"/>
  <c r="AK25" i="10" a="1"/>
  <c r="AQ22" i="10" a="1"/>
  <c r="AO22" i="10" a="1"/>
  <c r="M32" i="10" a="1"/>
  <c r="AA25" i="10" a="1"/>
  <c r="N24" i="10" a="1"/>
  <c r="F23" i="10" a="1"/>
  <c r="G25" i="10" a="1"/>
  <c r="E26" i="10" a="1"/>
  <c r="O27" i="10" a="1"/>
  <c r="AU26" i="10" a="1"/>
  <c r="S26" i="10" a="1"/>
  <c r="AL28" i="10" a="1"/>
  <c r="R28" i="10" a="1"/>
  <c r="AO29" i="10" a="1"/>
  <c r="Z29" i="10" a="1"/>
  <c r="AT29" i="10" a="1"/>
  <c r="J30" i="10" a="1"/>
  <c r="Z30" i="10" a="1"/>
  <c r="W31" i="10" a="1"/>
  <c r="I31" i="10" a="1"/>
  <c r="N34" i="10" a="1"/>
  <c r="C31" i="10" a="1"/>
  <c r="U33" i="10" a="1"/>
  <c r="M27" i="10" a="1"/>
  <c r="AG27" i="10" a="1"/>
  <c r="U28" i="10" a="1"/>
  <c r="AB29" i="10" a="1"/>
  <c r="O29" i="10" a="1"/>
  <c r="AU15" i="10" a="1"/>
  <c r="H18" i="10" a="1"/>
  <c r="R20" i="10" a="1"/>
  <c r="AR17" i="10" a="1"/>
  <c r="AO18" i="10" a="1"/>
  <c r="AU19" i="10" a="1"/>
  <c r="M20" i="10" a="1"/>
  <c r="AF25" i="10" a="1"/>
  <c r="AM22" i="10" a="1"/>
  <c r="Q22" i="10" a="1"/>
  <c r="P32" i="10" a="1"/>
  <c r="AG32" i="10" a="1"/>
  <c r="F22" i="10" a="1"/>
  <c r="L25" i="10" a="1"/>
  <c r="S23" i="10" a="1"/>
  <c r="U24" i="10" a="1"/>
  <c r="AC25" i="10" a="1"/>
  <c r="AL35" i="10" a="1"/>
  <c r="AF35" i="10" a="1"/>
  <c r="C34" i="10" a="1"/>
  <c r="AC34" i="10" a="1"/>
  <c r="V36" i="10" a="1"/>
  <c r="X28" i="10" a="1"/>
  <c r="J35" i="10" a="1"/>
  <c r="AG37" i="10" a="1"/>
  <c r="X34" i="10" a="1"/>
  <c r="AM29" i="10" a="1"/>
  <c r="AM34" i="10" a="1"/>
  <c r="N29" i="10" a="1"/>
  <c r="AV31" i="10" a="1"/>
  <c r="AP34" i="10" a="1"/>
  <c r="V31" i="10" a="1"/>
  <c r="T26" i="10" a="1"/>
  <c r="AU30" i="10" a="1"/>
  <c r="AL36" i="10" a="1"/>
  <c r="D27" i="10" a="1"/>
  <c r="AQ33" i="10" a="1"/>
  <c r="M30" i="10" a="1"/>
  <c r="AD31" i="10" a="1"/>
  <c r="AT34" i="10" a="1"/>
  <c r="I28" i="10" a="1"/>
  <c r="AH26" i="10" a="1"/>
  <c r="N30" i="10" a="1"/>
  <c r="AJ31" i="10" a="1"/>
  <c r="AW33" i="10" a="1"/>
  <c r="E35" i="10" a="1"/>
  <c r="AL30" i="10" a="1"/>
  <c r="AT27" i="10" a="1"/>
  <c r="AF31" i="10" a="1"/>
  <c r="E34" i="10" a="1"/>
  <c r="AN35" i="10" a="1"/>
  <c r="AS26" i="10" a="1"/>
  <c r="G30" i="10" a="1"/>
  <c r="Y34" i="10" a="1"/>
  <c r="AS30" i="10" a="1"/>
  <c r="S34" i="10" a="1"/>
  <c r="P33" i="10" a="1"/>
  <c r="AK33" i="10" a="1"/>
  <c r="K27" i="10" a="1"/>
  <c r="Q29" i="10" a="1"/>
  <c r="T27" i="10" a="1"/>
  <c r="AL33" i="10" a="1"/>
  <c r="AI29" i="10" a="1"/>
  <c r="AV28" i="10" a="1"/>
  <c r="R31" i="10" a="1"/>
  <c r="I29" i="10" a="1"/>
  <c r="Z36" i="10" a="1"/>
  <c r="AD28" i="10" a="1"/>
  <c r="W28" i="10" a="1"/>
  <c r="AM28" i="10" a="1"/>
  <c r="Q34" i="10" a="1"/>
  <c r="AA34" i="10" a="1"/>
  <c r="K35" i="10" a="1"/>
  <c r="AJ36" i="10" a="1"/>
  <c r="AN37" i="10" a="1"/>
  <c r="R38" i="10" a="1"/>
  <c r="AP39" i="10" a="1"/>
  <c r="L37" i="10" a="1"/>
  <c r="X37" i="10" a="1"/>
  <c r="Y47" i="10" a="1"/>
  <c r="H38" i="10" a="1"/>
  <c r="C39" i="10" a="1"/>
  <c r="F47" i="10" a="1"/>
  <c r="AH38" i="10" a="1"/>
  <c r="M39" i="10" a="1"/>
  <c r="AG47" i="10" a="1"/>
  <c r="Q46" i="10" a="1"/>
  <c r="AO40" i="10" a="1"/>
  <c r="Y48" i="10" a="1"/>
  <c r="N41" i="10" a="1"/>
  <c r="AU41" i="10" a="1"/>
  <c r="AS48" i="10" a="1"/>
  <c r="AW41" i="10" a="1"/>
  <c r="AM43" i="10" a="1"/>
  <c r="AU42" i="10" a="1"/>
  <c r="V42" i="10" a="1"/>
  <c r="F42" i="10" a="1"/>
  <c r="T44" i="10" a="1"/>
  <c r="Y44" i="10" a="1"/>
  <c r="Y42" i="10" a="1"/>
  <c r="AR48" i="10" a="1"/>
  <c r="Q42" i="10" a="1"/>
  <c r="AM44" i="10" a="1"/>
  <c r="AA44" i="10" a="1"/>
  <c r="H44" i="10" a="1"/>
  <c r="AJ43" i="10" a="1"/>
  <c r="W44" i="10" a="1"/>
  <c r="AM45" i="10" a="1"/>
  <c r="C40" i="10" a="1"/>
  <c r="AM47" i="10" a="1"/>
  <c r="AH39" i="10" a="1"/>
  <c r="H47" i="10" a="1"/>
  <c r="E48" i="10" a="1"/>
  <c r="AR41" i="10" a="1"/>
  <c r="AO43" i="10" a="1"/>
  <c r="X42" i="10" a="1"/>
  <c r="AR43" i="10" a="1"/>
  <c r="R43" i="10" a="1"/>
  <c r="AD42" i="10" a="1"/>
  <c r="AQ45" i="10" a="1"/>
  <c r="AL44" i="10" a="1"/>
  <c r="G44" i="10" a="1"/>
  <c r="AV43" i="10" a="1"/>
  <c r="V48" i="10" a="1"/>
  <c r="S42" i="10" a="1"/>
  <c r="AK43" i="10" a="1"/>
  <c r="AN45" i="10" a="1"/>
  <c r="AV40" i="10" a="1"/>
  <c r="Y36" i="10" a="1"/>
  <c r="AA35" i="10" a="1"/>
  <c r="X36" i="10" a="1"/>
  <c r="AT37" i="10" a="1"/>
  <c r="AQ38" i="10" a="1"/>
  <c r="W39" i="10" a="1"/>
  <c r="AL37" i="10" a="1"/>
  <c r="AR37" i="10" a="1"/>
  <c r="AB47" i="10" a="1"/>
  <c r="AV38" i="10" a="1"/>
  <c r="V38" i="10" a="1"/>
  <c r="J39" i="10" a="1"/>
  <c r="U38" i="10" a="1"/>
  <c r="AI38" i="10" a="1"/>
  <c r="N47" i="10" a="1"/>
  <c r="Z39" i="10" a="1"/>
  <c r="N46" i="10" a="1"/>
  <c r="Z40" i="10" a="1"/>
  <c r="U46" i="10" a="1"/>
  <c r="AV46" i="10" a="1"/>
  <c r="W46" i="10" a="1"/>
  <c r="AA40" i="10" a="1"/>
  <c r="S40" i="10" a="1"/>
  <c r="D46" i="10" a="1"/>
  <c r="AC40" i="10" a="1"/>
  <c r="AP48" i="10" a="1"/>
  <c r="AC50" i="10" a="1"/>
  <c r="C41" i="10" a="1"/>
  <c r="E41" i="10" a="1"/>
  <c r="D41" i="10" a="1"/>
  <c r="R48" i="10" a="1"/>
  <c r="Z47" i="10" a="1"/>
  <c r="AF47" i="10" a="1"/>
  <c r="AI46" i="10" a="1"/>
  <c r="M46" i="10" a="1"/>
  <c r="AC36" i="10" a="1"/>
  <c r="U35" i="10" a="1"/>
  <c r="Q36" i="10" a="1"/>
  <c r="AF37" i="10" a="1"/>
  <c r="AN38" i="10" a="1"/>
  <c r="R37" i="10" a="1"/>
  <c r="I37" i="10" a="1"/>
  <c r="M37" i="10" a="1"/>
  <c r="AP47" i="10" a="1"/>
  <c r="I38" i="10" a="1"/>
  <c r="AC38" i="10" a="1"/>
  <c r="V39" i="10" a="1"/>
  <c r="C47" i="10" a="1"/>
  <c r="L38" i="10" a="1"/>
  <c r="AU39" i="10" a="1"/>
  <c r="T39" i="10" a="1"/>
  <c r="I46" i="10" a="1"/>
  <c r="F39" i="10" a="1"/>
  <c r="G40" i="10" a="1"/>
  <c r="I40" i="10" a="1"/>
  <c r="AA46" i="10" a="1"/>
  <c r="W40" i="10" a="1"/>
  <c r="X46" i="10" a="1"/>
  <c r="V40" i="10" a="1"/>
  <c r="S48" i="10" a="1"/>
  <c r="AL41" i="10" a="1"/>
  <c r="I41" i="10" a="1"/>
  <c r="G41" i="10" a="1"/>
  <c r="AG48" i="10" a="1"/>
  <c r="K48" i="10" a="1"/>
  <c r="W41" i="10" a="1"/>
  <c r="AW43" i="10" a="1"/>
  <c r="AR42" i="10" a="1"/>
  <c r="AB48" i="10" a="1"/>
  <c r="O42" i="10" a="1"/>
  <c r="AF42" i="10" a="1"/>
  <c r="AG43" i="10" a="1"/>
  <c r="O43" i="10" a="1"/>
  <c r="D44" i="10" a="1"/>
  <c r="AN44" i="10" a="1"/>
  <c r="O44" i="10" a="1"/>
  <c r="K44" i="10" a="1"/>
  <c r="AG42" i="10" a="1"/>
  <c r="N49" i="10" a="1"/>
  <c r="E45" i="10" a="1"/>
  <c r="AH40" i="10" a="1"/>
  <c r="AC43" i="10" a="1"/>
  <c r="Q41" i="10" a="1"/>
  <c r="J42" i="10" a="1"/>
  <c r="AD43" i="10" a="1"/>
  <c r="E43" i="10" a="1"/>
  <c r="AV39" i="10" a="1"/>
  <c r="O46" i="10" a="1"/>
  <c r="AQ40" i="10" a="1"/>
  <c r="AJ46" i="10" a="1"/>
  <c r="K41" i="10" a="1"/>
  <c r="C48" i="10" a="1"/>
  <c r="M48" i="10" a="1"/>
  <c r="AS41" i="10" a="1"/>
  <c r="AJ41" i="10" a="1"/>
  <c r="J41" i="10" a="1"/>
  <c r="AL48" i="10" a="1"/>
  <c r="Z48" i="10" a="1"/>
  <c r="AD41" i="10" a="1"/>
  <c r="C43" i="10" a="1"/>
  <c r="W42" i="10" a="1"/>
  <c r="AD48" i="10" a="1"/>
  <c r="X44" i="10" a="1"/>
  <c r="AI42" i="10" a="1"/>
  <c r="U43" i="10" a="1"/>
  <c r="J43" i="10" a="1"/>
  <c r="AO44" i="10" a="1"/>
  <c r="P44" i="10" a="1"/>
  <c r="AV44" i="10" a="1"/>
  <c r="AB43" i="10" a="1"/>
  <c r="M42" i="10" a="1"/>
  <c r="X43" i="10" a="1"/>
  <c r="AK49" i="10" a="1"/>
  <c r="S44" i="10" a="1"/>
  <c r="Y45" i="10" a="1"/>
  <c r="R45" i="10" a="1"/>
  <c r="P46" i="10" a="1"/>
  <c r="AC41" i="10" a="1"/>
  <c r="Z42" i="10" a="1"/>
  <c r="F44" i="10" a="1"/>
  <c r="W45" i="10" a="1"/>
  <c r="AM49" i="10" a="1"/>
  <c r="F40" i="10" a="1"/>
  <c r="AW48" i="10" a="1"/>
  <c r="P43" i="10" a="1"/>
  <c r="AD49" i="10" a="1"/>
  <c r="H36" i="10" a="1"/>
  <c r="AO35" i="10" a="1"/>
  <c r="F36" i="10" a="1"/>
  <c r="O37" i="10" a="1"/>
  <c r="AD38" i="10" a="1"/>
  <c r="E37" i="10" a="1"/>
  <c r="Q37" i="10" a="1"/>
  <c r="AU37" i="10" a="1"/>
  <c r="R47" i="10" a="1"/>
  <c r="O38" i="10" a="1"/>
  <c r="S38" i="10" a="1"/>
  <c r="N39" i="10" a="1"/>
  <c r="AU38" i="10" a="1"/>
  <c r="P38" i="10" a="1"/>
  <c r="U47" i="10" a="1"/>
  <c r="P39" i="10" a="1"/>
  <c r="Z46" i="10" a="1"/>
  <c r="O40" i="10" a="1"/>
  <c r="AV47" i="10" a="1"/>
  <c r="AL40" i="10" a="1"/>
  <c r="L47" i="10" a="1"/>
  <c r="C46" i="10" a="1"/>
  <c r="T40" i="10" a="1"/>
  <c r="AS39" i="10" a="1"/>
  <c r="AW46" i="10" a="1"/>
  <c r="AF41" i="10" a="1"/>
  <c r="AN43" i="10" a="1"/>
  <c r="X48" i="10" a="1"/>
  <c r="AS44" i="10" a="1"/>
  <c r="C42" i="10" a="1"/>
  <c r="Q43" i="10" a="1"/>
  <c r="Q44" i="10" a="1"/>
  <c r="R40" i="10" a="1"/>
  <c r="H41" i="10" a="1"/>
  <c r="J48" i="10" a="1"/>
  <c r="R42" i="10" a="1"/>
  <c r="AK44" i="10" a="1"/>
  <c r="AW44" i="10" a="1"/>
  <c r="T49" i="10" a="1"/>
  <c r="AW40" i="10" a="1"/>
  <c r="AU48" i="10" a="1"/>
  <c r="AI43" i="10" a="1"/>
  <c r="AR44" i="10" a="1"/>
  <c r="AT44" i="10" a="1"/>
  <c r="N45" i="10" a="1"/>
  <c r="AV36" i="10" a="1"/>
  <c r="AH36" i="10" a="1"/>
  <c r="AK36" i="10" a="1"/>
  <c r="C37" i="10" a="1"/>
  <c r="Q38" i="10" a="1"/>
  <c r="AC37" i="10" a="1"/>
  <c r="V37" i="10" a="1"/>
  <c r="AO38" i="10" a="1"/>
  <c r="E47" i="10" a="1"/>
  <c r="AN39" i="10" a="1"/>
  <c r="AW38" i="10" a="1"/>
  <c r="AK39" i="10" a="1"/>
  <c r="M38" i="10" a="1"/>
  <c r="AJ38" i="10" a="1"/>
  <c r="T47" i="10" a="1"/>
  <c r="AG39" i="10" a="1"/>
  <c r="AC47" i="10" a="1"/>
  <c r="AJ40" i="10" a="1"/>
  <c r="AR40" i="10" a="1"/>
  <c r="AC46" i="10" a="1"/>
  <c r="X47" i="10" a="1"/>
  <c r="V46" i="10" a="1"/>
  <c r="AK40" i="10" a="1"/>
  <c r="AI40" i="10" a="1"/>
  <c r="R46" i="10" a="1"/>
  <c r="AI41" i="10" a="1"/>
  <c r="N48" i="10" a="1"/>
  <c r="AN48" i="10" a="1"/>
  <c r="AQ41" i="10" a="1"/>
  <c r="AA41" i="10" a="1"/>
  <c r="Y41" i="10" a="1"/>
  <c r="D48" i="10" a="1"/>
  <c r="F48" i="10" a="1"/>
  <c r="AC42" i="10" a="1"/>
  <c r="H42" i="10" a="1"/>
  <c r="R44" i="10" a="1"/>
  <c r="AH44" i="10" a="1"/>
  <c r="L43" i="10" a="1"/>
  <c r="P42" i="10" a="1"/>
  <c r="AT43" i="10" a="1"/>
  <c r="AF49" i="10" a="1"/>
  <c r="C44" i="10" a="1"/>
  <c r="H45" i="10" a="1"/>
  <c r="AU45" i="10" a="1"/>
  <c r="F46" i="10" a="1"/>
  <c r="Q40" i="10" a="1"/>
  <c r="AK41" i="10" a="1"/>
  <c r="AF48" i="10" a="1"/>
  <c r="V41" i="10" a="1"/>
  <c r="AB41" i="10" a="1"/>
  <c r="P48" i="10" a="1"/>
  <c r="I42" i="10" a="1"/>
  <c r="D43" i="10" a="1"/>
  <c r="AQ42" i="10" a="1"/>
  <c r="V49" i="10" a="1"/>
  <c r="AM50" i="10" a="1"/>
  <c r="AO48" i="10" a="1"/>
  <c r="AM42" i="10" a="1"/>
  <c r="T42" i="10" a="1"/>
  <c r="AP43" i="10" a="1"/>
  <c r="AT47" i="10" a="1"/>
  <c r="U50" i="10" a="1"/>
  <c r="U48" i="10" a="1"/>
  <c r="Z44" i="10" a="1"/>
  <c r="H46" i="10" a="1"/>
  <c r="W37" i="10" a="1"/>
  <c r="AB39" i="10" a="1"/>
  <c r="Z38" i="10" a="1"/>
  <c r="AR36" i="10" a="1"/>
  <c r="AC35" i="10" a="1"/>
  <c r="AW36" i="10" a="1"/>
  <c r="AH37" i="10" a="1"/>
  <c r="E39" i="10" a="1"/>
  <c r="U37" i="10" a="1"/>
  <c r="K38" i="10" a="1"/>
  <c r="AW47" i="10" a="1"/>
  <c r="S47" i="10" a="1"/>
  <c r="D38" i="10" a="1"/>
  <c r="G38" i="10" a="1"/>
  <c r="X39" i="10" a="1"/>
  <c r="U39" i="10" a="1"/>
  <c r="M47" i="10" a="1"/>
  <c r="K39" i="10" a="1"/>
  <c r="AB40" i="10" a="1"/>
  <c r="L40" i="10" a="1"/>
  <c r="V47" i="10" a="1"/>
  <c r="AG40" i="10" a="1"/>
  <c r="L46" i="10" a="1"/>
  <c r="O48" i="10" a="1"/>
  <c r="AV41" i="10" a="1"/>
  <c r="AJ48" i="10" a="1"/>
  <c r="AO42" i="10" a="1"/>
  <c r="AK48" i="10" a="1"/>
  <c r="AQ43" i="10" a="1"/>
  <c r="AP44" i="10" a="1"/>
  <c r="AF44" i="10" a="1"/>
  <c r="Z41" i="10" a="1"/>
  <c r="AS36" i="10" a="1"/>
  <c r="AS38" i="10" a="1"/>
  <c r="AD47" i="10" a="1"/>
  <c r="W38" i="10" a="1"/>
  <c r="Q47" i="10" a="1"/>
  <c r="I39" i="10" a="1"/>
  <c r="O47" i="10" a="1"/>
  <c r="AD39" i="10" a="1"/>
  <c r="AD40" i="10" a="1"/>
  <c r="AT46" i="10" a="1"/>
  <c r="AN40" i="10" a="1"/>
  <c r="AP46" i="10" a="1"/>
  <c r="AO47" i="10" a="1"/>
  <c r="H40" i="10" a="1"/>
  <c r="X41" i="10" a="1"/>
  <c r="L41" i="10" a="1"/>
  <c r="AH45" i="10" a="1"/>
  <c r="R41" i="10" a="1"/>
  <c r="AH42" i="10" a="1"/>
  <c r="AL42" i="10" a="1"/>
  <c r="AI44" i="10" a="1"/>
  <c r="J49" i="10" a="1"/>
  <c r="AA36" i="10" a="1"/>
  <c r="E36" i="10" a="1"/>
  <c r="AO37" i="10" a="1"/>
  <c r="O39" i="10" a="1"/>
  <c r="Y37" i="10" a="1"/>
  <c r="K37" i="10" a="1"/>
  <c r="Q39" i="10" a="1"/>
  <c r="C38" i="10" a="1"/>
  <c r="AJ47" i="10" a="1"/>
  <c r="AO46" i="10" a="1"/>
  <c r="P47" i="10" a="1"/>
  <c r="AH47" i="10" a="1"/>
  <c r="K46" i="10" a="1"/>
  <c r="Y40" i="10" a="1"/>
  <c r="S46" i="10" a="1"/>
  <c r="K47" i="10" a="1"/>
  <c r="AP40" i="10" a="1"/>
  <c r="J40" i="10" a="1"/>
  <c r="D40" i="10" a="1"/>
  <c r="AF40" i="10" a="1"/>
  <c r="P41" i="10" a="1"/>
  <c r="I50" i="10" a="1"/>
  <c r="AI48" i="10" a="1"/>
  <c r="S41" i="10" a="1"/>
  <c r="AO36" i="10" a="1"/>
  <c r="AQ36" i="10" a="1"/>
  <c r="P36" i="10" a="1"/>
  <c r="P37" i="10" a="1"/>
  <c r="AL39" i="10" a="1"/>
  <c r="AQ37" i="10" a="1"/>
  <c r="H37" i="10" a="1"/>
  <c r="E38" i="10" a="1"/>
  <c r="AG38" i="10" a="1"/>
  <c r="AM39" i="10" a="1"/>
  <c r="AK38" i="10" a="1"/>
  <c r="T38" i="10" a="1"/>
  <c r="G47" i="10" a="1"/>
  <c r="AR39" i="10" a="1"/>
  <c r="AK47" i="10" a="1"/>
  <c r="AO41" i="10" a="1"/>
  <c r="AH41" i="10" a="1"/>
  <c r="H48" i="10" a="1"/>
  <c r="AA48" i="10" a="1"/>
  <c r="L48" i="10" a="1"/>
  <c r="AW42" i="10" a="1"/>
  <c r="U42" i="10" a="1"/>
  <c r="K42" i="10" a="1"/>
  <c r="AD44" i="10" a="1"/>
  <c r="AB42" i="10" a="1"/>
  <c r="AS43" i="10" a="1"/>
  <c r="T43" i="10" a="1"/>
  <c r="AH43" i="10" a="1"/>
  <c r="AQ44" i="10" a="1"/>
  <c r="M44" i="10" a="1"/>
  <c r="AA43" i="10" a="1"/>
  <c r="AN42" i="10" a="1"/>
  <c r="AP45" i="10" a="1"/>
  <c r="AN49" i="10" a="1"/>
  <c r="J44" i="10" a="1"/>
  <c r="AL49" i="10" a="1"/>
  <c r="M41" i="10" a="1"/>
  <c r="AP42" i="10" a="1"/>
  <c r="AU35" i="10" a="1"/>
  <c r="K36" i="10" a="1"/>
  <c r="AF38" i="10" a="1"/>
  <c r="D39" i="10" a="1"/>
  <c r="G37" i="10" a="1"/>
  <c r="AM38" i="10" a="1"/>
  <c r="AT38" i="10" a="1"/>
  <c r="AO39" i="10" a="1"/>
  <c r="AR38" i="10" a="1"/>
  <c r="AU47" i="10" a="1"/>
  <c r="N38" i="10" a="1"/>
  <c r="AQ39" i="10" a="1"/>
  <c r="I47" i="10" a="1"/>
  <c r="G46" i="10" a="1"/>
  <c r="D47" i="10" a="1"/>
  <c r="AJ39" i="10" a="1"/>
  <c r="AS47" i="10" a="1"/>
  <c r="AM46" i="10" a="1"/>
  <c r="AL46" i="10" a="1"/>
  <c r="AD35" i="10" a="1"/>
  <c r="AP36" i="10" a="1"/>
  <c r="AG36" i="10" a="1"/>
  <c r="AA38" i="10" a="1"/>
  <c r="AC39" i="10" a="1"/>
  <c r="S37" i="10" a="1"/>
  <c r="AA37" i="10" a="1"/>
  <c r="AP38" i="10" a="1"/>
  <c r="AL38" i="10" a="1"/>
  <c r="AW39" i="10" a="1"/>
  <c r="AI39" i="10" a="1"/>
  <c r="J47" i="10" a="1"/>
  <c r="AN47" i="10" a="1"/>
  <c r="G39" i="10" a="1"/>
  <c r="AA47" i="10" a="1"/>
  <c r="AD46" i="10" a="1"/>
  <c r="AL47" i="10" a="1"/>
  <c r="AT39" i="10" a="1"/>
  <c r="AR47" i="10" a="1"/>
  <c r="N40" i="10" a="1"/>
  <c r="L36" i="10" a="1"/>
  <c r="M36" i="10" a="1"/>
  <c r="Y38" i="10" a="1"/>
  <c r="R39" i="10" a="1"/>
  <c r="AI47" i="10" a="1"/>
  <c r="W47" i="10" a="1"/>
  <c r="AU46" i="10" a="1"/>
  <c r="AQ46" i="10" a="1"/>
  <c r="Y46" i="10" a="1"/>
  <c r="J46" i="10" a="1"/>
  <c r="T41" i="10" a="1"/>
  <c r="I48" i="10" a="1"/>
  <c r="U41" i="10" a="1"/>
  <c r="AJ44" i="10" a="1"/>
  <c r="AL43" i="10" a="1"/>
  <c r="AG49" i="10" a="1"/>
  <c r="U44" i="10" a="1"/>
  <c r="G45" i="10" a="1"/>
  <c r="G43" i="10" a="1"/>
  <c r="AR45" i="10" a="1"/>
  <c r="AC44" i="10" a="1"/>
  <c r="V43" i="10" a="1"/>
  <c r="AT40" i="10" a="1"/>
  <c r="AG41" i="10" a="1"/>
  <c r="S43" i="10" a="1"/>
  <c r="AT42" i="10" a="1"/>
  <c r="AM48" i="10" a="1"/>
  <c r="AG44" i="10" a="1"/>
  <c r="Z35" i="10" a="1"/>
  <c r="AB38" i="10" a="1"/>
  <c r="H39" i="10" a="1"/>
  <c r="D37" i="10" a="1"/>
  <c r="Z37" i="10" a="1"/>
  <c r="X38" i="10" a="1"/>
  <c r="AA39" i="10" a="1"/>
  <c r="J38" i="10" a="1"/>
  <c r="F38" i="10" a="1"/>
  <c r="AF39" i="10" a="1"/>
  <c r="AF46" i="10" a="1"/>
  <c r="E40" i="10" a="1"/>
  <c r="M40" i="10" a="1"/>
  <c r="AU40" i="10" a="1"/>
  <c r="AH46" i="10" a="1"/>
  <c r="W48" i="10" a="1"/>
  <c r="AO50" i="10" a="1"/>
  <c r="O41" i="10" a="1"/>
  <c r="F41" i="10" a="1"/>
  <c r="G48" i="10" a="1"/>
  <c r="F43" i="10" a="1"/>
  <c r="E42" i="10" a="1"/>
  <c r="Q48" i="10" a="1"/>
  <c r="AJ42" i="10" a="1"/>
  <c r="N44" i="10" a="1"/>
  <c r="AK42" i="10" a="1"/>
  <c r="D42" i="10" a="1"/>
  <c r="AU44" i="10" a="1"/>
  <c r="V44" i="10" a="1"/>
  <c r="AA42" i="10" a="1"/>
  <c r="U45" i="10" a="1"/>
  <c r="AD45" i="10" a="1"/>
  <c r="L45" i="10" a="1"/>
  <c r="AG45" i="10" a="1"/>
  <c r="AK45" i="10" a="1"/>
  <c r="AR46" i="10" a="1"/>
  <c r="G42" i="10" a="1"/>
  <c r="L39" i="10" a="1"/>
  <c r="S39" i="10" a="1"/>
  <c r="Y39" i="10" a="1"/>
  <c r="AN46" i="10" a="1"/>
  <c r="X40" i="10" a="1"/>
  <c r="K40" i="10" a="1"/>
  <c r="AK46" i="10" a="1"/>
  <c r="T46" i="10" a="1"/>
  <c r="P40" i="10" a="1"/>
  <c r="AS46" i="10" a="1"/>
  <c r="AM40" i="10" a="1"/>
  <c r="H50" i="10" a="1"/>
  <c r="AT41" i="10" a="1"/>
  <c r="AT48" i="10" a="1"/>
  <c r="T48" i="10" a="1"/>
  <c r="N42" i="10" a="1"/>
  <c r="K43" i="10" a="1"/>
  <c r="AB44" i="10" a="1"/>
  <c r="AF43" i="10" a="1"/>
  <c r="N43" i="10" a="1"/>
  <c r="AL45" i="10" a="1"/>
  <c r="D45" i="10" a="1"/>
  <c r="I43" i="10" a="1"/>
  <c r="AB46" i="10" a="1"/>
  <c r="I44" i="10" a="1"/>
  <c r="W43" i="10" a="1"/>
  <c r="E46" i="10" a="1"/>
  <c r="AV50" i="10" a="1"/>
  <c r="S45" i="10" a="1"/>
  <c r="L42" i="10" a="1"/>
  <c r="AG46" i="10" a="1"/>
  <c r="AU43" i="10" a="1"/>
  <c r="M43" i="10" a="1"/>
  <c r="AP41" i="10" a="1"/>
  <c r="AV49" i="10" a="1"/>
  <c r="AQ47" i="10" a="1"/>
  <c r="Z43" i="10" a="1"/>
  <c r="AC48" i="10" a="1"/>
  <c r="AV42" i="10" a="1"/>
  <c r="U40" i="10" a="1"/>
  <c r="AJ45" i="10" a="1"/>
  <c r="E44" i="10" a="1"/>
  <c r="AN41" i="10" a="1"/>
  <c r="H43" i="10" a="1"/>
  <c r="L44" i="10" a="1"/>
  <c r="AS42" i="10" a="1"/>
  <c r="AS40" i="10" a="1"/>
  <c r="AH48" i="10" a="1"/>
  <c r="Z49" i="10" a="1"/>
  <c r="AM41" i="10" a="1"/>
  <c r="AV48" i="10" a="1"/>
  <c r="AQ48" i="10" a="1"/>
  <c r="Y43" i="10" a="1"/>
  <c r="T45" i="10" a="1"/>
  <c r="Z45" i="10" a="1"/>
  <c r="Q45" i="10" a="1"/>
  <c r="AU50" i="10" a="1"/>
  <c r="AF50" i="10" a="1"/>
  <c r="AJ50" i="10" a="1"/>
  <c r="AO51" i="10" a="1"/>
  <c r="AD50" i="10" a="1"/>
  <c r="AH49" i="10" a="1"/>
  <c r="AP49" i="10" a="1"/>
  <c r="AR51" i="10" a="1"/>
  <c r="AD51" i="10" a="1"/>
  <c r="AV51" i="10" a="1"/>
  <c r="AR52" i="10" a="1"/>
  <c r="G52" i="10" a="1"/>
  <c r="T52" i="10" a="1"/>
  <c r="N51" i="10" a="1"/>
  <c r="AJ55" i="10" a="1"/>
  <c r="D54" i="10" a="1"/>
  <c r="Y53" i="10" a="1"/>
  <c r="U53" i="10" a="1"/>
  <c r="V56" i="10" a="1"/>
  <c r="I53" i="10" a="1"/>
  <c r="AW53" i="10" a="1"/>
  <c r="AC54" i="10" a="1"/>
  <c r="AK54" i="10" a="1"/>
  <c r="U56" i="10" a="1"/>
  <c r="AM58" i="10" a="1"/>
  <c r="AF56" i="10" a="1"/>
  <c r="AC58" i="10" a="1"/>
  <c r="AP56" i="10" a="1"/>
  <c r="AU58" i="10" a="1"/>
  <c r="G58" i="10" a="1"/>
  <c r="S49" i="10" a="1"/>
  <c r="L52" i="10" a="1"/>
  <c r="AO52" i="10" a="1"/>
  <c r="AJ53" i="10" a="1"/>
  <c r="M54" i="10" a="1"/>
  <c r="AW52" i="10" a="1"/>
  <c r="AW58" i="10" a="1"/>
  <c r="K57" i="10" a="1"/>
  <c r="L50" i="10" a="1"/>
  <c r="AO53" i="10" a="1"/>
  <c r="AJ54" i="10" a="1"/>
  <c r="AL58" i="10" a="1"/>
  <c r="AI58" i="10" a="1"/>
  <c r="AV58" i="10" a="1"/>
  <c r="AI52" i="10" a="1"/>
  <c r="K55" i="10" a="1"/>
  <c r="H58" i="10" a="1"/>
  <c r="Q58" i="10" a="1"/>
  <c r="V50" i="10" a="1"/>
  <c r="M49" i="10" a="1"/>
  <c r="Q49" i="10" a="1"/>
  <c r="AL51" i="10" a="1"/>
  <c r="F52" i="10" a="1"/>
  <c r="AQ52" i="10" a="1"/>
  <c r="AC51" i="10" a="1"/>
  <c r="X45" i="10" a="1"/>
  <c r="AF45" i="10" a="1"/>
  <c r="AT45" i="10" a="1"/>
  <c r="E50" i="10" a="1"/>
  <c r="S50" i="10" a="1"/>
  <c r="AN51" i="10" a="1"/>
  <c r="J50" i="10" a="1"/>
  <c r="F49" i="10" a="1"/>
  <c r="X49" i="10" a="1"/>
  <c r="T51" i="10" a="1"/>
  <c r="Y51" i="10" a="1"/>
  <c r="C51" i="10" a="1"/>
  <c r="E52" i="10" a="1"/>
  <c r="J52" i="10" a="1"/>
  <c r="AB52" i="10" a="1"/>
  <c r="S51" i="10" a="1"/>
  <c r="AO55" i="10" a="1"/>
  <c r="J54" i="10" a="1"/>
  <c r="G53" i="10" a="1"/>
  <c r="AK53" i="10" a="1"/>
  <c r="AI56" i="10" a="1"/>
  <c r="Q53" i="10" a="1"/>
  <c r="AL53" i="10" a="1"/>
  <c r="E53" i="10" a="1"/>
  <c r="AN54" i="10" a="1"/>
  <c r="AT54" i="10" a="1"/>
  <c r="O54" i="10" a="1"/>
  <c r="H54" i="10" a="1"/>
  <c r="AI54" i="10" a="1"/>
  <c r="N55" i="10" a="1"/>
  <c r="J56" i="10" a="1"/>
  <c r="AD56" i="10" a="1"/>
  <c r="AJ56" i="10" a="1"/>
  <c r="AT58" i="10" a="1"/>
  <c r="AB56" i="10" a="1"/>
  <c r="O58" i="10" a="1"/>
  <c r="D50" i="10" a="1"/>
  <c r="AU51" i="10" a="1"/>
  <c r="C52" i="10" a="1"/>
  <c r="M50" i="10" a="1"/>
  <c r="AU52" i="10" a="1"/>
  <c r="I55" i="10" a="1"/>
  <c r="AL54" i="10" a="1"/>
  <c r="AA56" i="10" a="1"/>
  <c r="S58" i="10" a="1"/>
  <c r="C49" i="10" a="1"/>
  <c r="AA52" i="10" a="1"/>
  <c r="M55" i="10" a="1"/>
  <c r="AG53" i="10" a="1"/>
  <c r="F55" i="10" a="1"/>
  <c r="Z50" i="10" a="1"/>
  <c r="AF58" i="10" a="1"/>
  <c r="AT56" i="10" a="1"/>
  <c r="O56" i="10" a="1"/>
  <c r="AS50" i="10" a="1"/>
  <c r="R50" i="10" a="1"/>
  <c r="F54" i="10" a="1"/>
  <c r="AS53" i="10" a="1"/>
  <c r="Y56" i="10" a="1"/>
  <c r="H53" i="10" a="1"/>
  <c r="AL55" i="10" a="1"/>
  <c r="G55" i="10" a="1"/>
  <c r="X54" i="10" a="1"/>
  <c r="I54" i="10" a="1"/>
  <c r="J55" i="10" a="1"/>
  <c r="AM51" i="10" a="1"/>
  <c r="K49" i="10" a="1"/>
  <c r="I45" i="10" a="1"/>
  <c r="K45" i="10" a="1"/>
  <c r="Y50" i="10" a="1"/>
  <c r="AK51" i="10" a="1"/>
  <c r="AP51" i="10" a="1"/>
  <c r="X55" i="10" a="1"/>
  <c r="AM53" i="10" a="1"/>
  <c r="L53" i="10" a="1"/>
  <c r="F53" i="10" a="1"/>
  <c r="AV55" i="10" a="1"/>
  <c r="X56" i="10" a="1"/>
  <c r="AG56" i="10" a="1"/>
  <c r="AJ58" i="10" a="1"/>
  <c r="AO58" i="10" a="1"/>
  <c r="P50" i="10" a="1"/>
  <c r="AT52" i="10" a="1"/>
  <c r="AH51" i="10" a="1"/>
  <c r="R55" i="10" a="1"/>
  <c r="AQ55" i="10" a="1"/>
  <c r="Q56" i="10" a="1"/>
  <c r="AT51" i="10" a="1"/>
  <c r="W51" i="10" a="1"/>
  <c r="H55" i="10" a="1"/>
  <c r="AC49" i="10" a="1"/>
  <c r="V51" i="10" a="1"/>
  <c r="AW55" i="10" a="1"/>
  <c r="AB45" i="10" a="1"/>
  <c r="K51" i="10" a="1"/>
  <c r="X53" i="10" a="1"/>
  <c r="AF54" i="10" a="1"/>
  <c r="W58" i="10" a="1"/>
  <c r="N58" i="10" a="1"/>
  <c r="AR49" i="10" a="1"/>
  <c r="O52" i="10" a="1"/>
  <c r="AI53" i="10" a="1"/>
  <c r="AP53" i="10" a="1"/>
  <c r="Z56" i="10" a="1"/>
  <c r="E55" i="10" a="1"/>
  <c r="W53" i="10" a="1"/>
  <c r="AQ53" i="10" a="1"/>
  <c r="AR56" i="10" a="1"/>
  <c r="N53" i="10" a="1"/>
  <c r="AB53" i="10" a="1"/>
  <c r="Z53" i="10" a="1"/>
  <c r="AI55" i="10" a="1"/>
  <c r="AA54" i="10" a="1"/>
  <c r="AG54" i="10" a="1"/>
  <c r="U55" i="10" a="1"/>
  <c r="Q52" i="10" a="1"/>
  <c r="AW56" i="10" a="1"/>
  <c r="P58" i="10" a="1"/>
  <c r="E56" i="10" a="1"/>
  <c r="AQ58" i="10" a="1"/>
  <c r="AC56" i="10" a="1"/>
  <c r="Z58" i="10" a="1"/>
  <c r="F50" i="10" a="1"/>
  <c r="S52" i="10" a="1"/>
  <c r="AD53" i="10" a="1"/>
  <c r="AK55" i="10" a="1"/>
  <c r="AR55" i="10" a="1"/>
  <c r="N50" i="10" a="1"/>
  <c r="P54" i="10" a="1"/>
  <c r="AT53" i="10" a="1"/>
  <c r="R58" i="10" a="1"/>
  <c r="AD58" i="10" a="1"/>
  <c r="AA45" i="10" a="1"/>
  <c r="AG52" i="10" a="1"/>
  <c r="P52" i="10" a="1"/>
  <c r="AH53" i="10" a="1"/>
  <c r="J45" i="10" a="1"/>
  <c r="U51" i="10" a="1"/>
  <c r="V45" i="10" a="1"/>
  <c r="AS45" i="10" a="1"/>
  <c r="X50" i="10" a="1"/>
  <c r="AK50" i="10" a="1"/>
  <c r="AP50" i="10" a="1"/>
  <c r="AL50" i="10" a="1"/>
  <c r="AW51" i="10" a="1"/>
  <c r="L49" i="10" a="1"/>
  <c r="P49" i="10" a="1"/>
  <c r="AQ49" i="10" a="1"/>
  <c r="E51" i="10" a="1"/>
  <c r="Q51" i="10" a="1"/>
  <c r="Z51" i="10" a="1"/>
  <c r="I52" i="10" a="1"/>
  <c r="AN52" i="10" a="1"/>
  <c r="N52" i="10" a="1"/>
  <c r="G51" i="10" a="1"/>
  <c r="AG58" i="10" a="1"/>
  <c r="L54" i="10" a="1"/>
  <c r="K56" i="10" a="1"/>
  <c r="Y54" i="10" a="1"/>
  <c r="P56" i="10" a="1"/>
  <c r="AR58" i="10" a="1"/>
  <c r="R56" i="10" a="1"/>
  <c r="F57" i="10" a="1"/>
  <c r="H51" i="10" a="1"/>
  <c r="AB51" i="10" a="1"/>
  <c r="X52" i="10" a="1"/>
  <c r="AA53" i="10" a="1"/>
  <c r="N54" i="10" a="1"/>
  <c r="V58" i="10" a="1"/>
  <c r="M51" i="10" a="1"/>
  <c r="M52" i="10" a="1"/>
  <c r="V52" i="10" a="1"/>
  <c r="AL52" i="10" a="1"/>
  <c r="P53" i="10" a="1"/>
  <c r="AK56" i="10" a="1"/>
  <c r="C50" i="10" a="1"/>
  <c r="J51" i="10" a="1"/>
  <c r="AJ52" i="10" a="1"/>
  <c r="AL56" i="10" a="1"/>
  <c r="G54" i="10" a="1"/>
  <c r="AS58" i="10" a="1"/>
  <c r="AW45" i="10" a="1"/>
  <c r="E54" i="10" a="1"/>
  <c r="C58" i="10" a="1"/>
  <c r="P45" i="10" a="1"/>
  <c r="AA50" i="10" a="1"/>
  <c r="AD55" i="10" a="1"/>
  <c r="C57" i="10" a="1"/>
  <c r="AI45" i="10" a="1"/>
  <c r="U49" i="10" a="1"/>
  <c r="AG50" i="10" a="1"/>
  <c r="AT49" i="10" a="1"/>
  <c r="R49" i="10" a="1"/>
  <c r="D51" i="10" a="1"/>
  <c r="R53" i="10" a="1"/>
  <c r="V54" i="10" a="1"/>
  <c r="AP54" i="10" a="1"/>
  <c r="AW57" i="10" a="1"/>
  <c r="W49" i="10" a="1"/>
  <c r="AK52" i="10" a="1"/>
  <c r="AM54" i="10" a="1"/>
  <c r="I56" i="10" a="1"/>
  <c r="C45" i="10" a="1"/>
  <c r="G49" i="10" a="1"/>
  <c r="AQ51" i="10" a="1"/>
  <c r="Y52" i="10" a="1"/>
  <c r="Z55" i="10" a="1"/>
  <c r="G56" i="10" a="1"/>
  <c r="O50" i="10" a="1"/>
  <c r="I49" i="10" a="1"/>
  <c r="AS55" i="10" a="1"/>
  <c r="AT55" i="10" a="1"/>
  <c r="AJ57" i="10" a="1"/>
  <c r="K50" i="10" a="1"/>
  <c r="E49" i="10" a="1"/>
  <c r="AC52" i="10" a="1"/>
  <c r="Z52" i="10" a="1"/>
  <c r="W52" i="10" a="1"/>
  <c r="S53" i="10" a="1"/>
  <c r="AM56" i="10" a="1"/>
  <c r="AA58" i="10" a="1"/>
  <c r="AO49" i="10" a="1"/>
  <c r="Q50" i="10" a="1"/>
  <c r="AH50" i="10" a="1"/>
  <c r="O49" i="10" a="1"/>
  <c r="O45" i="10" a="1"/>
  <c r="M45" i="10" a="1"/>
  <c r="P51" i="10" a="1"/>
  <c r="V53" i="10" a="1"/>
  <c r="L55" i="10" a="1"/>
  <c r="U54" i="10" a="1"/>
  <c r="P57" i="10" a="1"/>
  <c r="AN50" i="10" a="1"/>
  <c r="AJ51" i="10" a="1"/>
  <c r="AM52" i="10" a="1"/>
  <c r="M56" i="10" a="1"/>
  <c r="W50" i="10" a="1"/>
  <c r="C54" i="10" a="1"/>
  <c r="AB55" i="10" a="1"/>
  <c r="Y55" i="10" a="1"/>
  <c r="AH54" i="10" a="1"/>
  <c r="F45" i="10" a="1"/>
  <c r="AC45" i="10" a="1"/>
  <c r="AW50" i="10" a="1"/>
  <c r="AB50" i="10" a="1"/>
  <c r="H49" i="10" a="1"/>
  <c r="AG51" i="10" a="1"/>
  <c r="AQ50" i="10" a="1"/>
  <c r="AU49" i="10" a="1"/>
  <c r="AS49" i="10" a="1"/>
  <c r="I51" i="10" a="1"/>
  <c r="L51" i="10" a="1"/>
  <c r="AS52" i="10" a="1"/>
  <c r="D52" i="10" a="1"/>
  <c r="AP52" i="10" a="1"/>
  <c r="AD52" i="10" a="1"/>
  <c r="AP55" i="10" a="1"/>
  <c r="W54" i="10" a="1"/>
  <c r="T53" i="10" a="1"/>
  <c r="K53" i="10" a="1"/>
  <c r="AF53" i="10" a="1"/>
  <c r="AN53" i="10" a="1"/>
  <c r="AH55" i="10" a="1"/>
  <c r="AS54" i="10" a="1"/>
  <c r="J53" i="10" a="1"/>
  <c r="C55" i="10" a="1"/>
  <c r="AC55" i="10" a="1"/>
  <c r="I58" i="10" a="1"/>
  <c r="T54" i="10" a="1"/>
  <c r="AM55" i="10" a="1"/>
  <c r="AO56" i="10" a="1"/>
  <c r="H56" i="10" a="1"/>
  <c r="AO54" i="10" a="1"/>
  <c r="L56" i="10" a="1"/>
  <c r="D56" i="10" a="1"/>
  <c r="C56" i="10" a="1"/>
  <c r="AB58" i="10" a="1"/>
  <c r="J57" i="10" a="1"/>
  <c r="F51" i="10" a="1"/>
  <c r="K54" i="10" a="1"/>
  <c r="AD54" i="10" a="1"/>
  <c r="AO45" i="10" a="1"/>
  <c r="R51" i="10" a="1"/>
  <c r="AJ49" i="10" a="1"/>
  <c r="O51" i="10" a="1"/>
  <c r="AA49" i="10" a="1"/>
  <c r="U52" i="10" a="1"/>
  <c r="H52" i="10" a="1"/>
  <c r="T55" i="10" a="1"/>
  <c r="AQ54" i="10" a="1"/>
  <c r="AR53" i="10" a="1"/>
  <c r="M53" i="10" a="1"/>
  <c r="AU56" i="10" a="1"/>
  <c r="AV53" i="10" a="1"/>
  <c r="S55" i="10" a="1"/>
  <c r="AC53" i="10" a="1"/>
  <c r="AU53" i="10" a="1"/>
  <c r="Z54" i="10" a="1"/>
  <c r="AN55" i="10" a="1"/>
  <c r="S54" i="10" a="1"/>
  <c r="AV54" i="10" a="1"/>
  <c r="AF55" i="10" a="1"/>
  <c r="AV56" i="10" a="1"/>
  <c r="AU54" i="10" a="1"/>
  <c r="AN56" i="10" a="1"/>
  <c r="Y58" i="10" a="1"/>
  <c r="AI51" i="10" a="1"/>
  <c r="D55" i="10" a="1"/>
  <c r="AU55" i="10" a="1"/>
  <c r="L58" i="10" a="1"/>
  <c r="AK58" i="10" a="1"/>
  <c r="AR54" i="10" a="1"/>
  <c r="X58" i="10" a="1"/>
  <c r="AV45" i="10" a="1"/>
  <c r="G50" i="10" a="1"/>
  <c r="AI50" i="10" a="1"/>
  <c r="AI49" i="10" a="1"/>
  <c r="AR50" i="10" a="1"/>
  <c r="AB49" i="10" a="1"/>
  <c r="AS51" i="10" a="1"/>
  <c r="AH52" i="10" a="1"/>
  <c r="AF52" i="10" a="1"/>
  <c r="F56" i="10" a="1"/>
  <c r="S56" i="10" a="1"/>
  <c r="T56" i="10" a="1"/>
  <c r="AC57" i="10" a="1"/>
  <c r="AW49" i="10" a="1"/>
  <c r="O53" i="10" a="1"/>
  <c r="AB54" i="10" a="1"/>
  <c r="AV52" i="10" a="1"/>
  <c r="R52" i="10" a="1"/>
  <c r="AT50" i="10" a="1"/>
  <c r="K52" i="10" a="1"/>
  <c r="W55" i="10" a="1"/>
  <c r="AS56" i="10" a="1"/>
  <c r="X51" i="10" a="1"/>
  <c r="O55" i="10" a="1"/>
  <c r="AG55" i="10" a="1"/>
  <c r="D53" i="10" a="1"/>
  <c r="AW54" i="10" a="1"/>
  <c r="R54" i="10" a="1"/>
  <c r="V55" i="10" a="1"/>
  <c r="AQ56" i="10" a="1"/>
  <c r="AH56" i="10" a="1"/>
  <c r="M58" i="10" a="1"/>
  <c r="W56" i="10" a="1"/>
  <c r="T58" i="10" a="1"/>
  <c r="T50" i="10" a="1"/>
  <c r="P55" i="10" a="1"/>
  <c r="Q54" i="10" a="1"/>
  <c r="AF51" i="10" a="1"/>
  <c r="N56" i="10" a="1"/>
  <c r="AA55" i="10" a="1"/>
  <c r="E58" i="10" a="1"/>
  <c r="Y49" i="10" a="1"/>
  <c r="AA51" i="10" a="1"/>
  <c r="Q55" i="10" a="1"/>
  <c r="D49" i="10" a="1"/>
  <c r="C53" i="10" a="1"/>
  <c r="U58" i="10" a="1"/>
  <c r="I57" i="10" a="1"/>
  <c r="G57" i="10" a="1"/>
  <c r="W61" i="10" a="1"/>
  <c r="AS59" i="10" a="1"/>
  <c r="AU57" i="10" a="1"/>
  <c r="AJ59" i="10" a="1"/>
  <c r="AH57" i="10" a="1"/>
  <c r="V62" i="10" a="1"/>
  <c r="AA61" i="10" a="1"/>
  <c r="D60" i="10" a="1"/>
  <c r="AD60" i="10" a="1"/>
  <c r="R60" i="10" a="1"/>
  <c r="Y60" i="10" a="1"/>
  <c r="G61" i="10" a="1"/>
  <c r="R61" i="10" a="1"/>
  <c r="AI60" i="10" a="1"/>
  <c r="C62" i="10" a="1"/>
  <c r="T60" i="10" a="1"/>
  <c r="AA67" i="10" a="1"/>
  <c r="F62" i="10" a="1"/>
  <c r="P62" i="10" a="1"/>
  <c r="W63" i="10" a="1"/>
  <c r="L63" i="10" a="1"/>
  <c r="AV63" i="10" a="1"/>
  <c r="AH65" i="10" a="1"/>
  <c r="AR64" i="10" a="1"/>
  <c r="F65" i="10" a="1"/>
  <c r="O63" i="10" a="1"/>
  <c r="C64" i="10" a="1"/>
  <c r="AS66" i="10" a="1"/>
  <c r="AG64" i="10" a="1"/>
  <c r="S65" i="10" a="1"/>
  <c r="AK66" i="10" a="1"/>
  <c r="L67" i="10" a="1"/>
  <c r="AC66" i="10" a="1"/>
  <c r="AR65" i="10" a="1"/>
  <c r="AM65" i="10" a="1"/>
  <c r="AJ66" i="10" a="1"/>
  <c r="O67" i="10" a="1"/>
  <c r="AB66" i="10" a="1"/>
  <c r="AU65" i="10" a="1"/>
  <c r="AM67" i="10" a="1"/>
  <c r="AF68" i="10" a="1"/>
  <c r="I59" i="10" a="1"/>
  <c r="T63" i="10" a="1"/>
  <c r="Y66" i="10" a="1"/>
  <c r="AB65" i="10" a="1"/>
  <c r="AD61" i="10" a="1"/>
  <c r="AU59" i="10" a="1"/>
  <c r="G62" i="10" a="1"/>
  <c r="AV61" i="10" a="1"/>
  <c r="AB60" i="10" a="1"/>
  <c r="H59" i="10" a="1"/>
  <c r="AV60" i="10" a="1"/>
  <c r="D61" i="10" a="1"/>
  <c r="AC60" i="10" a="1"/>
  <c r="AS61" i="10" a="1"/>
  <c r="Q61" i="10" a="1"/>
  <c r="AL62" i="10" a="1"/>
  <c r="AP66" i="10" a="1"/>
  <c r="O66" i="10" a="1"/>
  <c r="Y67" i="10" a="1"/>
  <c r="AI64" i="10" a="1"/>
  <c r="AD68" i="10" a="1"/>
  <c r="AO63" i="10" a="1"/>
  <c r="AN62" i="10" a="1"/>
  <c r="H62" i="10" a="1"/>
  <c r="AN64" i="10" a="1"/>
  <c r="AO64" i="10" a="1"/>
  <c r="I60" i="10" a="1"/>
  <c r="E63" i="10" a="1"/>
  <c r="Y64" i="10" a="1"/>
  <c r="J58" i="10" a="1"/>
  <c r="AR57" i="10" a="1"/>
  <c r="M57" i="10" a="1"/>
  <c r="AO59" i="10" a="1"/>
  <c r="U57" i="10" a="1"/>
  <c r="AU62" i="10" a="1"/>
  <c r="K60" i="10" a="1"/>
  <c r="O59" i="10" a="1"/>
  <c r="U60" i="10" a="1"/>
  <c r="AF67" i="10" a="1"/>
  <c r="N63" i="10" a="1"/>
  <c r="E62" i="10" a="1"/>
  <c r="AD63" i="10" a="1"/>
  <c r="N64" i="10" a="1"/>
  <c r="AJ64" i="10" a="1"/>
  <c r="AC63" i="10" a="1"/>
  <c r="H64" i="10" a="1"/>
  <c r="G65" i="10" a="1"/>
  <c r="Z66" i="10" a="1"/>
  <c r="AH67" i="10" a="1"/>
  <c r="AD64" i="10" a="1"/>
  <c r="F66" i="10" a="1"/>
  <c r="AQ66" i="10" a="1"/>
  <c r="N67" i="10" a="1"/>
  <c r="J68" i="10" a="1"/>
  <c r="D68" i="10" a="1"/>
  <c r="AF62" i="10" a="1"/>
  <c r="AN63" i="10" a="1"/>
  <c r="H65" i="10" a="1"/>
  <c r="AG61" i="10" a="1"/>
  <c r="I62" i="10" a="1"/>
  <c r="D67" i="10" a="1"/>
  <c r="AM66" i="10" a="1"/>
  <c r="Z57" i="10" a="1"/>
  <c r="W62" i="10" a="1"/>
  <c r="H60" i="10" a="1"/>
  <c r="AO60" i="10" a="1"/>
  <c r="H61" i="10" a="1"/>
  <c r="E60" i="10" a="1"/>
  <c r="AW61" i="10" a="1"/>
  <c r="C61" i="10" a="1"/>
  <c r="AW62" i="10" a="1"/>
  <c r="AR62" i="10" a="1"/>
  <c r="R63" i="10" a="1"/>
  <c r="AW63" i="10" a="1"/>
  <c r="AW64" i="10" a="1"/>
  <c r="J65" i="10" a="1"/>
  <c r="AM63" i="10" a="1"/>
  <c r="AQ64" i="10" a="1"/>
  <c r="AF66" i="10" a="1"/>
  <c r="S64" i="10" a="1"/>
  <c r="AP65" i="10" a="1"/>
  <c r="AT66" i="10" a="1"/>
  <c r="AQ67" i="10" a="1"/>
  <c r="M65" i="10" a="1"/>
  <c r="P68" i="10" a="1"/>
  <c r="W66" i="10" a="1"/>
  <c r="W65" i="10" a="1"/>
  <c r="AH66" i="10" a="1"/>
  <c r="Z67" i="10" a="1"/>
  <c r="AL68" i="10" a="1"/>
  <c r="I61" i="10" a="1"/>
  <c r="AR66" i="10" a="1"/>
  <c r="C65" i="10" a="1"/>
  <c r="AP67" i="10" a="1"/>
  <c r="I63" i="10" a="1"/>
  <c r="AU63" i="10" a="1"/>
  <c r="I68" i="10" a="1"/>
  <c r="AD65" i="10" a="1"/>
  <c r="R59" i="10" a="1"/>
  <c r="D58" i="10" a="1"/>
  <c r="AN57" i="10" a="1"/>
  <c r="AS57" i="10" a="1"/>
  <c r="P61" i="10" a="1"/>
  <c r="AT61" i="10" a="1"/>
  <c r="T57" i="10" a="1"/>
  <c r="AS62" i="10" a="1"/>
  <c r="F61" i="10" a="1"/>
  <c r="N60" i="10" a="1"/>
  <c r="U59" i="10" a="1"/>
  <c r="AI61" i="10" a="1"/>
  <c r="AG60" i="10" a="1"/>
  <c r="AW67" i="10" a="1"/>
  <c r="D63" i="10" a="1"/>
  <c r="O65" i="10" a="1"/>
  <c r="Y65" i="10" a="1"/>
  <c r="Z60" i="10" a="1"/>
  <c r="S61" i="10" a="1"/>
  <c r="Y63" i="10" a="1"/>
  <c r="AF63" i="10" a="1"/>
  <c r="AH64" i="10" a="1"/>
  <c r="J63" i="10" a="1"/>
  <c r="AS64" i="10" a="1"/>
  <c r="M63" i="10" a="1"/>
  <c r="AV67" i="10" a="1"/>
  <c r="AS63" i="10" a="1"/>
  <c r="P65" i="10" a="1"/>
  <c r="U65" i="10" a="1"/>
  <c r="H66" i="10" a="1"/>
  <c r="U61" i="10" a="1"/>
  <c r="X64" i="10" a="1"/>
  <c r="R65" i="10" a="1"/>
  <c r="T65" i="10" a="1"/>
  <c r="J62" i="10" a="1"/>
  <c r="AK64" i="10" a="1"/>
  <c r="F67" i="10" a="1"/>
  <c r="N62" i="10" a="1"/>
  <c r="X65" i="10" a="1"/>
  <c r="AT68" i="10" a="1"/>
  <c r="V57" i="10" a="1"/>
  <c r="P59" i="10" a="1"/>
  <c r="AR60" i="10" a="1"/>
  <c r="AP58" i="10" a="1"/>
  <c r="AA57" i="10" a="1"/>
  <c r="L57" i="10" a="1"/>
  <c r="F59" i="10" a="1"/>
  <c r="R57" i="10" a="1"/>
  <c r="Q62" i="10" a="1"/>
  <c r="K62" i="10" a="1"/>
  <c r="AP60" i="10" a="1"/>
  <c r="AV59" i="10" a="1"/>
  <c r="J60" i="10" a="1"/>
  <c r="K59" i="10" a="1"/>
  <c r="AM61" i="10" a="1"/>
  <c r="AT60" i="10" a="1"/>
  <c r="L62" i="10" a="1"/>
  <c r="M62" i="10" a="1"/>
  <c r="W67" i="10" a="1"/>
  <c r="C63" i="10" a="1"/>
  <c r="AT65" i="10" a="1"/>
  <c r="AG66" i="10" a="1"/>
  <c r="N65" i="10" a="1"/>
  <c r="AU64" i="10" a="1"/>
  <c r="V65" i="10" a="1"/>
  <c r="AU66" i="10" a="1"/>
  <c r="X68" i="10" a="1"/>
  <c r="Q63" i="10" a="1"/>
  <c r="AD67" i="10" a="1"/>
  <c r="AK67" i="10" a="1"/>
  <c r="E67" i="10" a="1"/>
  <c r="AO67" i="10" a="1"/>
  <c r="P64" i="10" a="1"/>
  <c r="T66" i="10" a="1"/>
  <c r="O60" i="10" a="1"/>
  <c r="U64" i="10" a="1"/>
  <c r="I66" i="10" a="1"/>
  <c r="AL65" i="10" a="1"/>
  <c r="T68" i="10" a="1"/>
  <c r="AK61" i="10" a="1"/>
  <c r="AO66" i="10" a="1"/>
  <c r="Q64" i="10" a="1"/>
  <c r="AC65" i="10" a="1"/>
  <c r="V66" i="10" a="1"/>
  <c r="Z65" i="10" a="1"/>
  <c r="L66" i="10" a="1"/>
  <c r="AA66" i="10" a="1"/>
  <c r="AH58" i="10" a="1"/>
  <c r="Q57" i="10" a="1"/>
  <c r="AI57" i="10" a="1"/>
  <c r="AQ61" i="10" a="1"/>
  <c r="AW59" i="10" a="1"/>
  <c r="AD57" i="10" a="1"/>
  <c r="C59" i="10" a="1"/>
  <c r="AJ62" i="10" a="1"/>
  <c r="AV62" i="10" a="1"/>
  <c r="AC59" i="10" a="1"/>
  <c r="F60" i="10" a="1"/>
  <c r="AN60" i="10" a="1"/>
  <c r="Q59" i="10" a="1"/>
  <c r="X60" i="10" a="1"/>
  <c r="M61" i="10" a="1"/>
  <c r="AC61" i="10" a="1"/>
  <c r="S60" i="10" a="1"/>
  <c r="AU61" i="10" a="1"/>
  <c r="AS60" i="10" a="1"/>
  <c r="L61" i="10" a="1"/>
  <c r="T62" i="10" a="1"/>
  <c r="AP63" i="10" a="1"/>
  <c r="AR67" i="10" a="1"/>
  <c r="AO62" i="10" a="1"/>
  <c r="AI63" i="10" a="1"/>
  <c r="AB63" i="10" a="1"/>
  <c r="X63" i="10" a="1"/>
  <c r="AW65" i="10" a="1"/>
  <c r="AM64" i="10" a="1"/>
  <c r="I64" i="10" a="1"/>
  <c r="P66" i="10" a="1"/>
  <c r="AK63" i="10" a="1"/>
  <c r="AQ65" i="10" a="1"/>
  <c r="AB68" i="10" a="1"/>
  <c r="AJ67" i="10" a="1"/>
  <c r="R66" i="10" a="1"/>
  <c r="AP57" i="10" a="1"/>
  <c r="O57" i="10" a="1"/>
  <c r="AK57" i="10" a="1"/>
  <c r="AP62" i="10" a="1"/>
  <c r="AI62" i="10" a="1"/>
  <c r="Z59" i="10" a="1"/>
  <c r="G60" i="10" a="1"/>
  <c r="M59" i="10" a="1"/>
  <c r="T61" i="10" a="1"/>
  <c r="X62" i="10" a="1"/>
  <c r="I67" i="10" a="1"/>
  <c r="F58" i="10" a="1"/>
  <c r="X57" i="10" a="1"/>
  <c r="AQ59" i="10" a="1"/>
  <c r="V59" i="10" a="1"/>
  <c r="L60" i="10" a="1"/>
  <c r="AG59" i="10" a="1"/>
  <c r="AQ60" i="10" a="1"/>
  <c r="AN59" i="10" a="1"/>
  <c r="AO61" i="10" a="1"/>
  <c r="AA62" i="10" a="1"/>
  <c r="J61" i="10" a="1"/>
  <c r="AU67" i="10" a="1"/>
  <c r="AF61" i="10" a="1"/>
  <c r="U62" i="10" a="1"/>
  <c r="AG63" i="10" a="1"/>
  <c r="M67" i="10" a="1"/>
  <c r="G64" i="10" a="1"/>
  <c r="AV64" i="10" a="1"/>
  <c r="AR63" i="10" a="1"/>
  <c r="AB64" i="10" a="1"/>
  <c r="K63" i="10" a="1"/>
  <c r="AV65" i="10" a="1"/>
  <c r="D57" i="10" a="1"/>
  <c r="W59" i="10" a="1"/>
  <c r="V60" i="10" a="1"/>
  <c r="AJ63" i="10" a="1"/>
  <c r="AN66" i="10" a="1"/>
  <c r="AJ61" i="10" a="1"/>
  <c r="AM62" i="10" a="1"/>
  <c r="AL64" i="10" a="1"/>
  <c r="AP64" i="10" a="1"/>
  <c r="V64" i="10" a="1"/>
  <c r="AT63" i="10" a="1"/>
  <c r="AN58" i="10" a="1"/>
  <c r="AL57" i="10" a="1"/>
  <c r="AG57" i="10" a="1"/>
  <c r="AD59" i="10" a="1"/>
  <c r="G59" i="10" a="1"/>
  <c r="N57" i="10" a="1"/>
  <c r="W57" i="10" a="1"/>
  <c r="AB62" i="10" a="1"/>
  <c r="AH61" i="10" a="1"/>
  <c r="AP59" i="10" a="1"/>
  <c r="AM60" i="10" a="1"/>
  <c r="AW60" i="10" a="1"/>
  <c r="AB59" i="10" a="1"/>
  <c r="X61" i="10" a="1"/>
  <c r="AH59" i="10" a="1"/>
  <c r="N61" i="10" a="1"/>
  <c r="Y62" i="10" a="1"/>
  <c r="AL61" i="10" a="1"/>
  <c r="J67" i="10" a="1"/>
  <c r="AD62" i="10" a="1"/>
  <c r="AH63" i="10" a="1"/>
  <c r="K67" i="10" a="1"/>
  <c r="H63" i="10" a="1"/>
  <c r="V63" i="10" a="1"/>
  <c r="O64" i="10" a="1"/>
  <c r="AA64" i="10" a="1"/>
  <c r="AF65" i="10" a="1"/>
  <c r="AW68" i="10" a="1"/>
  <c r="AS67" i="10" a="1"/>
  <c r="AC64" i="10" a="1"/>
  <c r="AO65" i="10" a="1"/>
  <c r="D65" i="10" a="1"/>
  <c r="R67" i="10" a="1"/>
  <c r="AJ65" i="10" a="1"/>
  <c r="K65" i="10" a="1"/>
  <c r="C66" i="10" a="1"/>
  <c r="C67" i="10" a="1"/>
  <c r="N68" i="10" a="1"/>
  <c r="E59" i="10" a="1"/>
  <c r="E57" i="10" a="1"/>
  <c r="Z62" i="10" a="1"/>
  <c r="AP61" i="10" a="1"/>
  <c r="AA59" i="10" a="1"/>
  <c r="AK59" i="10" a="1"/>
  <c r="P60" i="10" a="1"/>
  <c r="AI59" i="10" a="1"/>
  <c r="AF59" i="10" a="1"/>
  <c r="S62" i="10" a="1"/>
  <c r="AR61" i="10" a="1"/>
  <c r="O62" i="10" a="1"/>
  <c r="P67" i="10" a="1"/>
  <c r="F63" i="10" a="1"/>
  <c r="AO68" i="10" a="1"/>
  <c r="AB57" i="10" a="1"/>
  <c r="Y59" i="10" a="1"/>
  <c r="AA60" i="10" a="1"/>
  <c r="AM59" i="10" a="1"/>
  <c r="Y61" i="10" a="1"/>
  <c r="AU60" i="10" a="1"/>
  <c r="X67" i="10" a="1"/>
  <c r="D64" i="10" a="1"/>
  <c r="AK65" i="10" a="1"/>
  <c r="G68" i="10" a="1"/>
  <c r="W60" i="10" a="1"/>
  <c r="U67" i="10" a="1"/>
  <c r="U63" i="10" a="1"/>
  <c r="AA63" i="10" a="1"/>
  <c r="L64" i="10" a="1"/>
  <c r="AW66" i="10" a="1"/>
  <c r="K58" i="10" a="1"/>
  <c r="AO57" i="10" a="1"/>
  <c r="AF57" i="10" a="1"/>
  <c r="L59" i="10" a="1"/>
  <c r="X59" i="10" a="1"/>
  <c r="AT59" i="10" a="1"/>
  <c r="S59" i="10" a="1"/>
  <c r="C60" i="10" a="1"/>
  <c r="O61" i="10" a="1"/>
  <c r="AL63" i="10" a="1"/>
  <c r="R62" i="10" a="1"/>
  <c r="P63" i="10" a="1"/>
  <c r="S66" i="10" a="1"/>
  <c r="AK60" i="10" a="1"/>
  <c r="AT64" i="10" a="1"/>
  <c r="AF64" i="10" a="1"/>
  <c r="AR68" i="10" a="1"/>
  <c r="AL66" i="10" a="1"/>
  <c r="H57" i="10" a="1"/>
  <c r="K61" i="10" a="1"/>
  <c r="AV57" i="10" a="1"/>
  <c r="Y57" i="10" a="1"/>
  <c r="AM57" i="10" a="1"/>
  <c r="S57" i="10" a="1"/>
  <c r="Z61" i="10" a="1"/>
  <c r="J59" i="10" a="1"/>
  <c r="AQ57" i="10" a="1"/>
  <c r="AL59" i="10" a="1"/>
  <c r="AT57" i="10" a="1"/>
  <c r="AG62" i="10" a="1"/>
  <c r="AB61" i="10" a="1"/>
  <c r="M60" i="10" a="1"/>
  <c r="AF60" i="10" a="1"/>
  <c r="Q60" i="10" a="1"/>
  <c r="AL60" i="10" a="1"/>
  <c r="V61" i="10" a="1"/>
  <c r="T59" i="10" a="1"/>
  <c r="AH60" i="10" a="1"/>
  <c r="AQ62" i="10" a="1"/>
  <c r="AJ60" i="10" a="1"/>
  <c r="Q67" i="10" a="1"/>
  <c r="AK62" i="10" a="1"/>
  <c r="AH62" i="10" a="1"/>
  <c r="Z63" i="10" a="1"/>
  <c r="D62" i="10" a="1"/>
  <c r="Q65" i="10" a="1"/>
  <c r="K64" i="10" a="1"/>
  <c r="I65" i="10" a="1"/>
  <c r="AQ63" i="10" a="1"/>
  <c r="E64" i="10" a="1"/>
  <c r="AD66" i="10" a="1"/>
  <c r="W64" i="10" a="1"/>
  <c r="G63" i="10" a="1"/>
  <c r="M66" i="10" a="1"/>
  <c r="AN68" i="10" a="1"/>
  <c r="AI66" i="10" a="1"/>
  <c r="J64" i="10" a="1"/>
  <c r="AG65" i="10" a="1"/>
  <c r="X66" i="10" a="1"/>
  <c r="H67" i="10" a="1"/>
  <c r="Q66" i="10" a="1"/>
  <c r="AI65" i="10" a="1"/>
  <c r="U66" i="10" a="1"/>
  <c r="AQ68" i="10" a="1"/>
  <c r="F68" i="10" a="1"/>
  <c r="AL67" i="10" a="1"/>
  <c r="AB67" i="10" a="1"/>
  <c r="AR59" i="10" a="1"/>
  <c r="T64" i="10" a="1"/>
  <c r="AH68" i="10" a="1"/>
  <c r="D66" i="10" a="1"/>
  <c r="D59" i="10" a="1"/>
  <c r="V68" i="10" a="1"/>
  <c r="K66" i="10" a="1"/>
  <c r="Z64" i="10" a="1"/>
  <c r="G66" i="10" a="1"/>
  <c r="L65" i="10" a="1"/>
  <c r="E65" i="10" a="1"/>
  <c r="AS65" i="10" a="1"/>
  <c r="R64" i="10" a="1"/>
  <c r="J66" i="10" a="1"/>
  <c r="AA65" i="10" a="1"/>
  <c r="N66" i="10" a="1"/>
  <c r="AN61" i="10" a="1"/>
  <c r="F64" i="10" a="1"/>
  <c r="AV66" i="10" a="1"/>
  <c r="AN65" i="10" a="1"/>
  <c r="E61" i="10" a="1"/>
  <c r="S63" i="10" a="1"/>
  <c r="E66" i="10" a="1"/>
  <c r="N59" i="10" a="1"/>
  <c r="AT62" i="10" a="1"/>
  <c r="AC62" i="10" a="1"/>
  <c r="M64" i="10" a="1"/>
  <c r="AT67" i="10" a="1"/>
  <c r="AA68" i="10" a="1"/>
  <c r="V76" i="10" a="1"/>
  <c r="AN67" i="10" a="1"/>
  <c r="C68" i="10" a="1"/>
  <c r="AI71" i="10" a="1"/>
  <c r="Z69" i="10" a="1"/>
  <c r="AI68" i="10" a="1"/>
  <c r="AC68" i="10" a="1"/>
  <c r="AW69" i="10" a="1"/>
  <c r="E70" i="10" a="1"/>
  <c r="D70" i="10" a="1"/>
  <c r="AF69" i="10" a="1"/>
  <c r="AM103" i="10" a="1"/>
  <c r="AL69" i="10" a="1"/>
  <c r="X70" i="10" a="1"/>
  <c r="AH71" i="10" a="1"/>
  <c r="O71" i="10" a="1"/>
  <c r="AV70" i="10" a="1"/>
  <c r="I71" i="10" a="1"/>
  <c r="AF72" i="10" a="1"/>
  <c r="N71" i="10" a="1"/>
  <c r="AP73" i="10" a="1"/>
  <c r="AK73" i="10" a="1"/>
  <c r="AL72" i="10" a="1"/>
  <c r="Y72" i="10" a="1"/>
  <c r="AA73" i="10" a="1"/>
  <c r="AP75" i="10" a="1"/>
  <c r="AT76" i="10" a="1"/>
  <c r="AB76" i="10" a="1"/>
  <c r="AR75" i="10" a="1"/>
  <c r="AG82" i="10" a="1"/>
  <c r="AJ74" i="10" a="1"/>
  <c r="AC73" i="10" a="1"/>
  <c r="F75" i="10" a="1"/>
  <c r="AC78" i="10" a="1"/>
  <c r="L76" i="10" a="1"/>
  <c r="K74" i="10" a="1"/>
  <c r="AT74" i="10" a="1"/>
  <c r="I75" i="10" a="1"/>
  <c r="AM74" i="10" a="1"/>
  <c r="U77" i="10" a="1"/>
  <c r="Y78" i="10" a="1"/>
  <c r="AI81" i="10" a="1"/>
  <c r="F76" i="10" a="1"/>
  <c r="P77" i="10" a="1"/>
  <c r="V78" i="10" a="1"/>
  <c r="H79" i="10" a="1"/>
  <c r="AJ84" i="10" a="1"/>
  <c r="S78" i="10" a="1"/>
  <c r="S68" i="10" a="1"/>
  <c r="AK70" i="10" a="1"/>
  <c r="U76" i="10" a="1"/>
  <c r="AI67" i="10" a="1"/>
  <c r="AU76" i="10" a="1"/>
  <c r="AJ71" i="10" a="1"/>
  <c r="AM69" i="10" a="1"/>
  <c r="G69" i="10" a="1"/>
  <c r="W69" i="10" a="1"/>
  <c r="AF70" i="10" a="1"/>
  <c r="K68" i="10" a="1"/>
  <c r="AN69" i="10" a="1"/>
  <c r="N70" i="10" a="1"/>
  <c r="AP71" i="10" a="1"/>
  <c r="E71" i="10" a="1"/>
  <c r="Y73" i="10" a="1"/>
  <c r="AR76" i="10" a="1"/>
  <c r="AC67" i="10" a="1"/>
  <c r="P71" i="10" a="1"/>
  <c r="Q71" i="10" a="1"/>
  <c r="AU69" i="10" a="1"/>
  <c r="E68" i="10" a="1"/>
  <c r="C70" i="10" a="1"/>
  <c r="Y70" i="10" a="1"/>
  <c r="AD70" i="10" a="1"/>
  <c r="R69" i="10" a="1"/>
  <c r="H69" i="10" a="1"/>
  <c r="AT70" i="10" a="1"/>
  <c r="V72" i="10" a="1"/>
  <c r="T76" i="10" a="1"/>
  <c r="I76" i="10" a="1"/>
  <c r="G67" i="10" a="1"/>
  <c r="AK71" i="10" a="1"/>
  <c r="V71" i="10" a="1"/>
  <c r="AK68" i="10" a="1"/>
  <c r="C69" i="10" a="1"/>
  <c r="D69" i="10" a="1"/>
  <c r="I70" i="10" a="1"/>
  <c r="AW70" i="10" a="1"/>
  <c r="AJ69" i="10" a="1"/>
  <c r="G103" i="10" a="1"/>
  <c r="L69" i="10" a="1"/>
  <c r="Z70" i="10" a="1"/>
  <c r="U71" i="10" a="1"/>
  <c r="L71" i="10" a="1"/>
  <c r="AB70" i="10" a="1"/>
  <c r="AJ73" i="10" a="1"/>
  <c r="AW72" i="10" a="1"/>
  <c r="AI72" i="10" a="1"/>
  <c r="AB73" i="10" a="1"/>
  <c r="M73" i="10" a="1"/>
  <c r="AB72" i="10" a="1"/>
  <c r="M74" i="10" a="1"/>
  <c r="Y75" i="10" a="1"/>
  <c r="AO74" i="10" a="1"/>
  <c r="C73" i="10" a="1"/>
  <c r="W76" i="10" a="1"/>
  <c r="AT82" i="10" a="1"/>
  <c r="O74" i="10" a="1"/>
  <c r="X77" i="10" a="1"/>
  <c r="AK77" i="10" a="1"/>
  <c r="AS77" i="10" a="1"/>
  <c r="G78" i="10" a="1"/>
  <c r="AI84" i="10" a="1"/>
  <c r="AR78" i="10" a="1"/>
  <c r="L79" i="10" a="1"/>
  <c r="K69" i="10" a="1"/>
  <c r="AD71" i="10" a="1"/>
  <c r="S76" i="10" a="1"/>
  <c r="H68" i="10" a="1"/>
  <c r="R71" i="10" a="1"/>
  <c r="F69" i="10" a="1"/>
  <c r="W68" i="10" a="1"/>
  <c r="AT69" i="10" a="1"/>
  <c r="AJ68" i="10" a="1"/>
  <c r="AR70" i="10" a="1"/>
  <c r="W70" i="10" a="1"/>
  <c r="AQ70" i="10" a="1"/>
  <c r="AO69" i="10" a="1"/>
  <c r="T69" i="10" a="1"/>
  <c r="Y69" i="10" a="1"/>
  <c r="AP70" i="10" a="1"/>
  <c r="AA71" i="10" a="1"/>
  <c r="AG71" i="10" a="1"/>
  <c r="AD72" i="10" a="1"/>
  <c r="E73" i="10" a="1"/>
  <c r="AK72" i="10" a="1"/>
  <c r="L72" i="10" a="1"/>
  <c r="J73" i="10" a="1"/>
  <c r="U73" i="10" a="1"/>
  <c r="AQ72" i="10" a="1"/>
  <c r="X72" i="10" a="1"/>
  <c r="AB74" i="10" a="1"/>
  <c r="AI75" i="10" a="1"/>
  <c r="AI74" i="10" a="1"/>
  <c r="AV73" i="10" a="1"/>
  <c r="K76" i="10" a="1"/>
  <c r="AN76" i="10" a="1"/>
  <c r="N82" i="10" a="1"/>
  <c r="AS74" i="10" a="1"/>
  <c r="I73" i="10" a="1"/>
  <c r="Q75" i="10" a="1"/>
  <c r="AV77" i="10" a="1"/>
  <c r="AP74" i="10" a="1"/>
  <c r="Y76" i="10" a="1"/>
  <c r="AD77" i="10" a="1"/>
  <c r="I86" i="10" a="1"/>
  <c r="AO75" i="10" a="1"/>
  <c r="P81" i="10" a="1"/>
  <c r="AP77" i="10" a="1"/>
  <c r="J77" i="10" a="1"/>
  <c r="F79" i="10" a="1"/>
  <c r="V79" i="10" a="1"/>
  <c r="O70" i="10" a="1"/>
  <c r="J76" i="10" a="1"/>
  <c r="AG68" i="10" a="1"/>
  <c r="AO71" i="10" a="1"/>
  <c r="AF71" i="10" a="1"/>
  <c r="Y68" i="10" a="1"/>
  <c r="X69" i="10" a="1"/>
  <c r="T70" i="10" a="1"/>
  <c r="AJ70" i="10" a="1"/>
  <c r="AL70" i="10" a="1"/>
  <c r="M69" i="10" a="1"/>
  <c r="AA103" i="10" a="1"/>
  <c r="D71" i="10" a="1"/>
  <c r="Q72" i="10" a="1"/>
  <c r="AA72" i="10" a="1"/>
  <c r="AK76" i="10" a="1"/>
  <c r="U68" i="10" a="1"/>
  <c r="G71" i="10" a="1"/>
  <c r="AB69" i="10" a="1"/>
  <c r="R68" i="10" a="1"/>
  <c r="AS68" i="10" a="1"/>
  <c r="AC69" i="10" a="1"/>
  <c r="G70" i="10" a="1"/>
  <c r="J70" i="10" a="1"/>
  <c r="AN70" i="10" a="1"/>
  <c r="V69" i="10" a="1"/>
  <c r="M103" i="10" a="1"/>
  <c r="N69" i="10" a="1"/>
  <c r="AG69" i="10" a="1"/>
  <c r="J71" i="10" a="1"/>
  <c r="Z72" i="10" a="1"/>
  <c r="Q73" i="10" a="1"/>
  <c r="R73" i="10" a="1"/>
  <c r="AH72" i="10" a="1"/>
  <c r="V70" i="10" a="1"/>
  <c r="AH69" i="10" a="1"/>
  <c r="O69" i="10" a="1"/>
  <c r="AM71" i="10" a="1"/>
  <c r="H72" i="10" a="1"/>
  <c r="AT73" i="10" a="1"/>
  <c r="W73" i="10" a="1"/>
  <c r="AI76" i="10" a="1"/>
  <c r="P73" i="10" a="1"/>
  <c r="G75" i="10" a="1"/>
  <c r="R74" i="10" a="1"/>
  <c r="S73" i="10" a="1"/>
  <c r="W74" i="10" a="1"/>
  <c r="H77" i="10" a="1"/>
  <c r="W79" i="10" a="1"/>
  <c r="AK80" i="10" a="1"/>
  <c r="D79" i="10" a="1"/>
  <c r="S67" i="10" a="1"/>
  <c r="F71" i="10" a="1"/>
  <c r="F72" i="10" a="1"/>
  <c r="AD73" i="10" a="1"/>
  <c r="AC72" i="10" a="1"/>
  <c r="AR73" i="10" a="1"/>
  <c r="L73" i="10" a="1"/>
  <c r="AM78" i="10" a="1"/>
  <c r="I74" i="10" a="1"/>
  <c r="AW74" i="10" a="1"/>
  <c r="AD86" i="10" a="1"/>
  <c r="AB77" i="10" a="1"/>
  <c r="AW81" i="10" a="1"/>
  <c r="AA77" i="10" a="1"/>
  <c r="Z77" i="10" a="1"/>
  <c r="Q79" i="10" a="1"/>
  <c r="G84" i="10" a="1"/>
  <c r="K78" i="10" a="1"/>
  <c r="AP68" i="10" a="1"/>
  <c r="P70" i="10" a="1"/>
  <c r="AI69" i="10" a="1"/>
  <c r="J69" i="10" a="1"/>
  <c r="AN71" i="10" a="1"/>
  <c r="AG72" i="10" a="1"/>
  <c r="AN72" i="10" a="1"/>
  <c r="K73" i="10" a="1"/>
  <c r="AV76" i="10" a="1"/>
  <c r="AW75" i="10" a="1"/>
  <c r="N74" i="10" a="1"/>
  <c r="Z73" i="10" a="1"/>
  <c r="R77" i="10" a="1"/>
  <c r="AT77" i="10" a="1"/>
  <c r="W71" i="10" a="1"/>
  <c r="AI73" i="10" a="1"/>
  <c r="H73" i="10" a="1"/>
  <c r="F78" i="10" a="1"/>
  <c r="F74" i="10" a="1"/>
  <c r="AS86" i="10" a="1"/>
  <c r="AF77" i="10" a="1"/>
  <c r="Y81" i="10" a="1"/>
  <c r="AD76" i="10" a="1"/>
  <c r="AM77" i="10" a="1"/>
  <c r="R79" i="10" a="1"/>
  <c r="H84" i="10" a="1"/>
  <c r="AV78" i="10" a="1"/>
  <c r="Q80" i="10" a="1"/>
  <c r="N79" i="10" a="1"/>
  <c r="T73" i="10" a="1"/>
  <c r="AC80" i="10" a="1"/>
  <c r="K72" i="10" a="1"/>
  <c r="V67" i="10" a="1"/>
  <c r="AR71" i="10" a="1"/>
  <c r="J74" i="10" a="1"/>
  <c r="M68" i="10" a="1"/>
  <c r="M70" i="10" a="1"/>
  <c r="AV69" i="10" a="1"/>
  <c r="AA69" i="10" a="1"/>
  <c r="T71" i="10" a="1"/>
  <c r="O72" i="10" a="1"/>
  <c r="AN73" i="10" a="1"/>
  <c r="AS76" i="10" a="1"/>
  <c r="AO73" i="10" a="1"/>
  <c r="Y74" i="10" a="1"/>
  <c r="AQ74" i="10" a="1"/>
  <c r="N77" i="10" a="1"/>
  <c r="Z84" i="10" a="1"/>
  <c r="AV79" i="10" a="1"/>
  <c r="M79" i="10" a="1"/>
  <c r="T67" i="10" a="1"/>
  <c r="AQ73" i="10" a="1"/>
  <c r="AV72" i="10" a="1"/>
  <c r="AG73" i="10" a="1"/>
  <c r="N75" i="10" a="1"/>
  <c r="AS71" i="10" a="1"/>
  <c r="AH73" i="10" a="1"/>
  <c r="AF76" i="10" a="1"/>
  <c r="K77" i="10" a="1"/>
  <c r="Z71" i="10" a="1"/>
  <c r="AU68" i="10" a="1"/>
  <c r="I69" i="10" a="1"/>
  <c r="AA70" i="10" a="1"/>
  <c r="X71" i="10" a="1"/>
  <c r="I72" i="10" a="1"/>
  <c r="L74" i="10" a="1"/>
  <c r="AW76" i="10" a="1"/>
  <c r="AG76" i="10" a="1"/>
  <c r="C74" i="10" a="1"/>
  <c r="Y77" i="10" a="1"/>
  <c r="AV75" i="10" a="1"/>
  <c r="I77" i="10" a="1"/>
  <c r="E84" i="10" a="1"/>
  <c r="J79" i="10" a="1"/>
  <c r="P79" i="10" a="1"/>
  <c r="G72" i="10" a="1"/>
  <c r="G77" i="10" a="1"/>
  <c r="Z76" i="10" a="1"/>
  <c r="AO77" i="10" a="1"/>
  <c r="M77" i="10" a="1"/>
  <c r="AB79" i="10" a="1"/>
  <c r="F73" i="10" a="1"/>
  <c r="AG67" i="10" a="1"/>
  <c r="U70" i="10" a="1"/>
  <c r="AJ72" i="10" a="1"/>
  <c r="AL73" i="10" a="1"/>
  <c r="S74" i="10" a="1"/>
  <c r="AC76" i="10" a="1"/>
  <c r="O76" i="10" a="1"/>
  <c r="L75" i="10" a="1"/>
  <c r="G74" i="10" a="1"/>
  <c r="J75" i="10" a="1"/>
  <c r="AB78" i="10" a="1"/>
  <c r="AQ76" i="10" a="1"/>
  <c r="I79" i="10" a="1"/>
  <c r="AF78" i="10" a="1"/>
  <c r="AC79" i="10" a="1"/>
  <c r="AJ76" i="10" a="1"/>
  <c r="AA74" i="10" a="1"/>
  <c r="AI77" i="10" a="1"/>
  <c r="AG77" i="10" a="1"/>
  <c r="E79" i="10" a="1"/>
  <c r="AS72" i="10" a="1"/>
  <c r="D76" i="10" a="1"/>
  <c r="M76" i="10" a="1"/>
  <c r="AU74" i="10" a="1"/>
  <c r="K75" i="10" a="1"/>
  <c r="AN77" i="10" a="1"/>
  <c r="S69" i="10" a="1"/>
  <c r="AV68" i="10" a="1"/>
  <c r="AP69" i="10" a="1"/>
  <c r="AM70" i="10" a="1"/>
  <c r="S71" i="10" a="1"/>
  <c r="L77" i="10" a="1"/>
  <c r="X76" i="10" a="1"/>
  <c r="H75" i="10" a="1"/>
  <c r="F77" i="10" a="1"/>
  <c r="T78" i="10" a="1"/>
  <c r="AP76" i="10" a="1"/>
  <c r="C77" i="10" a="1"/>
  <c r="C78" i="10" a="1"/>
  <c r="AP78" i="10" a="1"/>
  <c r="AK79" i="10" a="1"/>
  <c r="U79" i="10" a="1"/>
  <c r="AR79" i="10" a="1"/>
  <c r="L70" i="10" a="1"/>
  <c r="AU71" i="10" a="1"/>
  <c r="N73" i="10" a="1"/>
  <c r="AB71" i="10" a="1"/>
  <c r="AS73" i="10" a="1"/>
  <c r="AH74" i="10" a="1"/>
  <c r="E74" i="10" a="1"/>
  <c r="AC86" i="10" a="1"/>
  <c r="Z68" i="10" a="1"/>
  <c r="AS69" i="10" a="1"/>
  <c r="AR69" i="10" a="1"/>
  <c r="AG70" i="10" a="1"/>
  <c r="M71" i="10" a="1"/>
  <c r="D74" i="10" a="1"/>
  <c r="Z75" i="10" a="1"/>
  <c r="AH77" i="10" a="1"/>
  <c r="C79" i="10" a="1"/>
  <c r="AK69" i="10" a="1"/>
  <c r="F70" i="10" a="1"/>
  <c r="AC70" i="10" a="1"/>
  <c r="Q68" i="10" a="1"/>
  <c r="AC71" i="10" a="1"/>
  <c r="AK103" i="10" a="1"/>
  <c r="K71" i="10" a="1"/>
  <c r="G73" i="10" a="1"/>
  <c r="Z74" i="10" a="1"/>
  <c r="AM68" i="10" a="1"/>
  <c r="L68" i="10" a="1"/>
  <c r="S70" i="10" a="1"/>
  <c r="R103" i="10" a="1"/>
  <c r="AT71" i="10" a="1"/>
  <c r="C71" i="10" a="1"/>
  <c r="AQ71" i="10" a="1"/>
  <c r="H70" i="10" a="1"/>
  <c r="AF73" i="10" a="1"/>
  <c r="AS75" i="10" a="1"/>
  <c r="AK74" i="10" a="1"/>
  <c r="AB75" i="10" a="1"/>
  <c r="AN75" i="10" a="1"/>
  <c r="K70" i="10" a="1"/>
  <c r="V73" i="10" a="1"/>
  <c r="T74" i="10" a="1"/>
  <c r="AL75" i="10" a="1"/>
  <c r="P76" i="10" a="1"/>
  <c r="AD78" i="10" a="1"/>
  <c r="O68" i="10" a="1"/>
  <c r="AS70" i="10" a="1"/>
  <c r="P72" i="10" a="1"/>
  <c r="D75" i="10" a="1"/>
  <c r="C72" i="10" a="1"/>
  <c r="E75" i="10" a="1"/>
  <c r="AL78" i="10" a="1"/>
  <c r="AQ69" i="10" a="1"/>
  <c r="W103" i="10" a="1"/>
  <c r="AR72" i="10" a="1"/>
  <c r="U75" i="10" a="1"/>
  <c r="D73" i="10" a="1"/>
  <c r="O75" i="10" a="1"/>
  <c r="M75" i="10" a="1"/>
  <c r="N78" i="10" a="1"/>
  <c r="AA76" i="10" a="1"/>
  <c r="AO79" i="10" a="1"/>
  <c r="AU78" i="10" a="1"/>
  <c r="AA79" i="10" a="1"/>
  <c r="AH75" i="10" a="1"/>
  <c r="R70" i="10" a="1"/>
  <c r="D78" i="10" a="1"/>
  <c r="R75" i="10" a="1"/>
  <c r="E77" i="10" a="1"/>
  <c r="AN78" i="10" a="1"/>
  <c r="H78" i="10" a="1"/>
  <c r="AA78" i="10" a="1"/>
  <c r="U69" i="10" a="1"/>
  <c r="X73" i="10" a="1"/>
  <c r="W75" i="10" a="1"/>
  <c r="AA75" i="10" a="1"/>
  <c r="T75" i="10" a="1"/>
  <c r="AU75" i="10" a="1"/>
  <c r="W78" i="10" a="1"/>
  <c r="C76" i="10" a="1"/>
  <c r="AQ78" i="10" a="1"/>
  <c r="Q78" i="10" a="1"/>
  <c r="K79" i="10" a="1"/>
  <c r="AO103" i="10" a="1"/>
  <c r="AM73" i="10" a="1"/>
  <c r="P75" i="10" a="1"/>
  <c r="O73" i="10" a="1"/>
  <c r="AG75" i="10" a="1"/>
  <c r="Z86" i="10" a="1"/>
  <c r="AW78" i="10" a="1"/>
  <c r="V77" i="10" a="1"/>
  <c r="AJ78" i="10" a="1"/>
  <c r="AI79" i="10" a="1"/>
  <c r="X79" i="10" a="1"/>
  <c r="AM76" i="10" a="1"/>
  <c r="X75" i="10" a="1"/>
  <c r="AL86" i="10" a="1"/>
  <c r="S79" i="10" a="1"/>
  <c r="E69" i="10" a="1"/>
  <c r="N72" i="10" a="1"/>
  <c r="AD75" i="10" a="1"/>
  <c r="AJ75" i="10" a="1"/>
  <c r="Z78" i="10" a="1"/>
  <c r="AO72" i="10" a="1"/>
  <c r="N76" i="10" a="1"/>
  <c r="AI80" i="10" a="1"/>
  <c r="D77" i="10" a="1"/>
  <c r="AW71" i="10" a="1"/>
  <c r="AP82" i="10" a="1"/>
  <c r="AL71" i="10" a="1"/>
  <c r="AG74" i="10" a="1"/>
  <c r="S77" i="10" a="1"/>
  <c r="S82" i="10" a="1"/>
  <c r="AT84" i="10" a="1"/>
  <c r="AN74" i="10" a="1"/>
  <c r="AD74" i="10" a="1"/>
  <c r="AQ77" i="10" a="1"/>
  <c r="AO78" i="10" a="1"/>
  <c r="J78" i="10" a="1"/>
  <c r="AD79" i="10" a="1"/>
  <c r="AU70" i="10" a="1"/>
  <c r="AP72" i="10" a="1"/>
  <c r="AK75" i="10" a="1"/>
  <c r="AT78" i="10" a="1"/>
  <c r="AO70" i="10" a="1"/>
  <c r="AH81" i="10" a="1"/>
  <c r="T77" i="10" a="1"/>
  <c r="AM75" i="10" a="1"/>
  <c r="U72" i="10" a="1"/>
  <c r="AU73" i="10" a="1"/>
  <c r="O77" i="10" a="1"/>
  <c r="S72" i="10" a="1"/>
  <c r="AV74" i="10" a="1"/>
  <c r="AH70" i="10" a="1"/>
  <c r="AR77" i="10" a="1"/>
  <c r="AH76" i="10" a="1"/>
  <c r="AU77" i="10" a="1"/>
  <c r="E76" i="10" a="1"/>
  <c r="U78" i="10" a="1"/>
  <c r="AD69" i="10" a="1"/>
  <c r="T72" i="10" a="1"/>
  <c r="H74" i="10" a="1"/>
  <c r="AJ77" i="10" a="1"/>
  <c r="AM79" i="10" a="1"/>
  <c r="H71" i="10" a="1"/>
  <c r="V74" i="10" a="1"/>
  <c r="Q77" i="10" a="1"/>
  <c r="P69" i="10" a="1"/>
  <c r="AV71" i="10" a="1"/>
  <c r="U74" i="10" a="1"/>
  <c r="H76" i="10" a="1"/>
  <c r="AQ86" i="10" a="1"/>
  <c r="AC81" i="10" a="1"/>
  <c r="AW77" i="10" a="1"/>
  <c r="I78" i="10" a="1"/>
  <c r="AH79" i="10" a="1"/>
  <c r="AP79" i="10" a="1"/>
  <c r="AU79" i="10" a="1"/>
  <c r="W72" i="10" a="1"/>
  <c r="Q76" i="10" a="1"/>
  <c r="AK81" i="10" a="1"/>
  <c r="AR82" i="10" a="1"/>
  <c r="AF75" i="10" a="1"/>
  <c r="AI78" i="10" a="1"/>
  <c r="C80" i="10" a="1"/>
  <c r="X78" i="10" a="1"/>
  <c r="AT72" i="10" a="1"/>
  <c r="AR74" i="10" a="1"/>
  <c r="E78" i="10" a="1"/>
  <c r="AW73" i="10" a="1"/>
  <c r="AC75" i="10" a="1"/>
  <c r="E72" i="10" a="1"/>
  <c r="Q74" i="10" a="1"/>
  <c r="V75" i="10" a="1"/>
  <c r="AG79" i="10" a="1"/>
  <c r="X74" i="10" a="1"/>
  <c r="M78" i="10" a="1"/>
  <c r="AF79" i="10" a="1"/>
  <c r="P74" i="10" a="1"/>
  <c r="AW79" i="10" a="1"/>
  <c r="Q70" i="10" a="1"/>
  <c r="R72" i="10" a="1"/>
  <c r="AS82" i="10" a="1"/>
  <c r="AQ75" i="10" a="1"/>
  <c r="R76" i="10" a="1"/>
  <c r="AU86" i="10" a="1"/>
  <c r="H80" i="10" a="1"/>
  <c r="AL74" i="10" a="1"/>
  <c r="M72" i="10" a="1"/>
  <c r="AL81" i="10" a="1"/>
  <c r="W77" i="10" a="1"/>
  <c r="J72" i="10" a="1"/>
  <c r="AL77" i="10" a="1"/>
  <c r="K80" i="10" a="1"/>
  <c r="AC74" i="10" a="1"/>
  <c r="Q69" i="10" a="1"/>
  <c r="Y71" i="10" a="1"/>
  <c r="D72" i="10" a="1"/>
  <c r="AM72" i="10" a="1"/>
  <c r="AF74" i="10" a="1"/>
  <c r="AK78" i="10" a="1"/>
  <c r="AL76" i="10" a="1"/>
  <c r="C75" i="10" a="1"/>
  <c r="AC77" i="10" a="1"/>
  <c r="AU72" i="10" a="1"/>
  <c r="AH78" i="10" a="1"/>
  <c r="AI70" i="10" a="1"/>
  <c r="J82" i="10" a="1"/>
  <c r="AS78" i="10" a="1"/>
  <c r="P78" i="10" a="1"/>
  <c r="S75" i="10" a="1"/>
  <c r="L78" i="10" a="1"/>
  <c r="AL79" i="10" a="1"/>
  <c r="AO76" i="10" a="1"/>
  <c r="G76" i="10" a="1"/>
  <c r="AG78" i="10" a="1"/>
  <c r="R78" i="10" a="1"/>
  <c r="AT75" i="10" a="1"/>
  <c r="O78" i="10" a="1"/>
  <c r="AN79" i="10" a="1"/>
  <c r="G79" i="10" a="1"/>
  <c r="AT80" i="10" a="1"/>
  <c r="F80" i="10" a="1"/>
  <c r="AH97" i="10" a="1"/>
  <c r="AO87" i="10" a="1"/>
  <c r="L84" i="10" a="1"/>
  <c r="AW82" i="10" a="1"/>
  <c r="U82" i="10" a="1"/>
  <c r="AD80" i="10" a="1"/>
  <c r="O82" i="10" a="1"/>
  <c r="AI82" i="10" a="1"/>
  <c r="Q84" i="10" a="1"/>
  <c r="AQ84" i="10" a="1"/>
  <c r="F87" i="10" a="1"/>
  <c r="N89" i="10" a="1"/>
  <c r="AQ87" i="10" a="1"/>
  <c r="AR84" i="10" a="1"/>
  <c r="P82" i="10" a="1"/>
  <c r="L82" i="10" a="1"/>
  <c r="AK82" i="10" a="1"/>
  <c r="E82" i="10" a="1"/>
  <c r="AG84" i="10" a="1"/>
  <c r="D84" i="10" a="1"/>
  <c r="H87" i="10" a="1"/>
  <c r="F89" i="10" a="1"/>
  <c r="AM87" i="10" a="1"/>
  <c r="I85" i="10" a="1"/>
  <c r="AQ91" i="10" a="1"/>
  <c r="M89" i="10" a="1"/>
  <c r="AJ89" i="10" a="1"/>
  <c r="Z89" i="10" a="1"/>
  <c r="L89" i="10" a="1"/>
  <c r="N90" i="10" a="1"/>
  <c r="AJ85" i="10" a="1"/>
  <c r="AN85" i="10" a="1"/>
  <c r="AU85" i="10" a="1"/>
  <c r="H85" i="10" a="1"/>
  <c r="AM83" i="10" a="1"/>
  <c r="AB90" i="10" a="1"/>
  <c r="AV90" i="10" a="1"/>
  <c r="AU81" i="10" a="1"/>
  <c r="Y79" i="10" a="1"/>
  <c r="AO80" i="10" a="1"/>
  <c r="W80" i="10" a="1"/>
  <c r="AK97" i="10" a="1"/>
  <c r="S87" i="10" a="1"/>
  <c r="Z82" i="10" a="1"/>
  <c r="AT89" i="10" a="1"/>
  <c r="U90" i="10" a="1"/>
  <c r="AH82" i="10" a="1"/>
  <c r="AA82" i="10" a="1"/>
  <c r="O79" i="10" a="1"/>
  <c r="T80" i="10" a="1"/>
  <c r="AL97" i="10" a="1"/>
  <c r="AI87" i="10" a="1"/>
  <c r="X80" i="10" a="1"/>
  <c r="D82" i="10" a="1"/>
  <c r="AG80" i="10" a="1"/>
  <c r="Z79" i="10" a="1"/>
  <c r="Z80" i="10" a="1"/>
  <c r="AM80" i="10" a="1"/>
  <c r="I97" i="10" a="1"/>
  <c r="AA87" i="10" a="1"/>
  <c r="AQ82" i="10" a="1"/>
  <c r="AB82" i="10" a="1"/>
  <c r="AS79" i="10" a="1"/>
  <c r="Y80" i="10" a="1"/>
  <c r="R80" i="10" a="1"/>
  <c r="E97" i="10" a="1"/>
  <c r="AV87" i="10" a="1"/>
  <c r="F82" i="10" a="1"/>
  <c r="AT79" i="10" a="1"/>
  <c r="AL80" i="10" a="1"/>
  <c r="N80" i="10" a="1"/>
  <c r="Z97" i="10" a="1"/>
  <c r="P84" i="10" a="1"/>
  <c r="J80" i="10" a="1"/>
  <c r="I91" i="10" a="1"/>
  <c r="AR87" i="10" a="1"/>
  <c r="T79" i="10" a="1"/>
  <c r="O80" i="10" a="1"/>
  <c r="AP80" i="10" a="1"/>
  <c r="AD97" i="10" a="1"/>
  <c r="N84" i="10" a="1"/>
  <c r="AA80" i="10" a="1"/>
  <c r="T82" i="10" a="1"/>
  <c r="AR80" i="10" a="1"/>
  <c r="V82" i="10" a="1"/>
  <c r="AO82" i="10" a="1"/>
  <c r="AV84" i="10" a="1"/>
  <c r="AN84" i="10" a="1"/>
  <c r="E87" i="10" a="1"/>
  <c r="Y87" i="10" a="1"/>
  <c r="AW84" i="10" a="1"/>
  <c r="AN87" i="10" a="1"/>
  <c r="AL89" i="10" a="1"/>
  <c r="AL87" i="10" a="1"/>
  <c r="AH89" i="10" a="1"/>
  <c r="AF89" i="10" a="1"/>
  <c r="AH90" i="10" a="1"/>
  <c r="S90" i="10" a="1"/>
  <c r="U85" i="10" a="1"/>
  <c r="AP85" i="10" a="1"/>
  <c r="N85" i="10" a="1"/>
  <c r="H90" i="10" a="1"/>
  <c r="AV85" i="10" a="1"/>
  <c r="AA90" i="10" a="1"/>
  <c r="AR81" i="10" a="1"/>
  <c r="R81" i="10" a="1"/>
  <c r="AB81" i="10" a="1"/>
  <c r="N81" i="10" a="1"/>
  <c r="S91" i="10" a="1"/>
  <c r="M82" i="10" a="1"/>
  <c r="AJ82" i="10" a="1"/>
  <c r="Y84" i="10" a="1"/>
  <c r="O84" i="10" a="1"/>
  <c r="AC87" i="10" a="1"/>
  <c r="N91" i="10" a="1"/>
  <c r="AK87" i="10" a="1"/>
  <c r="T87" i="10" a="1"/>
  <c r="AR89" i="10" a="1"/>
  <c r="Q90" i="10" a="1"/>
  <c r="Y85" i="10" a="1"/>
  <c r="AA85" i="10" a="1"/>
  <c r="AT85" i="10" a="1"/>
  <c r="Y90" i="10" a="1"/>
  <c r="AP81" i="10" a="1"/>
  <c r="AA83" i="10" a="1"/>
  <c r="U91" i="10" a="1"/>
  <c r="AJ79" i="10" a="1"/>
  <c r="E80" i="10" a="1"/>
  <c r="AJ80" i="10" a="1"/>
  <c r="AQ97" i="10" a="1"/>
  <c r="I84" i="10" a="1"/>
  <c r="AN80" i="10" a="1"/>
  <c r="AH80" i="10" a="1"/>
  <c r="K82" i="10" a="1"/>
  <c r="W87" i="10" a="1"/>
  <c r="V84" i="10" a="1"/>
  <c r="AD89" i="10" a="1"/>
  <c r="AT87" i="10" a="1"/>
  <c r="AH85" i="10" a="1"/>
  <c r="AR85" i="10" a="1"/>
  <c r="T90" i="10" a="1"/>
  <c r="AT81" i="10" a="1"/>
  <c r="X81" i="10" a="1"/>
  <c r="E91" i="10" a="1"/>
  <c r="AK83" i="10" a="1"/>
  <c r="AP84" i="10" a="1"/>
  <c r="U89" i="10" a="1"/>
  <c r="G89" i="10" a="1"/>
  <c r="AQ79" i="10" a="1"/>
  <c r="G80" i="10" a="1"/>
  <c r="I80" i="10" a="1"/>
  <c r="K87" i="10" a="1"/>
  <c r="AF84" i="10" a="1"/>
  <c r="AV80" i="10" a="1"/>
  <c r="Y82" i="10" a="1"/>
  <c r="AF80" i="10" a="1"/>
  <c r="AC82" i="10" a="1"/>
  <c r="H82" i="10" a="1"/>
  <c r="X84" i="10" a="1"/>
  <c r="AC84" i="10" a="1"/>
  <c r="AD87" i="10" a="1"/>
  <c r="W89" i="10" a="1"/>
  <c r="J91" i="10" a="1"/>
  <c r="AK85" i="10" a="1"/>
  <c r="N87" i="10" a="1"/>
  <c r="AF87" i="10" a="1"/>
  <c r="AM84" i="10" a="1"/>
  <c r="AU82" i="10" a="1"/>
  <c r="AS84" i="10" a="1"/>
  <c r="AB87" i="10" a="1"/>
  <c r="AU89" i="10" a="1"/>
  <c r="M91" i="10" a="1"/>
  <c r="AL85" i="10" a="1"/>
  <c r="M84" i="10" a="1"/>
  <c r="U87" i="10" a="1"/>
  <c r="V89" i="10" a="1"/>
  <c r="AI89" i="10" a="1"/>
  <c r="AW89" i="10" a="1"/>
  <c r="AM90" i="10" a="1"/>
  <c r="AD85" i="10" a="1"/>
  <c r="S80" i="10" a="1"/>
  <c r="M80" i="10" a="1"/>
  <c r="AW80" i="10" a="1"/>
  <c r="P87" i="10" a="1"/>
  <c r="AS80" i="10" a="1"/>
  <c r="G82" i="10" a="1"/>
  <c r="AQ80" i="10" a="1"/>
  <c r="AN82" i="10" a="1"/>
  <c r="W84" i="10" a="1"/>
  <c r="AU80" i="10" a="1"/>
  <c r="P80" i="10" a="1"/>
  <c r="AB80" i="10" a="1"/>
  <c r="V80" i="10" a="1"/>
  <c r="AO84" i="10" a="1"/>
  <c r="AG89" i="10" a="1"/>
  <c r="Z85" i="10" a="1"/>
  <c r="M90" i="10" a="1"/>
  <c r="L85" i="10" a="1"/>
  <c r="AB85" i="10" a="1"/>
  <c r="V83" i="10" a="1"/>
  <c r="AG81" i="10" a="1"/>
  <c r="C81" i="10" a="1"/>
  <c r="K81" i="10" a="1"/>
  <c r="AR93" i="10" a="1"/>
  <c r="C83" i="10" a="1"/>
  <c r="L86" i="10" a="1"/>
  <c r="G88" i="10" a="1"/>
  <c r="AU88" i="10" a="1"/>
  <c r="AO86" i="10" a="1"/>
  <c r="AP91" i="10" a="1"/>
  <c r="W92" i="10" a="1"/>
  <c r="AG93" i="10" a="1"/>
  <c r="U94" i="10" a="1"/>
  <c r="AO94" i="10" a="1"/>
  <c r="P93" i="10" a="1"/>
  <c r="AR94" i="10" a="1"/>
  <c r="AU98" i="10" a="1"/>
  <c r="AS98" i="10" a="1"/>
  <c r="F94" i="10" a="1"/>
  <c r="W98" i="10" a="1"/>
  <c r="AB95" i="10" a="1"/>
  <c r="AK86" i="10" a="1"/>
  <c r="R95" i="10" a="1"/>
  <c r="K91" i="10" a="1"/>
  <c r="AK93" i="10" a="1"/>
  <c r="AM95" i="10" a="1"/>
  <c r="L94" i="10" a="1"/>
  <c r="F92" i="10" a="1"/>
  <c r="S94" i="10" a="1"/>
  <c r="L80" i="10" a="1"/>
  <c r="T84" i="10" a="1"/>
  <c r="R87" i="10" a="1"/>
  <c r="V87" i="10" a="1"/>
  <c r="AI90" i="10" a="1"/>
  <c r="W85" i="10" a="1"/>
  <c r="AS90" i="10" a="1"/>
  <c r="H81" i="10" a="1"/>
  <c r="AN81" i="10" a="1"/>
  <c r="AN83" i="10" a="1"/>
  <c r="R93" i="10" a="1"/>
  <c r="AG86" i="10" a="1"/>
  <c r="S86" i="10" a="1"/>
  <c r="J86" i="10" a="1"/>
  <c r="X86" i="10" a="1"/>
  <c r="Y92" i="10" a="1"/>
  <c r="Q92" i="10" a="1"/>
  <c r="J93" i="10" a="1"/>
  <c r="AD93" i="10" a="1"/>
  <c r="AH95" i="10" a="1"/>
  <c r="AL94" i="10" a="1"/>
  <c r="AQ93" i="10" a="1"/>
  <c r="AN94" i="10" a="1"/>
  <c r="M98" i="10" a="1"/>
  <c r="N98" i="10" a="1"/>
  <c r="G95" i="10" a="1"/>
  <c r="L93" i="10" a="1"/>
  <c r="AA93" i="10" a="1"/>
  <c r="AP98" i="10" a="1"/>
  <c r="T92" i="10" a="1"/>
  <c r="P95" i="10" a="1"/>
  <c r="AS87" i="10" a="1"/>
  <c r="AM94" i="10" a="1"/>
  <c r="L95" i="10" a="1"/>
  <c r="H94" i="10" a="1"/>
  <c r="AF95" i="10" a="1"/>
  <c r="R91" i="10" a="1"/>
  <c r="AS88" i="10" a="1"/>
  <c r="D88" i="10" a="1"/>
  <c r="F91" i="10" a="1"/>
  <c r="N94" i="10" a="1"/>
  <c r="X91" i="10" a="1"/>
  <c r="Q89" i="10" a="1"/>
  <c r="K90" i="10" a="1"/>
  <c r="D85" i="10" a="1"/>
  <c r="V90" i="10" a="1"/>
  <c r="Q83" i="10" a="1"/>
  <c r="AT90" i="10" a="1"/>
  <c r="AA81" i="10" a="1"/>
  <c r="M83" i="10" a="1"/>
  <c r="L83" i="10" a="1"/>
  <c r="AL93" i="10" a="1"/>
  <c r="N86" i="10" a="1"/>
  <c r="O88" i="10" a="1"/>
  <c r="H86" i="10" a="1"/>
  <c r="G91" i="10" a="1"/>
  <c r="AR92" i="10" a="1"/>
  <c r="AM92" i="10" a="1"/>
  <c r="X93" i="10" a="1"/>
  <c r="Z93" i="10" a="1"/>
  <c r="AP93" i="10" a="1"/>
  <c r="D90" i="10" a="1"/>
  <c r="AO90" i="10" a="1"/>
  <c r="AG83" i="10" a="1"/>
  <c r="AN91" i="10" a="1"/>
  <c r="D93" i="10" a="1"/>
  <c r="Q94" i="10" a="1"/>
  <c r="C93" i="10" a="1"/>
  <c r="Z94" i="10" a="1"/>
  <c r="AH84" i="10" a="1"/>
  <c r="AA84" i="10" a="1"/>
  <c r="AH91" i="10" a="1"/>
  <c r="J87" i="10" a="1"/>
  <c r="X89" i="10" a="1"/>
  <c r="AL90" i="10" a="1"/>
  <c r="V85" i="10" a="1"/>
  <c r="F90" i="10" a="1"/>
  <c r="AO81" i="10" a="1"/>
  <c r="AV81" i="10" a="1"/>
  <c r="AH83" i="10" a="1"/>
  <c r="O83" i="10" a="1"/>
  <c r="R86" i="10" a="1"/>
  <c r="AF86" i="10" a="1"/>
  <c r="AV86" i="10" a="1"/>
  <c r="Y88" i="10" a="1"/>
  <c r="E86" i="10" a="1"/>
  <c r="M92" i="10" a="1"/>
  <c r="AC92" i="10" a="1"/>
  <c r="G92" i="10" a="1"/>
  <c r="AQ94" i="10" a="1"/>
  <c r="F98" i="10" a="1"/>
  <c r="AU87" i="10" a="1"/>
  <c r="I90" i="10" a="1"/>
  <c r="E93" i="10" a="1"/>
  <c r="AP86" i="10" a="1"/>
  <c r="AN86" i="10" a="1"/>
  <c r="N88" i="10" a="1"/>
  <c r="H95" i="10" a="1"/>
  <c r="AU93" i="10" a="1"/>
  <c r="V93" i="10" a="1"/>
  <c r="Y94" i="10" a="1"/>
  <c r="E88" i="10" a="1"/>
  <c r="AK95" i="10" a="1"/>
  <c r="R82" i="10" a="1"/>
  <c r="AB84" i="10" a="1"/>
  <c r="AV91" i="10" a="1"/>
  <c r="AW83" i="10" a="1"/>
  <c r="AA95" i="10" a="1"/>
  <c r="AV98" i="10" a="1"/>
  <c r="AD95" i="10" a="1"/>
  <c r="M94" i="10" a="1"/>
  <c r="AM89" i="10" a="1"/>
  <c r="E85" i="10" a="1"/>
  <c r="E90" i="10" a="1"/>
  <c r="AK90" i="10" a="1"/>
  <c r="Z81" i="10" a="1"/>
  <c r="D83" i="10" a="1"/>
  <c r="Y91" i="10" a="1"/>
  <c r="AB86" i="10" a="1"/>
  <c r="AK88" i="10" a="1"/>
  <c r="Z92" i="10" a="1"/>
  <c r="U95" i="10" a="1"/>
  <c r="AM93" i="10" a="1"/>
  <c r="C82" i="10" a="1"/>
  <c r="K84" i="10" a="1"/>
  <c r="AG87" i="10" a="1"/>
  <c r="O89" i="10" a="1"/>
  <c r="O90" i="10" a="1"/>
  <c r="P90" i="10" a="1"/>
  <c r="G90" i="10" a="1"/>
  <c r="AL91" i="10" a="1"/>
  <c r="Y86" i="10" a="1"/>
  <c r="O86" i="10" a="1"/>
  <c r="M86" i="10" a="1"/>
  <c r="L88" i="10" a="1"/>
  <c r="AK92" i="10" a="1"/>
  <c r="U92" i="10" a="1"/>
  <c r="AF93" i="10" a="1"/>
  <c r="AH93" i="10" a="1"/>
  <c r="H89" i="10" a="1"/>
  <c r="AL88" i="10" a="1"/>
  <c r="AR88" i="10" a="1"/>
  <c r="AF82" i="10" a="1"/>
  <c r="M87" i="10" a="1"/>
  <c r="AN89" i="10" a="1"/>
  <c r="J90" i="10" a="1"/>
  <c r="F85" i="10" a="1"/>
  <c r="AG90" i="10" a="1"/>
  <c r="C90" i="10" a="1"/>
  <c r="AW90" i="10" a="1"/>
  <c r="U81" i="10" a="1"/>
  <c r="AV83" i="10" a="1"/>
  <c r="S83" i="10" a="1"/>
  <c r="AT91" i="10" a="1"/>
  <c r="C86" i="10" a="1"/>
  <c r="AR86" i="10" a="1"/>
  <c r="AA88" i="10" a="1"/>
  <c r="AT92" i="10" a="1"/>
  <c r="AJ92" i="10" a="1"/>
  <c r="AH92" i="10" a="1"/>
  <c r="N93" i="10" a="1"/>
  <c r="U93" i="10" a="1"/>
  <c r="AG95" i="10" a="1"/>
  <c r="AB94" i="10" a="1"/>
  <c r="AI94" i="10" a="1"/>
  <c r="J95" i="10" a="1"/>
  <c r="AP95" i="10" a="1"/>
  <c r="D87" i="10" a="1"/>
  <c r="X90" i="10" a="1"/>
  <c r="Y93" i="10" a="1"/>
  <c r="AM86" i="10" a="1"/>
  <c r="AV94" i="10" a="1"/>
  <c r="W82" i="10" a="1"/>
  <c r="AU84" i="10" a="1"/>
  <c r="E89" i="10" a="1"/>
  <c r="Z90" i="10" a="1"/>
  <c r="AF90" i="10" a="1"/>
  <c r="L90" i="10" a="1"/>
  <c r="H83" i="10" a="1"/>
  <c r="Q81" i="10" a="1"/>
  <c r="AQ83" i="10" a="1"/>
  <c r="AC83" i="10" a="1"/>
  <c r="AU91" i="10" a="1"/>
  <c r="W86" i="10" a="1"/>
  <c r="AD88" i="10" a="1"/>
  <c r="AT86" i="10" a="1"/>
  <c r="R88" i="10" a="1"/>
  <c r="AO88" i="10" a="1"/>
  <c r="I92" i="10" a="1"/>
  <c r="AV93" i="10" a="1"/>
  <c r="I93" i="10" a="1"/>
  <c r="AW94" i="10" a="1"/>
  <c r="AC94" i="10" a="1"/>
  <c r="AT95" i="10" a="1"/>
  <c r="W94" i="10" a="1"/>
  <c r="Q95" i="10" a="1"/>
  <c r="AT93" i="10" a="1"/>
  <c r="AD82" i="10" a="1"/>
  <c r="G87" i="10" a="1"/>
  <c r="AP89" i="10" a="1"/>
  <c r="J89" i="10" a="1"/>
  <c r="AN90" i="10" a="1"/>
  <c r="AR90" i="10" a="1"/>
  <c r="T81" i="10" a="1"/>
  <c r="S81" i="10" a="1"/>
  <c r="AT83" i="10" a="1"/>
  <c r="E83" i="10" a="1"/>
  <c r="Z91" i="10" a="1"/>
  <c r="T86" i="10" a="1"/>
  <c r="AI88" i="10" a="1"/>
  <c r="F86" i="10" a="1"/>
  <c r="AM88" i="10" a="1"/>
  <c r="AN92" i="10" a="1"/>
  <c r="AD84" i="10" a="1"/>
  <c r="AP87" i="10" a="1"/>
  <c r="Q87" i="10" a="1"/>
  <c r="D89" i="10" a="1"/>
  <c r="AC90" i="10" a="1"/>
  <c r="AJ90" i="10" a="1"/>
  <c r="O85" i="10" a="1"/>
  <c r="AS81" i="10" a="1"/>
  <c r="AM91" i="10" a="1"/>
  <c r="AL83" i="10" a="1"/>
  <c r="Q82" i="10" a="1"/>
  <c r="X87" i="10" a="1"/>
  <c r="AI85" i="10" a="1"/>
  <c r="K89" i="10" a="1"/>
  <c r="AO89" i="10" a="1"/>
  <c r="K85" i="10" a="1"/>
  <c r="AM85" i="10" a="1"/>
  <c r="M81" i="10" a="1"/>
  <c r="P91" i="10" a="1"/>
  <c r="I83" i="10" a="1"/>
  <c r="AB83" i="10" a="1"/>
  <c r="U86" i="10" a="1"/>
  <c r="AG88" i="10" a="1"/>
  <c r="AV88" i="10" a="1"/>
  <c r="AJ88" i="10" a="1"/>
  <c r="H91" i="10" a="1"/>
  <c r="AN93" i="10" a="1"/>
  <c r="S92" i="10" a="1"/>
  <c r="O92" i="10" a="1"/>
  <c r="AS93" i="10" a="1"/>
  <c r="I94" i="10" a="1"/>
  <c r="V94" i="10" a="1"/>
  <c r="O95" i="10" a="1"/>
  <c r="AV95" i="10" a="1"/>
  <c r="AS95" i="10" a="1"/>
  <c r="K94" i="10" a="1"/>
  <c r="G94" i="10" a="1"/>
  <c r="AR95" i="10" a="1"/>
  <c r="G98" i="10" a="1"/>
  <c r="Y95" i="10" a="1"/>
  <c r="AP94" i="10" a="1"/>
  <c r="AA92" i="10" a="1"/>
  <c r="J94" i="10" a="1"/>
  <c r="AO95" i="10" a="1"/>
  <c r="AS94" i="10" a="1"/>
  <c r="T98" i="10" a="1"/>
  <c r="O93" i="10" a="1"/>
  <c r="T95" i="10" a="1"/>
  <c r="AW92" i="10" a="1"/>
  <c r="T94" i="10" a="1"/>
  <c r="I82" i="10" a="1"/>
  <c r="L87" i="10" a="1"/>
  <c r="AV89" i="10" a="1"/>
  <c r="R85" i="10" a="1"/>
  <c r="W90" i="10" a="1"/>
  <c r="AC85" i="10" a="1"/>
  <c r="AF81" i="10" a="1"/>
  <c r="AU83" i="10" a="1"/>
  <c r="AI91" i="10" a="1"/>
  <c r="O81" i="10" a="1"/>
  <c r="Q91" i="10" a="1"/>
  <c r="AA86" i="10" a="1"/>
  <c r="F88" i="10" a="1"/>
  <c r="AQ88" i="10" a="1"/>
  <c r="H88" i="10" a="1"/>
  <c r="T88" i="10" a="1"/>
  <c r="X92" i="10" a="1"/>
  <c r="S93" i="10" a="1"/>
  <c r="AL92" i="10" a="1"/>
  <c r="J92" i="10" a="1"/>
  <c r="AC95" i="10" a="1"/>
  <c r="AA94" i="10" a="1"/>
  <c r="I95" i="10" a="1"/>
  <c r="P94" i="10" a="1"/>
  <c r="AL95" i="10" a="1"/>
  <c r="T91" i="10" a="1"/>
  <c r="AC91" i="10" a="1"/>
  <c r="AO83" i="10" a="1"/>
  <c r="S88" i="10" a="1"/>
  <c r="W88" i="10" a="1"/>
  <c r="AT88" i="10" a="1"/>
  <c r="W95" i="10" a="1"/>
  <c r="AC93" i="10" a="1"/>
  <c r="D80" i="10" a="1"/>
  <c r="AV82" i="10" a="1"/>
  <c r="J85" i="10" a="1"/>
  <c r="T89" i="10" a="1"/>
  <c r="AC89" i="10" a="1"/>
  <c r="AU90" i="10" a="1"/>
  <c r="L81" i="10" a="1"/>
  <c r="J81" i="10" a="1"/>
  <c r="R83" i="10" a="1"/>
  <c r="AS91" i="10" a="1"/>
  <c r="V86" i="10" a="1"/>
  <c r="I88" i="10" a="1"/>
  <c r="AP88" i="10" a="1"/>
  <c r="AW88" i="10" a="1"/>
  <c r="AO91" i="10" a="1"/>
  <c r="AP92" i="10" a="1"/>
  <c r="AW93" i="10" a="1"/>
  <c r="X94" i="10" a="1"/>
  <c r="O94" i="10" a="1"/>
  <c r="AF98" i="10" a="1"/>
  <c r="G86" i="10" a="1"/>
  <c r="P92" i="10" a="1"/>
  <c r="AO92" i="10" a="1"/>
  <c r="AG98" i="10" a="1"/>
  <c r="C95" i="10" a="1"/>
  <c r="AM82" i="10" a="1"/>
  <c r="AW87" i="10" a="1"/>
  <c r="AG85" i="10" a="1"/>
  <c r="AA89" i="10" a="1"/>
  <c r="AQ85" i="10" a="1"/>
  <c r="AP90" i="10" a="1"/>
  <c r="AO85" i="10" a="1"/>
  <c r="AD81" i="10" a="1"/>
  <c r="AI83" i="10" a="1"/>
  <c r="W91" i="10" a="1"/>
  <c r="AG91" i="10" a="1"/>
  <c r="AP83" i="10" a="1"/>
  <c r="AJ83" i="10" a="1"/>
  <c r="AJ86" i="10" a="1"/>
  <c r="Z88" i="10" a="1"/>
  <c r="K88" i="10" a="1"/>
  <c r="U88" i="10" a="1"/>
  <c r="G93" i="10" a="1"/>
  <c r="H92" i="10" a="1"/>
  <c r="AD92" i="10" a="1"/>
  <c r="AI93" i="10" a="1"/>
  <c r="AW95" i="10" a="1"/>
  <c r="AH94" i="10" a="1"/>
  <c r="R94" i="10" a="1"/>
  <c r="AJ95" i="10" a="1"/>
  <c r="C94" i="10" a="1"/>
  <c r="Z98" i="10" a="1"/>
  <c r="AB91" i="10" a="1"/>
  <c r="AF91" i="10" a="1"/>
  <c r="AS92" i="10" a="1"/>
  <c r="V91" i="10" a="1"/>
  <c r="K92" i="10" a="1"/>
  <c r="AH98" i="10" a="1"/>
  <c r="F84" i="10" a="1"/>
  <c r="O87" i="10" a="1"/>
  <c r="R84" i="10" a="1"/>
  <c r="R89" i="10" a="1"/>
  <c r="AS89" i="10" a="1"/>
  <c r="AF85" i="10" a="1"/>
  <c r="T85" i="10" a="1"/>
  <c r="F81" i="10" a="1"/>
  <c r="AJ81" i="10" a="1"/>
  <c r="AK91" i="10" a="1"/>
  <c r="N83" i="10" a="1"/>
  <c r="G83" i="10" a="1"/>
  <c r="J88" i="10" a="1"/>
  <c r="AB88" i="10" a="1"/>
  <c r="L92" i="10" a="1"/>
  <c r="AG92" i="10" a="1"/>
  <c r="E94" i="10" a="1"/>
  <c r="S84" i="10" a="1"/>
  <c r="Z87" i="10" a="1"/>
  <c r="AQ89" i="10" a="1"/>
  <c r="P85" i="10" a="1"/>
  <c r="AD90" i="10" a="1"/>
  <c r="Y83" i="10" a="1"/>
  <c r="G81" i="10" a="1"/>
  <c r="L91" i="10" a="1"/>
  <c r="AJ91" i="10" a="1"/>
  <c r="AG94" i="10" a="1"/>
  <c r="L98" i="10" a="1"/>
  <c r="K93" i="10" a="1"/>
  <c r="X82" i="10" a="1"/>
  <c r="C87" i="10" a="1"/>
  <c r="I87" i="10" a="1"/>
  <c r="M85" i="10" a="1"/>
  <c r="X83" i="10" a="1"/>
  <c r="F83" i="10" a="1"/>
  <c r="D81" i="10" a="1"/>
  <c r="T93" i="10" a="1"/>
  <c r="K83" i="10" a="1"/>
  <c r="AH86" i="10" a="1"/>
  <c r="AF88" i="10" a="1"/>
  <c r="P88" i="10" a="1"/>
  <c r="Q88" i="10" a="1"/>
  <c r="D91" i="10" a="1"/>
  <c r="C91" i="10" a="1"/>
  <c r="D92" i="10" a="1"/>
  <c r="AU92" i="10" a="1"/>
  <c r="N95" i="10" a="1"/>
  <c r="F93" i="10" a="1"/>
  <c r="AF94" i="10" a="1"/>
  <c r="F95" i="10" a="1"/>
  <c r="D98" i="10" a="1"/>
  <c r="S98" i="10" a="1"/>
  <c r="N92" i="10" a="1"/>
  <c r="AV92" i="10" a="1"/>
  <c r="AT94" i="10" a="1"/>
  <c r="M95" i="10" a="1"/>
  <c r="M93" i="10" a="1"/>
  <c r="AD94" i="10" a="1"/>
  <c r="AQ95" i="10" a="1"/>
  <c r="J98" i="10" a="1"/>
  <c r="AC98" i="10" a="1"/>
  <c r="P86" i="10" a="1"/>
  <c r="AC88" i="10" a="1"/>
  <c r="AR91" i="10" a="1"/>
  <c r="AB92" i="10" a="1"/>
  <c r="AQ92" i="10" a="1"/>
  <c r="U98" i="10" a="1"/>
  <c r="Z95" i="10" a="1"/>
  <c r="AL82" i="10" a="1"/>
  <c r="AK84" i="10" a="1"/>
  <c r="AJ87" i="10" a="1"/>
  <c r="AL84" i="10" a="1"/>
  <c r="C89" i="10" a="1"/>
  <c r="AS85" i="10" a="1"/>
  <c r="X85" i="10" a="1"/>
  <c r="AD83" i="10" a="1"/>
  <c r="AQ81" i="10" a="1"/>
  <c r="AF83" i="10" a="1"/>
  <c r="W81" i="10" a="1"/>
  <c r="Q93" i="10" a="1"/>
  <c r="AS83" i="10" a="1"/>
  <c r="Q86" i="10" a="1"/>
  <c r="AN88" i="10" a="1"/>
  <c r="X88" i="10" a="1"/>
  <c r="K86" i="10" a="1"/>
  <c r="AF92" i="10" a="1"/>
  <c r="J84" i="10" a="1"/>
  <c r="P89" i="10" a="1"/>
  <c r="U84" i="10" a="1"/>
  <c r="AK89" i="10" a="1"/>
  <c r="I89" i="10" a="1"/>
  <c r="AW85" i="10" a="1"/>
  <c r="Q85" i="10" a="1"/>
  <c r="AM81" i="10" a="1"/>
  <c r="E81" i="10" a="1"/>
  <c r="V81" i="10" a="1"/>
  <c r="AD91" i="10" a="1"/>
  <c r="AO93" i="10" a="1"/>
  <c r="W83" i="10" a="1"/>
  <c r="AI92" i="10" a="1"/>
  <c r="AU94" i="10" a="1"/>
  <c r="AK94" i="10" a="1"/>
  <c r="C84" i="10" a="1"/>
  <c r="AH87" i="10" a="1"/>
  <c r="R90" i="10" a="1"/>
  <c r="S85" i="10" a="1"/>
  <c r="C85" i="10" a="1"/>
  <c r="U83" i="10" a="1"/>
  <c r="AQ90" i="10" a="1"/>
  <c r="O91" i="10" a="1"/>
  <c r="T83" i="10" a="1"/>
  <c r="M88" i="10" a="1"/>
  <c r="AH88" i="10" a="1"/>
  <c r="D86" i="10" a="1"/>
  <c r="AA91" i="10" a="1"/>
  <c r="C92" i="10" a="1"/>
  <c r="E92" i="10" a="1"/>
  <c r="H93" i="10" a="1"/>
  <c r="AJ93" i="10" a="1"/>
  <c r="D94" i="10" a="1"/>
  <c r="AN95" i="10" a="1"/>
  <c r="AJ94" i="10" a="1"/>
  <c r="I98" i="10" a="1"/>
  <c r="AR83" i="10" a="1"/>
  <c r="P83" i="10" a="1"/>
  <c r="V88" i="10" a="1"/>
  <c r="AW86" i="10" a="1"/>
  <c r="AW91" i="10" a="1"/>
  <c r="R92" i="10" a="1"/>
  <c r="V92" i="10" a="1"/>
  <c r="AB93" i="10" a="1"/>
  <c r="U80" i="10" a="1"/>
  <c r="Y89" i="10" a="1"/>
  <c r="S89" i="10" a="1"/>
  <c r="AB89" i="10" a="1"/>
  <c r="G85" i="10" a="1"/>
  <c r="Z83" i="10" a="1"/>
  <c r="J83" i="10" a="1"/>
  <c r="I81" i="10" a="1"/>
  <c r="W93" i="10" a="1"/>
  <c r="AI86" i="10" a="1"/>
  <c r="C88" i="10" a="1"/>
  <c r="AT98" i="10" a="1"/>
  <c r="AI100" i="10" a="1"/>
  <c r="AK98" i="10" a="1"/>
  <c r="AI98" i="10" a="1"/>
  <c r="W101" i="10" a="1"/>
  <c r="AO101" i="10" a="1"/>
  <c r="V100" i="10" a="1"/>
  <c r="D100" i="10" a="1"/>
  <c r="AF101" i="10" a="1"/>
  <c r="AQ100" i="10" a="1"/>
  <c r="R100" i="10" a="1"/>
  <c r="K103" i="10" a="1"/>
  <c r="AW101" i="10" a="1"/>
  <c r="E103" i="10" a="1"/>
  <c r="S103" i="10" a="1"/>
  <c r="AT103" i="10" a="1"/>
  <c r="AB104" i="10" a="1"/>
  <c r="AG96" i="10" a="1"/>
  <c r="AN97" i="10" a="1"/>
  <c r="S96" i="10" a="1"/>
  <c r="Y96" i="10" a="1"/>
  <c r="AO96" i="10" a="1"/>
  <c r="D97" i="10" a="1"/>
  <c r="Y97" i="10" a="1"/>
  <c r="R97" i="10" a="1"/>
  <c r="X97" i="10" a="1"/>
  <c r="AL99" i="10" a="1"/>
  <c r="AH99" i="10" a="1"/>
  <c r="AO99" i="10" a="1"/>
  <c r="AF99" i="10" a="1"/>
  <c r="AW104" i="10" a="1"/>
  <c r="J99" i="10" a="1"/>
  <c r="AV102" i="10" a="1"/>
  <c r="AL102" i="10" a="1"/>
  <c r="AC102" i="10" a="1"/>
  <c r="AJ104" i="10" a="1"/>
  <c r="G96" i="10" a="1"/>
  <c r="AU95" i="10" a="1"/>
  <c r="U100" i="10" a="1"/>
  <c r="AM98" i="10" a="1"/>
  <c r="Y98" i="10" a="1"/>
  <c r="Q101" i="10" a="1"/>
  <c r="S101" i="10" a="1"/>
  <c r="AV100" i="10" a="1"/>
  <c r="AT100" i="10" a="1"/>
  <c r="AC101" i="10" a="1"/>
  <c r="N100" i="10" a="1"/>
  <c r="AQ101" i="10" a="1"/>
  <c r="AD103" i="10" a="1"/>
  <c r="U101" i="10" a="1"/>
  <c r="O103" i="10" a="1"/>
  <c r="AP103" i="10" a="1"/>
  <c r="C103" i="10" a="1"/>
  <c r="AD104" i="10" a="1"/>
  <c r="C96" i="10" a="1"/>
  <c r="Q97" i="10" a="1"/>
  <c r="AD96" i="10" a="1"/>
  <c r="J96" i="10" a="1"/>
  <c r="O97" i="10" a="1"/>
  <c r="AF97" i="10" a="1"/>
  <c r="W96" i="10" a="1"/>
  <c r="K97" i="10" a="1"/>
  <c r="AI99" i="10" a="1"/>
  <c r="C99" i="10" a="1"/>
  <c r="D99" i="10" a="1"/>
  <c r="R99" i="10" a="1"/>
  <c r="S102" i="10" a="1"/>
  <c r="W99" i="10" a="1"/>
  <c r="G102" i="10" a="1"/>
  <c r="O102" i="10" a="1"/>
  <c r="V102" i="10" a="1"/>
  <c r="AK104" i="10" a="1"/>
  <c r="Z104" i="10" a="1"/>
  <c r="M105" i="10" a="1"/>
  <c r="O115" i="10" a="1"/>
  <c r="AG106" i="10" a="1"/>
  <c r="W105" i="10" a="1"/>
  <c r="U105" i="10" a="1"/>
  <c r="AW106" i="10" a="1"/>
  <c r="X105" i="10" a="1"/>
  <c r="AM106" i="10" a="1"/>
  <c r="O106" i="10" a="1"/>
  <c r="AB106" i="10" a="1"/>
  <c r="AQ98" i="10" a="1"/>
  <c r="V101" i="10" a="1"/>
  <c r="E101" i="10" a="1"/>
  <c r="AP100" i="10" a="1"/>
  <c r="AK100" i="10" a="1"/>
  <c r="Y101" i="10" a="1"/>
  <c r="J101" i="10" a="1"/>
  <c r="J103" i="10" a="1"/>
  <c r="AK101" i="10" a="1"/>
  <c r="AG103" i="10" a="1"/>
  <c r="AL96" i="10" a="1"/>
  <c r="AG97" i="10" a="1"/>
  <c r="E96" i="10" a="1"/>
  <c r="AN96" i="10" a="1"/>
  <c r="AM97" i="10" a="1"/>
  <c r="K113" i="10" a="1"/>
  <c r="Y99" i="10" a="1"/>
  <c r="Q99" i="10" a="1"/>
  <c r="M102" i="10" a="1"/>
  <c r="T105" i="10" a="1"/>
  <c r="E95" i="10" a="1"/>
  <c r="X100" i="10" a="1"/>
  <c r="AJ98" i="10" a="1"/>
  <c r="T102" i="10" a="1"/>
  <c r="AS103" i="10" a="1"/>
  <c r="G104" i="10" a="1"/>
  <c r="AM96" i="10" a="1"/>
  <c r="P97" i="10" a="1"/>
  <c r="O99" i="10" a="1"/>
  <c r="AB99" i="10" a="1"/>
  <c r="L99" i="10" a="1"/>
  <c r="AN102" i="10" a="1"/>
  <c r="N102" i="10" a="1"/>
  <c r="X104" i="10" a="1"/>
  <c r="AO104" i="10" a="1"/>
  <c r="AO105" i="10" a="1"/>
  <c r="T115" i="10" a="1"/>
  <c r="AJ106" i="10" a="1"/>
  <c r="AI105" i="10" a="1"/>
  <c r="AK106" i="10" a="1"/>
  <c r="AP105" i="10" a="1"/>
  <c r="K106" i="10" a="1"/>
  <c r="S106" i="10" a="1"/>
  <c r="AT106" i="10" a="1"/>
  <c r="E115" i="10" a="1"/>
  <c r="V99" i="10" a="1"/>
  <c r="K95" i="10" a="1"/>
  <c r="C100" i="10" a="1"/>
  <c r="V98" i="10" a="1"/>
  <c r="AD98" i="10" a="1"/>
  <c r="T100" i="10" a="1"/>
  <c r="L101" i="10" a="1"/>
  <c r="AW100" i="10" a="1"/>
  <c r="AH100" i="10" a="1"/>
  <c r="G101" i="10" a="1"/>
  <c r="F100" i="10" a="1"/>
  <c r="AR101" i="10" a="1"/>
  <c r="T103" i="10" a="1"/>
  <c r="AA101" i="10" a="1"/>
  <c r="AB103" i="10" a="1"/>
  <c r="AU103" i="10" a="1"/>
  <c r="P103" i="10" a="1"/>
  <c r="AU104" i="10" a="1"/>
  <c r="AT104" i="10" a="1"/>
  <c r="V97" i="10" a="1"/>
  <c r="I96" i="10" a="1"/>
  <c r="AB96" i="10" a="1"/>
  <c r="L97" i="10" a="1"/>
  <c r="J97" i="10" a="1"/>
  <c r="AQ96" i="10" a="1"/>
  <c r="V113" i="10" a="1"/>
  <c r="G99" i="10" a="1"/>
  <c r="X99" i="10" a="1"/>
  <c r="V95" i="10" a="1"/>
  <c r="AO100" i="10" a="1"/>
  <c r="H96" i="10" a="1"/>
  <c r="AI95" i="10" a="1"/>
  <c r="P98" i="10" a="1"/>
  <c r="R98" i="10" a="1"/>
  <c r="AA98" i="10" a="1"/>
  <c r="E100" i="10" a="1"/>
  <c r="AD101" i="10" a="1"/>
  <c r="H100" i="10" a="1"/>
  <c r="AS100" i="10" a="1"/>
  <c r="T101" i="10" a="1"/>
  <c r="O100" i="10" a="1"/>
  <c r="AN101" i="10" a="1"/>
  <c r="K101" i="10" a="1"/>
  <c r="AG101" i="10" a="1"/>
  <c r="L103" i="10" a="1"/>
  <c r="F103" i="10" a="1"/>
  <c r="Q103" i="10" a="1"/>
  <c r="E104" i="10" a="1"/>
  <c r="AR104" i="10" a="1"/>
  <c r="AR97" i="10" a="1"/>
  <c r="AC96" i="10" a="1"/>
  <c r="O113" i="10" a="1"/>
  <c r="AR99" i="10" a="1"/>
  <c r="J102" i="10" a="1"/>
  <c r="D95" i="10" a="1"/>
  <c r="E98" i="10" a="1"/>
  <c r="AN98" i="10" a="1"/>
  <c r="AO98" i="10" a="1"/>
  <c r="AN100" i="10" a="1"/>
  <c r="AS101" i="10" a="1"/>
  <c r="AR100" i="10" a="1"/>
  <c r="AA100" i="10" a="1"/>
  <c r="AU101" i="10" a="1"/>
  <c r="Z102" i="10" a="1"/>
  <c r="I101" i="10" a="1"/>
  <c r="R101" i="10" a="1"/>
  <c r="N101" i="10" a="1"/>
  <c r="H103" i="10" a="1"/>
  <c r="Z103" i="10" a="1"/>
  <c r="AL103" i="10" a="1"/>
  <c r="P96" i="10" a="1"/>
  <c r="F104" i="10" a="1"/>
  <c r="AA97" i="10" a="1"/>
  <c r="AJ96" i="10" a="1"/>
  <c r="AK96" i="10" a="1"/>
  <c r="AC97" i="10" a="1"/>
  <c r="AJ97" i="10" a="1"/>
  <c r="U97" i="10" a="1"/>
  <c r="AU97" i="10" a="1"/>
  <c r="E99" i="10" a="1"/>
  <c r="AQ99" i="10" a="1"/>
  <c r="AG104" i="10" a="1"/>
  <c r="AQ102" i="10" a="1"/>
  <c r="AB102" i="10" a="1"/>
  <c r="F102" i="10" a="1"/>
  <c r="Q104" i="10" a="1"/>
  <c r="P104" i="10" a="1"/>
  <c r="AF105" i="10" a="1"/>
  <c r="AB105" i="10" a="1"/>
  <c r="AL101" i="10" a="1"/>
  <c r="M101" i="10" a="1"/>
  <c r="F101" i="10" a="1"/>
  <c r="X95" i="10" a="1"/>
  <c r="O98" i="10" a="1"/>
  <c r="AR98" i="10" a="1"/>
  <c r="AH101" i="10" a="1"/>
  <c r="W100" i="10" a="1"/>
  <c r="AL100" i="10" a="1"/>
  <c r="Z100" i="10" a="1"/>
  <c r="AA102" i="10" a="1"/>
  <c r="AF102" i="10" a="1"/>
  <c r="X101" i="10" a="1"/>
  <c r="AJ103" i="10" a="1"/>
  <c r="D103" i="10" a="1"/>
  <c r="AV103" i="10" a="1"/>
  <c r="D96" i="10" a="1"/>
  <c r="AL104" i="10" a="1"/>
  <c r="AB97" i="10" a="1"/>
  <c r="AH96" i="10" a="1"/>
  <c r="Q96" i="10" a="1"/>
  <c r="N97" i="10" a="1"/>
  <c r="W97" i="10" a="1"/>
  <c r="F97" i="10" a="1"/>
  <c r="AJ101" i="10" a="1"/>
  <c r="AN103" i="10" a="1"/>
  <c r="U104" i="10" a="1"/>
  <c r="V96" i="10" a="1"/>
  <c r="AH104" i="10" a="1"/>
  <c r="U96" i="10" a="1"/>
  <c r="X96" i="10" a="1"/>
  <c r="AI96" i="10" a="1"/>
  <c r="H97" i="10" a="1"/>
  <c r="C97" i="10" a="1"/>
  <c r="L96" i="10" a="1"/>
  <c r="AW96" i="10" a="1"/>
  <c r="K99" i="10" a="1"/>
  <c r="N99" i="10" a="1"/>
  <c r="S99" i="10" a="1"/>
  <c r="AC104" i="10" a="1"/>
  <c r="AD99" i="10" a="1"/>
  <c r="AG102" i="10" a="1"/>
  <c r="Q102" i="10" a="1"/>
  <c r="V104" i="10" a="1"/>
  <c r="D105" i="10" a="1"/>
  <c r="V115" i="10" a="1"/>
  <c r="AH106" i="10" a="1"/>
  <c r="AG105" i="10" a="1"/>
  <c r="AM105" i="10" a="1"/>
  <c r="AN106" i="10" a="1"/>
  <c r="R106" i="10" a="1"/>
  <c r="T106" i="10" a="1"/>
  <c r="E118" i="10" a="1"/>
  <c r="G106" i="10" a="1"/>
  <c r="AG107" i="10" a="1"/>
  <c r="AG100" i="10" a="1"/>
  <c r="AL98" i="10" a="1"/>
  <c r="AW98" i="10" a="1"/>
  <c r="C101" i="10" a="1"/>
  <c r="AC100" i="10" a="1"/>
  <c r="AJ100" i="10" a="1"/>
  <c r="AM100" i="10" a="1"/>
  <c r="S100" i="10" a="1"/>
  <c r="AF100" i="10" a="1"/>
  <c r="AD100" i="10" a="1"/>
  <c r="AW103" i="10" a="1"/>
  <c r="AP101" i="10" a="1"/>
  <c r="V103" i="10" a="1"/>
  <c r="AW99" i="10" a="1"/>
  <c r="AM102" i="10" a="1"/>
  <c r="AV104" i="10" a="1"/>
  <c r="M100" i="10" a="1"/>
  <c r="R102" i="10" a="1"/>
  <c r="L102" i="10" a="1"/>
  <c r="X103" i="10" a="1"/>
  <c r="Z101" i="10" a="1"/>
  <c r="Y103" i="10" a="1"/>
  <c r="AI103" i="10" a="1"/>
  <c r="AF103" i="10" a="1"/>
  <c r="M104" i="10" a="1"/>
  <c r="K96" i="10" a="1"/>
  <c r="T104" i="10" a="1"/>
  <c r="N96" i="10" a="1"/>
  <c r="M96" i="10" a="1"/>
  <c r="T96" i="10" a="1"/>
  <c r="AI97" i="10" a="1"/>
  <c r="AT97" i="10" a="1"/>
  <c r="O96" i="10" a="1"/>
  <c r="R96" i="10" a="1"/>
  <c r="AU99" i="10" a="1"/>
  <c r="AT99" i="10" a="1"/>
  <c r="AM99" i="10" a="1"/>
  <c r="AG99" i="10" a="1"/>
  <c r="J100" i="10" a="1"/>
  <c r="X98" i="10" a="1"/>
  <c r="Q98" i="10" a="1"/>
  <c r="AV101" i="10" a="1"/>
  <c r="Q100" i="10" a="1"/>
  <c r="L100" i="10" a="1"/>
  <c r="O101" i="10" a="1"/>
  <c r="Y104" i="10" a="1"/>
  <c r="AL105" i="10" a="1"/>
  <c r="AM101" i="10" a="1"/>
  <c r="AV97" i="10" a="1"/>
  <c r="AN99" i="10" a="1"/>
  <c r="AK102" i="10" a="1"/>
  <c r="AH102" i="10" a="1"/>
  <c r="P105" i="10" a="1"/>
  <c r="AQ106" i="10" a="1"/>
  <c r="V118" i="10" a="1"/>
  <c r="AR107" i="10" a="1"/>
  <c r="X107" i="10" a="1"/>
  <c r="AW107" i="10" a="1"/>
  <c r="G115" i="10" a="1"/>
  <c r="AQ115" i="10" a="1"/>
  <c r="AM111" i="10" a="1"/>
  <c r="I109" i="10" a="1"/>
  <c r="E109" i="10" a="1"/>
  <c r="G108" i="10" a="1"/>
  <c r="R110" i="10" a="1"/>
  <c r="AF107" i="10" a="1"/>
  <c r="R111" i="10" a="1"/>
  <c r="Z109" i="10" a="1"/>
  <c r="AR108" i="10" a="1"/>
  <c r="AA110" i="10" a="1"/>
  <c r="AS97" i="10" a="1"/>
  <c r="F105" i="10" a="1"/>
  <c r="I106" i="10" a="1"/>
  <c r="AT115" i="10" a="1"/>
  <c r="AC111" i="10" a="1"/>
  <c r="R109" i="10" a="1"/>
  <c r="AK110" i="10" a="1"/>
  <c r="X111" i="10" a="1"/>
  <c r="D109" i="10" a="1"/>
  <c r="U110" i="10" a="1"/>
  <c r="D106" i="10" a="1"/>
  <c r="R108" i="10" a="1"/>
  <c r="AD110" i="10" a="1"/>
  <c r="AB98" i="10" a="1"/>
  <c r="K102" i="10" a="1"/>
  <c r="P106" i="10" a="1"/>
  <c r="AL111" i="10" a="1"/>
  <c r="O110" i="10" a="1"/>
  <c r="C105" i="10" a="1"/>
  <c r="AN107" i="10" a="1"/>
  <c r="Q107" i="10" a="1"/>
  <c r="G110" i="10" a="1"/>
  <c r="Z96" i="10" a="1"/>
  <c r="U106" i="10" a="1"/>
  <c r="I105" i="10" a="1"/>
  <c r="C108" i="10" a="1"/>
  <c r="K105" i="10" a="1"/>
  <c r="L107" i="10" a="1"/>
  <c r="AU111" i="10" a="1"/>
  <c r="AA104" i="10" a="1"/>
  <c r="AP107" i="10" a="1"/>
  <c r="AA105" i="10" a="1"/>
  <c r="AB107" i="10" a="1"/>
  <c r="Q109" i="10" a="1"/>
  <c r="T107" i="10" a="1"/>
  <c r="N115" i="10" a="1"/>
  <c r="P115" i="10" a="1"/>
  <c r="AJ102" i="10" a="1"/>
  <c r="D115" i="10" a="1"/>
  <c r="H108" i="10" a="1"/>
  <c r="H109" i="10" a="1"/>
  <c r="AL108" i="10" a="1"/>
  <c r="AP118" i="10" a="1"/>
  <c r="AS111" i="10" a="1"/>
  <c r="S95" i="10" a="1"/>
  <c r="AR103" i="10" a="1"/>
  <c r="U99" i="10" a="1"/>
  <c r="Y102" i="10" a="1"/>
  <c r="AC105" i="10" a="1"/>
  <c r="H105" i="10" a="1"/>
  <c r="C106" i="10" a="1"/>
  <c r="AL115" i="10" a="1"/>
  <c r="P108" i="10" a="1"/>
  <c r="J107" i="10" a="1"/>
  <c r="R115" i="10" a="1"/>
  <c r="AW108" i="10" a="1"/>
  <c r="Y109" i="10" a="1"/>
  <c r="AR109" i="10" a="1"/>
  <c r="Y108" i="10" a="1"/>
  <c r="AR102" i="10" a="1"/>
  <c r="AP104" i="10" a="1"/>
  <c r="AP97" i="10" a="1"/>
  <c r="Z99" i="10" a="1"/>
  <c r="AP99" i="10" a="1"/>
  <c r="O104" i="10" a="1"/>
  <c r="AT105" i="10" a="1"/>
  <c r="Q105" i="10" a="1"/>
  <c r="AD106" i="10" a="1"/>
  <c r="AW118" i="10" a="1"/>
  <c r="AC115" i="10" a="1"/>
  <c r="AK107" i="10" a="1"/>
  <c r="AO107" i="10" a="1"/>
  <c r="F115" i="10" a="1"/>
  <c r="S109" i="10" a="1"/>
  <c r="W104" i="10" a="1"/>
  <c r="W106" i="10" a="1"/>
  <c r="AN115" i="10" a="1"/>
  <c r="AO108" i="10" a="1"/>
  <c r="V110" i="10" a="1"/>
  <c r="H99" i="10" a="1"/>
  <c r="C115" i="10" a="1"/>
  <c r="M97" i="10" a="1"/>
  <c r="V105" i="10" a="1"/>
  <c r="N107" i="10" a="1"/>
  <c r="AA106" i="10" a="1"/>
  <c r="U115" i="10" a="1"/>
  <c r="AM108" i="10" a="1"/>
  <c r="I103" i="10" a="1"/>
  <c r="I99" i="10" a="1"/>
  <c r="AD115" i="10" a="1"/>
  <c r="Y107" i="10" a="1"/>
  <c r="AN110" i="10" a="1"/>
  <c r="AJ105" i="10" a="1"/>
  <c r="T111" i="10" a="1"/>
  <c r="X108" i="10" a="1"/>
  <c r="Z106" i="10" a="1"/>
  <c r="AA115" i="10" a="1"/>
  <c r="T109" i="10" a="1"/>
  <c r="I111" i="10" a="1"/>
  <c r="AM109" i="10" a="1"/>
  <c r="AS96" i="10" a="1"/>
  <c r="Y106" i="10" a="1"/>
  <c r="AQ107" i="10" a="1"/>
  <c r="U108" i="10" a="1"/>
  <c r="P102" i="10" a="1"/>
  <c r="T108" i="10" a="1"/>
  <c r="AL107" i="10" a="1"/>
  <c r="R104" i="10" a="1"/>
  <c r="AI104" i="10" a="1"/>
  <c r="M106" i="10" a="1"/>
  <c r="K107" i="10" a="1"/>
  <c r="AN108" i="10" a="1"/>
  <c r="AL106" i="10" a="1"/>
  <c r="AK108" i="10" a="1"/>
  <c r="T99" i="10" a="1"/>
  <c r="AI108" i="10" a="1"/>
  <c r="AV115" i="10" a="1"/>
  <c r="C98" i="10" a="1"/>
  <c r="AU102" i="10" a="1"/>
  <c r="F99" i="10" a="1"/>
  <c r="AH105" i="10" a="1"/>
  <c r="J108" i="10" a="1"/>
  <c r="N108" i="10" a="1"/>
  <c r="Z108" i="10" a="1"/>
  <c r="AQ110" i="10" a="1"/>
  <c r="L104" i="10" a="1"/>
  <c r="K108" i="10" a="1"/>
  <c r="AC108" i="10" a="1"/>
  <c r="AR115" i="10" a="1"/>
  <c r="N105" i="10" a="1"/>
  <c r="AS107" i="10" a="1"/>
  <c r="AD108" i="10" a="1"/>
  <c r="AV113" i="10" a="1"/>
  <c r="H106" i="10" a="1"/>
  <c r="AT108" i="10" a="1"/>
  <c r="AT96" i="10" a="1"/>
  <c r="D102" i="10" a="1"/>
  <c r="Y111" i="10" a="1"/>
  <c r="AS102" i="10" a="1"/>
  <c r="U107" i="10" a="1"/>
  <c r="O107" i="10" a="1"/>
  <c r="H98" i="10" a="1"/>
  <c r="AP96" i="10" a="1"/>
  <c r="AW97" i="10" a="1"/>
  <c r="P99" i="10" a="1"/>
  <c r="M99" i="10" a="1"/>
  <c r="D104" i="10" a="1"/>
  <c r="Z105" i="10" a="1"/>
  <c r="L106" i="10" a="1"/>
  <c r="AU106" i="10" a="1"/>
  <c r="X115" i="10" a="1"/>
  <c r="AD107" i="10" a="1"/>
  <c r="Z107" i="10" a="1"/>
  <c r="AJ115" i="10" a="1"/>
  <c r="AS115" i="10" a="1"/>
  <c r="P110" i="10" a="1"/>
  <c r="V109" i="10" a="1"/>
  <c r="AS105" i="10" a="1"/>
  <c r="AJ107" i="10" a="1"/>
  <c r="AT111" i="10" a="1"/>
  <c r="AS104" i="10" a="1"/>
  <c r="AV105" i="10" a="1"/>
  <c r="I107" i="10" a="1"/>
  <c r="U109" i="10" a="1"/>
  <c r="AF108" i="10" a="1"/>
  <c r="W108" i="10" a="1"/>
  <c r="K110" i="10" a="1"/>
  <c r="H101" i="10" a="1"/>
  <c r="X106" i="10" a="1"/>
  <c r="K100" i="10" a="1"/>
  <c r="AF96" i="10" a="1"/>
  <c r="AQ105" i="10" a="1"/>
  <c r="AA108" i="10" a="1"/>
  <c r="AC113" i="10" a="1"/>
  <c r="AG108" i="10" a="1"/>
  <c r="S110" i="10" a="1"/>
  <c r="J104" i="10" a="1"/>
  <c r="AU100" i="10" a="1"/>
  <c r="AF104" i="10" a="1"/>
  <c r="AV99" i="10" a="1"/>
  <c r="H102" i="10" a="1"/>
  <c r="J105" i="10" a="1"/>
  <c r="AD105" i="10" a="1"/>
  <c r="AV106" i="10" a="1"/>
  <c r="AP115" i="10" a="1"/>
  <c r="AU107" i="10" a="1"/>
  <c r="AV107" i="10" a="1"/>
  <c r="AU115" i="10" a="1"/>
  <c r="AO115" i="10" a="1"/>
  <c r="V108" i="10" a="1"/>
  <c r="AG115" i="10" a="1"/>
  <c r="J115" i="10" a="1"/>
  <c r="E110" i="10" a="1"/>
  <c r="AJ99" i="10" a="1"/>
  <c r="AM104" i="10" a="1"/>
  <c r="T97" i="10" a="1"/>
  <c r="C107" i="10" a="1"/>
  <c r="AQ108" i="10" a="1"/>
  <c r="E102" i="10" a="1"/>
  <c r="N104" i="10" a="1"/>
  <c r="W115" i="10" a="1"/>
  <c r="AI115" i="10" a="1"/>
  <c r="AJ108" i="10" a="1"/>
  <c r="P107" i="10" a="1"/>
  <c r="M115" i="10" a="1"/>
  <c r="AB115" i="10" a="1"/>
  <c r="H107" i="10" a="1"/>
  <c r="O108" i="10" a="1"/>
  <c r="U103" i="10" a="1"/>
  <c r="W107" i="10" a="1"/>
  <c r="C111" i="10" a="1"/>
  <c r="AM107" i="10" a="1"/>
  <c r="AS108" i="10" a="1"/>
  <c r="N106" i="10" a="1"/>
  <c r="S107" i="10" a="1"/>
  <c r="AF109" i="10" a="1"/>
  <c r="C109" i="10" a="1"/>
  <c r="AS109" i="10" a="1"/>
  <c r="K98" i="10" a="1"/>
  <c r="AT101" i="10" a="1"/>
  <c r="AA96" i="10" a="1"/>
  <c r="AF106" i="10" a="1"/>
  <c r="W109" i="10" a="1"/>
  <c r="Y115" i="10" a="1"/>
  <c r="S108" i="10" a="1"/>
  <c r="R105" i="10" a="1"/>
  <c r="AB111" i="10" a="1"/>
  <c r="AW105" i="10" a="1"/>
  <c r="S115" i="10" a="1"/>
  <c r="AS99" i="10" a="1"/>
  <c r="AT107" i="10" a="1"/>
  <c r="AN111" i="10" a="1"/>
  <c r="M108" i="10" a="1"/>
  <c r="AU108" i="10" a="1"/>
  <c r="P101" i="10" a="1"/>
  <c r="AO97" i="10" a="1"/>
  <c r="F96" i="10" a="1"/>
  <c r="AW102" i="10" a="1"/>
  <c r="C104" i="10" a="1"/>
  <c r="H115" i="10" a="1"/>
  <c r="AM115" i="10" a="1"/>
  <c r="Z115" i="10" a="1"/>
  <c r="AO102" i="10" a="1"/>
  <c r="F108" i="10" a="1"/>
  <c r="AI101" i="10" a="1"/>
  <c r="AS113" i="10" a="1"/>
  <c r="S104" i="10" a="1"/>
  <c r="I102" i="10" a="1"/>
  <c r="AS106" i="10" a="1"/>
  <c r="E106" i="10" a="1"/>
  <c r="L109" i="10" a="1"/>
  <c r="AR105" i="10" a="1"/>
  <c r="R107" i="10" a="1"/>
  <c r="D107" i="10" a="1"/>
  <c r="E108" i="10" a="1"/>
  <c r="I113" i="10" a="1"/>
  <c r="E107" i="10" a="1"/>
  <c r="AU109" i="10" a="1"/>
  <c r="K104" i="10" a="1"/>
  <c r="AH115" i="10" a="1"/>
  <c r="AP108" i="10" a="1"/>
  <c r="AQ103" i="10" a="1"/>
  <c r="O105" i="10" a="1"/>
  <c r="AF111" i="10" a="1"/>
  <c r="M107" i="10" a="1"/>
  <c r="AH108" i="10" a="1"/>
  <c r="AB101" i="10" a="1"/>
  <c r="AV96" i="10" a="1"/>
  <c r="Q106" i="10" a="1"/>
  <c r="K109" i="10" a="1"/>
  <c r="AL109" i="10" a="1"/>
  <c r="I104" i="10" a="1"/>
  <c r="AI106" i="10" a="1"/>
  <c r="K115" i="10" a="1"/>
  <c r="I100" i="10" a="1"/>
  <c r="AQ104" i="10" a="1"/>
  <c r="C110" i="10" a="1"/>
  <c r="Q108" i="10" a="1"/>
  <c r="AI109" i="10" a="1"/>
  <c r="D101" i="10" a="1"/>
  <c r="AG109" i="10" a="1"/>
  <c r="V106" i="10" a="1"/>
  <c r="AP109" i="10" a="1"/>
  <c r="C102" i="10" a="1"/>
  <c r="AB108" i="10" a="1"/>
  <c r="G107" i="10" a="1"/>
  <c r="G100" i="10" a="1"/>
  <c r="AU96" i="10" a="1"/>
  <c r="M113" i="10" a="1"/>
  <c r="H104" i="10" a="1"/>
  <c r="AD102" i="10" a="1"/>
  <c r="AN104" i="10" a="1"/>
  <c r="AC106" i="10" a="1"/>
  <c r="F106" i="10" a="1"/>
  <c r="J106" i="10" a="1"/>
  <c r="AI107" i="10" a="1"/>
  <c r="AU105" i="10" a="1"/>
  <c r="F107" i="10" a="1"/>
  <c r="I108" i="10" a="1"/>
  <c r="AN109" i="10" a="1"/>
  <c r="Q115" i="10" a="1"/>
  <c r="Y100" i="10" a="1"/>
  <c r="AC103" i="10" a="1"/>
  <c r="AR96" i="10" a="1"/>
  <c r="AA99" i="10" a="1"/>
  <c r="AT102" i="10" a="1"/>
  <c r="AI102" i="10" a="1"/>
  <c r="Y105" i="10" a="1"/>
  <c r="AN105" i="10" a="1"/>
  <c r="AM118" i="10" a="1"/>
  <c r="AH107" i="10" a="1"/>
  <c r="AV108" i="10" a="1"/>
  <c r="AC107" i="10" a="1"/>
  <c r="AK115" i="10" a="1"/>
  <c r="O111" i="10" a="1"/>
  <c r="L108" i="10" a="1"/>
  <c r="N109" i="10" a="1"/>
  <c r="AO109" i="10" a="1"/>
  <c r="AV109" i="10" a="1"/>
  <c r="AF115" i="10" a="1"/>
  <c r="D108" i="10" a="1"/>
  <c r="P100" i="10" a="1"/>
  <c r="AK99" i="10" a="1"/>
  <c r="W102" i="10" a="1"/>
  <c r="X102" i="10" a="1"/>
  <c r="G105" i="10" a="1"/>
  <c r="AO106" i="10" a="1"/>
  <c r="AR118" i="10" a="1"/>
  <c r="AA107" i="10" a="1"/>
  <c r="I115" i="10" a="1"/>
  <c r="P109" i="10" a="1"/>
  <c r="AH103" i="10" a="1"/>
  <c r="S97" i="10" a="1"/>
  <c r="AP102" i="10" a="1"/>
  <c r="S105" i="10" a="1"/>
  <c r="E105" i="10" a="1"/>
  <c r="AP106" i="10" a="1"/>
  <c r="J118" i="10" a="1"/>
  <c r="V107" i="10" a="1"/>
  <c r="AH109" i="10" a="1"/>
  <c r="AW115" i="10" a="1"/>
  <c r="Y110" i="10" a="1"/>
  <c r="AB100" i="10" a="1"/>
  <c r="N103" i="10" a="1"/>
  <c r="G97" i="10" a="1"/>
  <c r="AC99" i="10" a="1"/>
  <c r="U102" i="10" a="1"/>
  <c r="L105" i="10" a="1"/>
  <c r="AK105" i="10" a="1"/>
  <c r="AR106" i="10" a="1"/>
  <c r="L115" i="10" a="1"/>
  <c r="AF110" i="10" a="1"/>
  <c r="Q110" i="10" a="1"/>
  <c r="AB109" i="10" a="1"/>
  <c r="M109" i="10" a="1"/>
  <c r="AR111" i="10" a="1"/>
  <c r="N110" i="10" a="1"/>
  <c r="J111" i="10" a="1"/>
  <c r="AQ111" i="10" a="1"/>
  <c r="AI112" i="10" a="1"/>
  <c r="G113" i="10" a="1"/>
  <c r="H113" i="10" a="1"/>
  <c r="I112" i="10" a="1"/>
  <c r="AD112" i="10" a="1"/>
  <c r="W113" i="10" a="1"/>
  <c r="AO113" i="10" a="1"/>
  <c r="G114" i="10" a="1"/>
  <c r="X113" i="10" a="1"/>
  <c r="Z116" i="10" a="1"/>
  <c r="G118" i="10" a="1"/>
  <c r="C114" i="10" a="1"/>
  <c r="AR114" i="10" a="1"/>
  <c r="AS116" i="10" a="1"/>
  <c r="L117" i="10" a="1"/>
  <c r="X116" i="10" a="1"/>
  <c r="AC130" i="10" a="1"/>
  <c r="Y117" i="10" a="1"/>
  <c r="D116" i="10" a="1"/>
  <c r="X125" i="10" a="1"/>
  <c r="AL118" i="10" a="1"/>
  <c r="O117" i="10" a="1"/>
  <c r="V117" i="10" a="1"/>
  <c r="AP114" i="10" a="1"/>
  <c r="AG110" i="10" a="1"/>
  <c r="AO110" i="10" a="1"/>
  <c r="J109" i="10" a="1"/>
  <c r="AG111" i="10" a="1"/>
  <c r="L110" i="10" a="1"/>
  <c r="AK111" i="10" a="1"/>
  <c r="D111" i="10" a="1"/>
  <c r="AB112" i="10" a="1"/>
  <c r="W112" i="10" a="1"/>
  <c r="AJ113" i="10" a="1"/>
  <c r="Y112" i="10" a="1"/>
  <c r="AJ112" i="10" a="1"/>
  <c r="AA113" i="10" a="1"/>
  <c r="AU113" i="10" a="1"/>
  <c r="U114" i="10" a="1"/>
  <c r="AP113" i="10" a="1"/>
  <c r="C119" i="10" a="1"/>
  <c r="AO118" i="10" a="1"/>
  <c r="O116" i="10" a="1"/>
  <c r="AF114" i="10" a="1"/>
  <c r="AF116" i="10" a="1"/>
  <c r="AM117" i="10" a="1"/>
  <c r="L116" i="10" a="1"/>
  <c r="K130" i="10" a="1"/>
  <c r="AA117" i="10" a="1"/>
  <c r="Y116" i="10" a="1"/>
  <c r="AD125" i="10" a="1"/>
  <c r="S118" i="10" a="1"/>
  <c r="Z117" i="10" a="1"/>
  <c r="AT117" i="10" a="1"/>
  <c r="R118" i="10" a="1"/>
  <c r="AC118" i="10" a="1"/>
  <c r="AU118" i="10" a="1"/>
  <c r="AO119" i="10" a="1"/>
  <c r="R119" i="10" a="1"/>
  <c r="AH110" i="10" a="1"/>
  <c r="AB110" i="10" a="1"/>
  <c r="AM110" i="10" a="1"/>
  <c r="AW109" i="10" a="1"/>
  <c r="AW111" i="10" a="1"/>
  <c r="X110" i="10" a="1"/>
  <c r="Q111" i="10" a="1"/>
  <c r="AH111" i="10" a="1"/>
  <c r="Q112" i="10" a="1"/>
  <c r="AR112" i="10" a="1"/>
  <c r="AG113" i="10" a="1"/>
  <c r="U113" i="10" a="1"/>
  <c r="C112" i="10" a="1"/>
  <c r="AR113" i="10" a="1"/>
  <c r="R114" i="10" a="1"/>
  <c r="AH114" i="10" a="1"/>
  <c r="Z113" i="10" a="1"/>
  <c r="K119" i="10" a="1"/>
  <c r="AB114" i="10" a="1"/>
  <c r="W116" i="10" a="1"/>
  <c r="N114" i="10" a="1"/>
  <c r="Q116" i="10" a="1"/>
  <c r="AR117" i="10" a="1"/>
  <c r="AB116" i="10" a="1"/>
  <c r="X130" i="10" a="1"/>
  <c r="H117" i="10" a="1"/>
  <c r="AT116" i="10" a="1"/>
  <c r="M117" i="10" a="1"/>
  <c r="K118" i="10" a="1"/>
  <c r="J117" i="10" a="1"/>
  <c r="W117" i="10" a="1"/>
  <c r="AF117" i="10" a="1"/>
  <c r="S119" i="10" a="1"/>
  <c r="S116" i="10" a="1"/>
  <c r="J110" i="10" a="1"/>
  <c r="M110" i="10" a="1"/>
  <c r="AC109" i="10" a="1"/>
  <c r="G109" i="10" a="1"/>
  <c r="AP111" i="10" a="1"/>
  <c r="N111" i="10" a="1"/>
  <c r="AP112" i="10" a="1"/>
  <c r="D112" i="10" a="1"/>
  <c r="AI113" i="10" a="1"/>
  <c r="L112" i="10" a="1"/>
  <c r="O112" i="10" a="1"/>
  <c r="F113" i="10" a="1"/>
  <c r="AM114" i="10" a="1"/>
  <c r="O114" i="10" a="1"/>
  <c r="AN113" i="10" a="1"/>
  <c r="AR119" i="10" a="1"/>
  <c r="L118" i="10" a="1"/>
  <c r="AL114" i="10" a="1"/>
  <c r="AU114" i="10" a="1"/>
  <c r="T116" i="10" a="1"/>
  <c r="AK117" i="10" a="1"/>
  <c r="AP116" i="10" a="1"/>
  <c r="AF130" i="10" a="1"/>
  <c r="AV117" i="10" a="1"/>
  <c r="J116" i="10" a="1"/>
  <c r="AK118" i="10" a="1"/>
  <c r="AB118" i="10" a="1"/>
  <c r="P117" i="10" a="1"/>
  <c r="X117" i="10" a="1"/>
  <c r="AJ118" i="10" a="1"/>
  <c r="Q118" i="10" a="1"/>
  <c r="X119" i="10" a="1"/>
  <c r="O119" i="10" a="1"/>
  <c r="F111" i="10" a="1"/>
  <c r="AJ110" i="10" a="1"/>
  <c r="AS112" i="10" a="1"/>
  <c r="Z110" i="10" a="1"/>
  <c r="F110" i="10" a="1"/>
  <c r="X109" i="10" a="1"/>
  <c r="AA109" i="10" a="1"/>
  <c r="AL113" i="10" a="1"/>
  <c r="C118" i="10" a="1"/>
  <c r="AS114" i="10" a="1"/>
  <c r="M114" i="10" a="1"/>
  <c r="AA114" i="10" a="1"/>
  <c r="AD116" i="10" a="1"/>
  <c r="R116" i="10" a="1"/>
  <c r="AC116" i="10" a="1"/>
  <c r="AJ130" i="10" a="1"/>
  <c r="W110" i="10" a="1"/>
  <c r="AL110" i="10" a="1"/>
  <c r="O109" i="10" a="1"/>
  <c r="AJ109" i="10" a="1"/>
  <c r="Z111" i="10" a="1"/>
  <c r="AT110" i="10" a="1"/>
  <c r="Z112" i="10" a="1"/>
  <c r="V111" i="10" a="1"/>
  <c r="Q113" i="10" a="1"/>
  <c r="F112" i="10" a="1"/>
  <c r="E112" i="10" a="1"/>
  <c r="AO112" i="10" a="1"/>
  <c r="AT112" i="10" a="1"/>
  <c r="I114" i="10" a="1"/>
  <c r="P114" i="10" a="1"/>
  <c r="AN116" i="10" a="1"/>
  <c r="V119" i="10" a="1"/>
  <c r="AK114" i="10" a="1"/>
  <c r="W114" i="10" a="1"/>
  <c r="AS110" i="10" a="1"/>
  <c r="H110" i="10" a="1"/>
  <c r="AD109" i="10" a="1"/>
  <c r="M111" i="10" a="1"/>
  <c r="S111" i="10" a="1"/>
  <c r="I110" i="10" a="1"/>
  <c r="AW112" i="10" a="1"/>
  <c r="U111" i="10" a="1"/>
  <c r="AW113" i="10" a="1"/>
  <c r="H112" i="10" a="1"/>
  <c r="J112" i="10" a="1"/>
  <c r="U112" i="10" a="1"/>
  <c r="C113" i="10" a="1"/>
  <c r="AS125" i="10" a="1"/>
  <c r="Y133" i="10" a="1"/>
  <c r="D120" i="10" a="1"/>
  <c r="T120" i="10" a="1"/>
  <c r="J119" i="10" a="1"/>
  <c r="E120" i="10" a="1"/>
  <c r="AJ123" i="10" a="1"/>
  <c r="H120" i="10" a="1"/>
  <c r="D121" i="10" a="1"/>
  <c r="L121" i="10" a="1"/>
  <c r="AJ122" i="10" a="1"/>
  <c r="AS122" i="10" a="1"/>
  <c r="AH122" i="10" a="1"/>
  <c r="AP110" i="10" a="1"/>
  <c r="AV110" i="10" a="1"/>
  <c r="AK109" i="10" a="1"/>
  <c r="AJ111" i="10" a="1"/>
  <c r="P111" i="10" a="1"/>
  <c r="K111" i="10" a="1"/>
  <c r="AH112" i="10" a="1"/>
  <c r="W111" i="10" a="1"/>
  <c r="AT113" i="10" a="1"/>
  <c r="AL112" i="10" a="1"/>
  <c r="N112" i="10" a="1"/>
  <c r="R112" i="10" a="1"/>
  <c r="T112" i="10" a="1"/>
  <c r="E113" i="10" a="1"/>
  <c r="L114" i="10" a="1"/>
  <c r="AD113" i="10" a="1"/>
  <c r="AG116" i="10" a="1"/>
  <c r="T119" i="10" a="1"/>
  <c r="D114" i="10" a="1"/>
  <c r="V114" i="10" a="1"/>
  <c r="E114" i="10" a="1"/>
  <c r="Q114" i="10" a="1"/>
  <c r="AC117" i="10" a="1"/>
  <c r="V116" i="10" a="1"/>
  <c r="C116" i="10" a="1"/>
  <c r="E117" i="10" a="1"/>
  <c r="AF125" i="10" a="1"/>
  <c r="U118" i="10" a="1"/>
  <c r="AP117" i="10" a="1"/>
  <c r="AI118" i="10" a="1"/>
  <c r="X118" i="10" a="1"/>
  <c r="F119" i="10" a="1"/>
  <c r="Z119" i="10" a="1"/>
  <c r="S120" i="10" a="1"/>
  <c r="G111" i="10" a="1"/>
  <c r="K112" i="10" a="1"/>
  <c r="X112" i="10" a="1"/>
  <c r="M112" i="10" a="1"/>
  <c r="AW110" i="10" a="1"/>
  <c r="AR110" i="10" a="1"/>
  <c r="F109" i="10" a="1"/>
  <c r="AV111" i="10" a="1"/>
  <c r="AD111" i="10" a="1"/>
  <c r="P112" i="10" a="1"/>
  <c r="N113" i="10" a="1"/>
  <c r="AM112" i="10" a="1"/>
  <c r="S113" i="10" a="1"/>
  <c r="AM113" i="10" a="1"/>
  <c r="D110" i="10" a="1"/>
  <c r="AT109" i="10" a="1"/>
  <c r="E111" i="10" a="1"/>
  <c r="AC112" i="10" a="1"/>
  <c r="T113" i="10" a="1"/>
  <c r="AF113" i="10" a="1"/>
  <c r="R113" i="10" a="1"/>
  <c r="AU110" i="10" a="1"/>
  <c r="AO111" i="10" a="1"/>
  <c r="AI111" i="10" a="1"/>
  <c r="AA112" i="10" a="1"/>
  <c r="AF112" i="10" a="1"/>
  <c r="G112" i="10" a="1"/>
  <c r="AC110" i="10" a="1"/>
  <c r="AG112" i="10" a="1"/>
  <c r="AB113" i="10" a="1"/>
  <c r="AV112" i="10" a="1"/>
  <c r="AD118" i="10" a="1"/>
  <c r="AQ114" i="10" a="1"/>
  <c r="AJ117" i="10" a="1"/>
  <c r="AI110" i="10" a="1"/>
  <c r="AQ109" i="10" a="1"/>
  <c r="L111" i="10" a="1"/>
  <c r="T110" i="10" a="1"/>
  <c r="AA111" i="10" a="1"/>
  <c r="AQ112" i="10" a="1"/>
  <c r="AH113" i="10" a="1"/>
  <c r="AU112" i="10" a="1"/>
  <c r="AK113" i="10" a="1"/>
  <c r="L113" i="10" a="1"/>
  <c r="J114" i="10" a="1"/>
  <c r="D113" i="10" a="1"/>
  <c r="G116" i="10" a="1"/>
  <c r="AG114" i="10" a="1"/>
  <c r="U116" i="10" a="1"/>
  <c r="S114" i="10" a="1"/>
  <c r="AU117" i="10" a="1"/>
  <c r="AH118" i="10" a="1"/>
  <c r="H111" i="10" a="1"/>
  <c r="Z114" i="10" a="1"/>
  <c r="F116" i="10" a="1"/>
  <c r="E125" i="10" a="1"/>
  <c r="AN117" i="10" a="1"/>
  <c r="D119" i="10" a="1"/>
  <c r="AN121" i="10" a="1"/>
  <c r="AV120" i="10" a="1"/>
  <c r="AA120" i="10" a="1"/>
  <c r="AK120" i="10" a="1"/>
  <c r="E121" i="10" a="1"/>
  <c r="AN122" i="10" a="1"/>
  <c r="AD122" i="10" a="1"/>
  <c r="AS123" i="10" a="1"/>
  <c r="U123" i="10" a="1"/>
  <c r="AB124" i="10" a="1"/>
  <c r="Z124" i="10" a="1"/>
  <c r="AT124" i="10" a="1"/>
  <c r="AO125" i="10" a="1"/>
  <c r="AR128" i="10" a="1"/>
  <c r="I128" i="10" a="1"/>
  <c r="AW120" i="10" a="1"/>
  <c r="T125" i="10" a="1"/>
  <c r="AC124" i="10" a="1"/>
  <c r="AF127" i="10" a="1"/>
  <c r="AA128" i="10" a="1"/>
  <c r="AI121" i="10" a="1"/>
  <c r="I120" i="10" a="1"/>
  <c r="S125" i="10" a="1"/>
  <c r="F121" i="10" a="1"/>
  <c r="AM122" i="10" a="1"/>
  <c r="AU126" i="10" a="1"/>
  <c r="J123" i="10" a="1"/>
  <c r="V126" i="10" a="1"/>
  <c r="AV127" i="10" a="1"/>
  <c r="AM126" i="10" a="1"/>
  <c r="Y128" i="10" a="1"/>
  <c r="AN112" i="10" a="1"/>
  <c r="AJ114" i="10" a="1"/>
  <c r="AL116" i="10" a="1"/>
  <c r="F125" i="10" a="1"/>
  <c r="AF118" i="10" a="1"/>
  <c r="G119" i="10" a="1"/>
  <c r="Y121" i="10" a="1"/>
  <c r="J126" i="10" a="1"/>
  <c r="AB126" i="10" a="1"/>
  <c r="F122" i="10" a="1"/>
  <c r="W124" i="10" a="1"/>
  <c r="AN124" i="10" a="1"/>
  <c r="U124" i="10" a="1"/>
  <c r="AD127" i="10" a="1"/>
  <c r="AO124" i="10" a="1"/>
  <c r="J127" i="10" a="1"/>
  <c r="K128" i="10" a="1"/>
  <c r="V112" i="10" a="1"/>
  <c r="K116" i="10" a="1"/>
  <c r="Z118" i="10" a="1"/>
  <c r="AH117" i="10" a="1"/>
  <c r="Y119" i="10" a="1"/>
  <c r="O120" i="10" a="1"/>
  <c r="AP125" i="10" a="1"/>
  <c r="Z128" i="10" a="1"/>
  <c r="I125" i="10" a="1"/>
  <c r="AB128" i="10" a="1"/>
  <c r="Y125" i="10" a="1"/>
  <c r="Y127" i="10" a="1"/>
  <c r="AM127" i="10" a="1"/>
  <c r="AQ113" i="10" a="1"/>
  <c r="H114" i="10" a="1"/>
  <c r="AR116" i="10" a="1"/>
  <c r="D118" i="10" a="1"/>
  <c r="T118" i="10" a="1"/>
  <c r="N119" i="10" a="1"/>
  <c r="N121" i="10" a="1"/>
  <c r="C120" i="10" a="1"/>
  <c r="AF121" i="10" a="1"/>
  <c r="AV125" i="10" a="1"/>
  <c r="AA121" i="10" a="1"/>
  <c r="AK122" i="10" a="1"/>
  <c r="S122" i="10" a="1"/>
  <c r="F126" i="10" a="1"/>
  <c r="N123" i="10" a="1"/>
  <c r="F124" i="10" a="1"/>
  <c r="L128" i="10" a="1"/>
  <c r="F127" i="10" a="1"/>
  <c r="AI125" i="10" a="1"/>
  <c r="AW127" i="10" a="1"/>
  <c r="P125" i="10" a="1"/>
  <c r="AK112" i="10" a="1"/>
  <c r="AI114" i="10" a="1"/>
  <c r="AI116" i="10" a="1"/>
  <c r="P118" i="10" a="1"/>
  <c r="H118" i="10" a="1"/>
  <c r="H119" i="10" a="1"/>
  <c r="X120" i="10" a="1"/>
  <c r="AC120" i="10" a="1"/>
  <c r="H121" i="10" a="1"/>
  <c r="AG125" i="10" a="1"/>
  <c r="AG121" i="10" a="1"/>
  <c r="AF122" i="10" a="1"/>
  <c r="AO122" i="10" a="1"/>
  <c r="AI126" i="10" a="1"/>
  <c r="AK123" i="10" a="1"/>
  <c r="H124" i="10" a="1"/>
  <c r="J124" i="10" a="1"/>
  <c r="Q125" i="10" a="1"/>
  <c r="AH128" i="10" a="1"/>
  <c r="E126" i="10" a="1"/>
  <c r="AQ126" i="10" a="1"/>
  <c r="I126" i="10" a="1"/>
  <c r="AJ128" i="10" a="1"/>
  <c r="U127" i="10" a="1"/>
  <c r="R127" i="10" a="1"/>
  <c r="AS119" i="10" a="1"/>
  <c r="AQ120" i="10" a="1"/>
  <c r="AM128" i="10" a="1"/>
  <c r="T123" i="10" a="1"/>
  <c r="S112" i="10" a="1"/>
  <c r="X114" i="10" a="1"/>
  <c r="AJ116" i="10" a="1"/>
  <c r="AV118" i="10" a="1"/>
  <c r="C117" i="10" a="1"/>
  <c r="AT120" i="10" a="1"/>
  <c r="Z121" i="10" a="1"/>
  <c r="Z125" i="10" a="1"/>
  <c r="G121" i="10" a="1"/>
  <c r="O122" i="10" a="1"/>
  <c r="Z122" i="10" a="1"/>
  <c r="O126" i="10" a="1"/>
  <c r="O124" i="10" a="1"/>
  <c r="I127" i="10" a="1"/>
  <c r="AM121" i="10" a="1"/>
  <c r="U137" i="10" a="1"/>
  <c r="Y113" i="10" a="1"/>
  <c r="AU116" i="10" a="1"/>
  <c r="AK130" i="10" a="1"/>
  <c r="AN118" i="10" a="1"/>
  <c r="AS118" i="10" a="1"/>
  <c r="AU119" i="10" a="1"/>
  <c r="AO120" i="10" a="1"/>
  <c r="AV114" i="10" a="1"/>
  <c r="M116" i="10" a="1"/>
  <c r="T130" i="10" a="1"/>
  <c r="N118" i="10" a="1"/>
  <c r="AG118" i="10" a="1"/>
  <c r="P119" i="10" a="1"/>
  <c r="AF120" i="10" a="1"/>
  <c r="P120" i="10" a="1"/>
  <c r="AP121" i="10" a="1"/>
  <c r="AR125" i="10" a="1"/>
  <c r="AJ121" i="10" a="1"/>
  <c r="H122" i="10" a="1"/>
  <c r="P122" i="10" a="1"/>
  <c r="AO126" i="10" a="1"/>
  <c r="X123" i="10" a="1"/>
  <c r="O137" i="10" a="1"/>
  <c r="AQ124" i="10" a="1"/>
  <c r="AK125" i="10" a="1"/>
  <c r="T128" i="10" a="1"/>
  <c r="D126" i="10" a="1"/>
  <c r="AN125" i="10" a="1"/>
  <c r="AF126" i="10" a="1"/>
  <c r="P128" i="10" a="1"/>
  <c r="M127" i="10" a="1"/>
  <c r="V127" i="10" a="1"/>
  <c r="M120" i="10" a="1"/>
  <c r="AM120" i="10" a="1"/>
  <c r="AS121" i="10" a="1"/>
  <c r="AW125" i="10" a="1"/>
  <c r="R121" i="10" a="1"/>
  <c r="AI122" i="10" a="1"/>
  <c r="AT122" i="10" a="1"/>
  <c r="E123" i="10" a="1"/>
  <c r="AO123" i="10" a="1"/>
  <c r="AS137" i="10" a="1"/>
  <c r="AJ124" i="10" a="1"/>
  <c r="AL124" i="10" a="1"/>
  <c r="AG128" i="10" a="1"/>
  <c r="S126" i="10" a="1"/>
  <c r="AJ125" i="10" a="1"/>
  <c r="AH127" i="10" a="1"/>
  <c r="T127" i="10" a="1"/>
  <c r="S128" i="10" a="1"/>
  <c r="S127" i="10" a="1"/>
  <c r="AJ126" i="10" a="1"/>
  <c r="U125" i="10" a="1"/>
  <c r="U128" i="10" a="1"/>
  <c r="N127" i="10" a="1"/>
  <c r="P127" i="10" a="1"/>
  <c r="AC114" i="10" a="1"/>
  <c r="T114" i="10" a="1"/>
  <c r="AQ117" i="10" a="1"/>
  <c r="F118" i="10" a="1"/>
  <c r="AT118" i="10" a="1"/>
  <c r="AB119" i="10" a="1"/>
  <c r="AR124" i="10" a="1"/>
  <c r="D124" i="10" a="1"/>
  <c r="N128" i="10" a="1"/>
  <c r="C127" i="10" a="1"/>
  <c r="AS128" i="10" a="1"/>
  <c r="P124" i="10" a="1"/>
  <c r="R125" i="10" a="1"/>
  <c r="AL127" i="10" a="1"/>
  <c r="AP122" i="10" a="1"/>
  <c r="Y126" i="10" a="1"/>
  <c r="AC128" i="10" a="1"/>
  <c r="N124" i="10" a="1"/>
  <c r="AO114" i="10" a="1"/>
  <c r="F114" i="10" a="1"/>
  <c r="S117" i="10" a="1"/>
  <c r="O118" i="10" a="1"/>
  <c r="AH119" i="10" a="1"/>
  <c r="AS120" i="10" a="1"/>
  <c r="AR120" i="10" a="1"/>
  <c r="O121" i="10" a="1"/>
  <c r="S121" i="10" a="1"/>
  <c r="AL121" i="10" a="1"/>
  <c r="X122" i="10" a="1"/>
  <c r="I122" i="10" a="1"/>
  <c r="AC123" i="10" a="1"/>
  <c r="Z123" i="10" a="1"/>
  <c r="AV137" i="10" a="1"/>
  <c r="Y114" i="10" a="1"/>
  <c r="AD114" i="10" a="1"/>
  <c r="AW117" i="10" a="1"/>
  <c r="M118" i="10" a="1"/>
  <c r="W118" i="10" a="1"/>
  <c r="W119" i="10" a="1"/>
  <c r="Q121" i="10" a="1"/>
  <c r="AN119" i="10" a="1"/>
  <c r="I123" i="10" a="1"/>
  <c r="X121" i="10" a="1"/>
  <c r="AT121" i="10" a="1"/>
  <c r="E122" i="10" a="1"/>
  <c r="AG122" i="10" a="1"/>
  <c r="AV126" i="10" a="1"/>
  <c r="F123" i="10" a="1"/>
  <c r="AB137" i="10" a="1"/>
  <c r="Y124" i="10" a="1"/>
  <c r="AH124" i="10" a="1"/>
  <c r="AH125" i="10" a="1"/>
  <c r="T126" i="10" a="1"/>
  <c r="AB125" i="10" a="1"/>
  <c r="AO127" i="10" a="1"/>
  <c r="X127" i="10" a="1"/>
  <c r="G128" i="10" a="1"/>
  <c r="K127" i="10" a="1"/>
  <c r="G127" i="10" a="1"/>
  <c r="K122" i="10" a="1"/>
  <c r="AW123" i="10" a="1"/>
  <c r="AA125" i="10" a="1"/>
  <c r="J122" i="10" a="1"/>
  <c r="AQ123" i="10" a="1"/>
  <c r="J113" i="10" a="1"/>
  <c r="AN114" i="10" a="1"/>
  <c r="AG117" i="10" a="1"/>
  <c r="AA118" i="10" a="1"/>
  <c r="AQ118" i="10" a="1"/>
  <c r="AG119" i="10" a="1"/>
  <c r="AU120" i="10" a="1"/>
  <c r="AD119" i="10" a="1"/>
  <c r="AG123" i="10" a="1"/>
  <c r="AR121" i="10" a="1"/>
  <c r="AV121" i="10" a="1"/>
  <c r="V122" i="10" a="1"/>
  <c r="AR122" i="10" a="1"/>
  <c r="AN123" i="10" a="1"/>
  <c r="C123" i="10" a="1"/>
  <c r="AT137" i="10" a="1"/>
  <c r="AP124" i="10" a="1"/>
  <c r="V124" i="10" a="1"/>
  <c r="AQ125" i="10" a="1"/>
  <c r="AD126" i="10" a="1"/>
  <c r="AC125" i="10" a="1"/>
  <c r="AP127" i="10" a="1"/>
  <c r="AU127" i="10" a="1"/>
  <c r="U119" i="10" a="1"/>
  <c r="AA119" i="10" a="1"/>
  <c r="Z120" i="10" a="1"/>
  <c r="L119" i="10" a="1"/>
  <c r="AH123" i="10" a="1"/>
  <c r="T121" i="10" a="1"/>
  <c r="AB121" i="10" a="1"/>
  <c r="AL122" i="10" a="1"/>
  <c r="AB122" i="10" a="1"/>
  <c r="AC126" i="10" a="1"/>
  <c r="P123" i="10" a="1"/>
  <c r="AA137" i="10" a="1"/>
  <c r="AA124" i="10" a="1"/>
  <c r="C124" i="10" a="1"/>
  <c r="C125" i="10" a="1"/>
  <c r="AR127" i="10" a="1"/>
  <c r="W125" i="10" a="1"/>
  <c r="AB127" i="10" a="1"/>
  <c r="AN128" i="10" a="1"/>
  <c r="AM123" i="10" a="1"/>
  <c r="AF124" i="10" a="1"/>
  <c r="R124" i="10" a="1"/>
  <c r="P113" i="10" a="1"/>
  <c r="AT114" i="10" a="1"/>
  <c r="AD117" i="10" a="1"/>
  <c r="AL117" i="10" a="1"/>
  <c r="AA127" i="10" a="1"/>
  <c r="AU125" i="10" a="1"/>
  <c r="AH126" i="10" a="1"/>
  <c r="AM116" i="10" a="1"/>
  <c r="AW114" i="10" a="1"/>
  <c r="F117" i="10" a="1"/>
  <c r="N117" i="10" a="1"/>
  <c r="AM119" i="10" a="1"/>
  <c r="I133" i="10" a="1"/>
  <c r="F120" i="10" a="1"/>
  <c r="AJ119" i="10" a="1"/>
  <c r="K123" i="10" a="1"/>
  <c r="AU121" i="10" a="1"/>
  <c r="P121" i="10" a="1"/>
  <c r="AC122" i="10" a="1"/>
  <c r="T122" i="10" a="1"/>
  <c r="AT123" i="10" a="1"/>
  <c r="AU123" i="10" a="1"/>
  <c r="AJ137" i="10" a="1"/>
  <c r="AI124" i="10" a="1"/>
  <c r="AV124" i="10" a="1"/>
  <c r="AL125" i="10" a="1"/>
  <c r="G125" i="10" a="1"/>
  <c r="AG127" i="10" a="1"/>
  <c r="D127" i="10" a="1"/>
  <c r="F128" i="10" a="1"/>
  <c r="AN120" i="10" a="1"/>
  <c r="AP119" i="10" a="1"/>
  <c r="V123" i="10" a="1"/>
  <c r="V121" i="10" a="1"/>
  <c r="I121" i="10" a="1"/>
  <c r="AQ122" i="10" a="1"/>
  <c r="G122" i="10" a="1"/>
  <c r="L123" i="10" a="1"/>
  <c r="W127" i="10" a="1"/>
  <c r="O127" i="10" a="1"/>
  <c r="AT128" i="10" a="1"/>
  <c r="Z127" i="10" a="1"/>
  <c r="AP123" i="10" a="1"/>
  <c r="J125" i="10" a="1"/>
  <c r="AV122" i="10" a="1"/>
  <c r="L127" i="10" a="1"/>
  <c r="C128" i="10" a="1"/>
  <c r="P116" i="10" a="1"/>
  <c r="K114" i="10" a="1"/>
  <c r="R117" i="10" a="1"/>
  <c r="AO117" i="10" a="1"/>
  <c r="Q119" i="10" a="1"/>
  <c r="U133" i="10" a="1"/>
  <c r="U121" i="10" a="1"/>
  <c r="T124" i="10" a="1"/>
  <c r="AI128" i="10" a="1"/>
  <c r="AJ127" i="10" a="1"/>
  <c r="AU128" i="10" a="1"/>
  <c r="AV123" i="10" a="1"/>
  <c r="AL126" i="10" a="1"/>
  <c r="AO116" i="10" a="1"/>
  <c r="AA116" i="10" a="1"/>
  <c r="U117" i="10" a="1"/>
  <c r="T117" i="10" a="1"/>
  <c r="AI119" i="10" a="1"/>
  <c r="K133" i="10" a="1"/>
  <c r="AP120" i="10" a="1"/>
  <c r="AT119" i="10" a="1"/>
  <c r="O123" i="10" a="1"/>
  <c r="W121" i="10" a="1"/>
  <c r="AQ121" i="10" a="1"/>
  <c r="L122" i="10" a="1"/>
  <c r="N122" i="10" a="1"/>
  <c r="AB123" i="10" a="1"/>
  <c r="AL123" i="10" a="1"/>
  <c r="X124" i="10" a="1"/>
  <c r="AK124" i="10" a="1"/>
  <c r="S124" i="10" a="1"/>
  <c r="N116" i="10" a="1"/>
  <c r="AV116" i="10" a="1"/>
  <c r="I116" i="10" a="1"/>
  <c r="Q117" i="10" a="1"/>
  <c r="M119" i="10" a="1"/>
  <c r="AS133" i="10" a="1"/>
  <c r="AJ120" i="10" a="1"/>
  <c r="I119" i="10" a="1"/>
  <c r="U120" i="10" a="1"/>
  <c r="AC119" i="10" a="1"/>
  <c r="I117" i="10" a="1"/>
  <c r="AQ116" i="10" a="1"/>
  <c r="AI117" i="10" a="1"/>
  <c r="AV119" i="10" a="1"/>
  <c r="AT133" i="10" a="1"/>
  <c r="AB120" i="10" a="1"/>
  <c r="L120" i="10" a="1"/>
  <c r="N120" i="10" a="1"/>
  <c r="AO121" i="10" a="1"/>
  <c r="Q122" i="10" a="1"/>
  <c r="C122" i="10" a="1"/>
  <c r="G123" i="10" a="1"/>
  <c r="R123" i="10" a="1"/>
  <c r="E119" i="10" a="1"/>
  <c r="K117" i="10" a="1"/>
  <c r="AW116" i="10" a="1"/>
  <c r="AB117" i="10" a="1"/>
  <c r="AQ119" i="10" a="1"/>
  <c r="M133" i="10" a="1"/>
  <c r="V120" i="10" a="1"/>
  <c r="R120" i="10" a="1"/>
  <c r="J120" i="10" a="1"/>
  <c r="J121" i="10" a="1"/>
  <c r="AL119" i="10" a="1"/>
  <c r="AK116" i="10" a="1"/>
  <c r="E116" i="10" a="1"/>
  <c r="AS117" i="10" a="1"/>
  <c r="AW119" i="10" a="1"/>
  <c r="AH121" i="10" a="1"/>
  <c r="K120" i="10" a="1"/>
  <c r="W120" i="10" a="1"/>
  <c r="AD120" i="10" a="1"/>
  <c r="AC121" i="10" a="1"/>
  <c r="U122" i="10" a="1"/>
  <c r="M122" i="10" a="1"/>
  <c r="AI123" i="10" a="1"/>
  <c r="D123" i="10" a="1"/>
  <c r="W123" i="10" a="1"/>
  <c r="K124" i="10" a="1"/>
  <c r="AD124" i="10" a="1"/>
  <c r="N126" i="10" a="1"/>
  <c r="AN127" i="10" a="1"/>
  <c r="H127" i="10" a="1"/>
  <c r="AS126" i="10" a="1"/>
  <c r="AK128" i="10" a="1"/>
  <c r="V128" i="10" a="1"/>
  <c r="AU122" i="10" a="1"/>
  <c r="Y123" i="10" a="1"/>
  <c r="G126" i="10" a="1"/>
  <c r="O128" i="10" a="1"/>
  <c r="G124" i="10" a="1"/>
  <c r="J128" i="10" a="1"/>
  <c r="V125" i="10" a="1"/>
  <c r="AG126" i="10" a="1"/>
  <c r="AO128" i="10" a="1"/>
  <c r="AI120" i="10" a="1"/>
  <c r="O125" i="10" a="1"/>
  <c r="AF128" i="10" a="1"/>
  <c r="AR126" i="10" a="1"/>
  <c r="X126" i="10" a="1"/>
  <c r="AD123" i="10" a="1"/>
  <c r="N125" i="10" a="1"/>
  <c r="AS127" i="10" a="1"/>
  <c r="I118" i="10" a="1"/>
  <c r="H116" i="10" a="1"/>
  <c r="K125" i="10" a="1"/>
  <c r="G117" i="10" a="1"/>
  <c r="AF119" i="10" a="1"/>
  <c r="M121" i="10" a="1"/>
  <c r="AH120" i="10" a="1"/>
  <c r="AL120" i="10" a="1"/>
  <c r="G120" i="10" a="1"/>
  <c r="AK121" i="10" a="1"/>
  <c r="W122" i="10" a="1"/>
  <c r="R122" i="10" a="1"/>
  <c r="Q123" i="10" a="1"/>
  <c r="AA123" i="10" a="1"/>
  <c r="AW124" i="10" a="1"/>
  <c r="M124" i="10" a="1"/>
  <c r="Q124" i="10" a="1"/>
  <c r="M125" i="10" a="1"/>
  <c r="P126" i="10" a="1"/>
  <c r="AK127" i="10" a="1"/>
  <c r="AW126" i="10" a="1"/>
  <c r="H128" i="10" a="1"/>
  <c r="W128" i="10" a="1"/>
  <c r="Q120" i="10" a="1"/>
  <c r="AW121" i="10" a="1"/>
  <c r="H123" i="10" a="1"/>
  <c r="E124" i="10" a="1"/>
  <c r="AT125" i="10" a="1"/>
  <c r="U126" i="10" a="1"/>
  <c r="C126" i="10" a="1"/>
  <c r="X128" i="10" a="1"/>
  <c r="AK126" i="10" a="1"/>
  <c r="Q127" i="10" a="1"/>
  <c r="AC127" i="10" a="1"/>
  <c r="K121" i="10" a="1"/>
  <c r="Y122" i="10" a="1"/>
  <c r="M123" i="10" a="1"/>
  <c r="AL128" i="10" a="1"/>
  <c r="L124" i="10" a="1"/>
  <c r="H126" i="10" a="1"/>
  <c r="AF123" i="10" a="1"/>
  <c r="Y118" i="10" a="1"/>
  <c r="AH116" i="10" a="1"/>
  <c r="L125" i="10" a="1"/>
  <c r="D117" i="10" a="1"/>
  <c r="AK119" i="10" a="1"/>
  <c r="C121" i="10" a="1"/>
  <c r="AG120" i="10" a="1"/>
  <c r="Y120" i="10" a="1"/>
  <c r="AD121" i="10" a="1"/>
  <c r="AW122" i="10" a="1"/>
  <c r="D122" i="10" a="1"/>
  <c r="S123" i="10" a="1"/>
  <c r="AR123" i="10" a="1"/>
  <c r="I124" i="10" a="1"/>
  <c r="AS124" i="10" a="1"/>
  <c r="AU124" i="10" a="1"/>
  <c r="AM125" i="10" a="1"/>
  <c r="L126" i="10" a="1"/>
  <c r="M126" i="10" a="1"/>
  <c r="AI127" i="10" a="1"/>
  <c r="K126" i="10" a="1"/>
  <c r="AP128" i="10" a="1"/>
  <c r="AW128" i="10" a="1"/>
  <c r="AA126" i="10" a="1"/>
  <c r="AP126" i="10" a="1"/>
  <c r="AN126" i="10" a="1"/>
  <c r="E127" i="10" a="1"/>
  <c r="AA122" i="10" a="1"/>
  <c r="H125" i="10" a="1"/>
  <c r="Q126" i="10" a="1"/>
  <c r="AQ127" i="10" a="1"/>
  <c r="AM124" i="10" a="1"/>
  <c r="W126" i="10" a="1"/>
  <c r="Z126" i="10" a="1"/>
  <c r="AT127" i="10" a="1"/>
  <c r="AG124" i="10" a="1"/>
  <c r="R126" i="10" a="1"/>
  <c r="D125" i="10" a="1"/>
  <c r="AT126" i="10" a="1"/>
  <c r="L129" i="10" a="1"/>
  <c r="P130" i="10" a="1"/>
  <c r="S129" i="10" a="1"/>
  <c r="AB129" i="10" a="1"/>
  <c r="AQ128" i="10" a="1"/>
  <c r="J131" i="10" a="1"/>
  <c r="V131" i="10" a="1"/>
  <c r="AD130" i="10" a="1"/>
  <c r="AG131" i="10" a="1"/>
  <c r="J129" i="10" a="1"/>
  <c r="L132" i="10" a="1"/>
  <c r="AM130" i="10" a="1"/>
  <c r="W131" i="10" a="1"/>
  <c r="AC137" i="10" a="1"/>
  <c r="AO132" i="10" a="1"/>
  <c r="Q134" i="10" a="1"/>
  <c r="AN132" i="10" a="1"/>
  <c r="T133" i="10" a="1"/>
  <c r="AI133" i="10" a="1"/>
  <c r="W134" i="10" a="1"/>
  <c r="AG136" i="10" a="1"/>
  <c r="AI135" i="10" a="1"/>
  <c r="AG134" i="10" a="1"/>
  <c r="D134" i="10" a="1"/>
  <c r="J135" i="10" a="1"/>
  <c r="AL134" i="10" a="1"/>
  <c r="AS129" i="10" a="1"/>
  <c r="O132" i="10" a="1"/>
  <c r="AM133" i="10" a="1"/>
  <c r="AT135" i="10" a="1"/>
  <c r="AP134" i="10" a="1"/>
  <c r="AM134" i="10" a="1"/>
  <c r="AD135" i="10" a="1"/>
  <c r="AN139" i="10" a="1"/>
  <c r="AC136" i="10" a="1"/>
  <c r="G136" i="10" a="1"/>
  <c r="I143" i="10" a="1"/>
  <c r="W138" i="10" a="1"/>
  <c r="AP138" i="10" a="1"/>
  <c r="V139" i="10" a="1"/>
  <c r="P139" i="10" a="1"/>
  <c r="P138" i="10" a="1"/>
  <c r="T129" i="10" a="1"/>
  <c r="Y130" i="10" a="1"/>
  <c r="AQ129" i="10" a="1"/>
  <c r="K129" i="10" a="1"/>
  <c r="M128" i="10" a="1"/>
  <c r="Z131" i="10" a="1"/>
  <c r="AK131" i="10" a="1"/>
  <c r="AR132" i="10" a="1"/>
  <c r="F131" i="10" a="1"/>
  <c r="AI132" i="10" a="1"/>
  <c r="M130" i="10" a="1"/>
  <c r="G131" i="10" a="1"/>
  <c r="AB131" i="10" a="1"/>
  <c r="J132" i="10" a="1"/>
  <c r="AI131" i="10" a="1"/>
  <c r="C132" i="10" a="1"/>
  <c r="X132" i="10" a="1"/>
  <c r="AD133" i="10" a="1"/>
  <c r="L133" i="10" a="1"/>
  <c r="AO134" i="10" a="1"/>
  <c r="N136" i="10" a="1"/>
  <c r="V135" i="10" a="1"/>
  <c r="AT134" i="10" a="1"/>
  <c r="Z135" i="10" a="1"/>
  <c r="V137" i="10" a="1"/>
  <c r="AW136" i="10" a="1"/>
  <c r="T137" i="10" a="1"/>
  <c r="Y138" i="10" a="1"/>
  <c r="AU140" i="10" a="1"/>
  <c r="AN141" i="10" a="1"/>
  <c r="E140" i="10" a="1"/>
  <c r="W132" i="10" a="1"/>
  <c r="AH135" i="10" a="1"/>
  <c r="G135" i="10" a="1"/>
  <c r="K135" i="10" a="1"/>
  <c r="AR136" i="10" a="1"/>
  <c r="AI136" i="10" a="1"/>
  <c r="AW129" i="10" a="1"/>
  <c r="AH130" i="10" a="1"/>
  <c r="AA129" i="10" a="1"/>
  <c r="AI129" i="10" a="1"/>
  <c r="S130" i="10" a="1"/>
  <c r="T131" i="10" a="1"/>
  <c r="AA131" i="10" a="1"/>
  <c r="AA132" i="10" a="1"/>
  <c r="AO131" i="10" a="1"/>
  <c r="E129" i="10" a="1"/>
  <c r="AQ132" i="10" a="1"/>
  <c r="I130" i="10" a="1"/>
  <c r="L131" i="10" a="1"/>
  <c r="S131" i="10" a="1"/>
  <c r="AU132" i="10" a="1"/>
  <c r="N131" i="10" a="1"/>
  <c r="AD132" i="10" a="1"/>
  <c r="M132" i="10" a="1"/>
  <c r="AQ133" i="10" a="1"/>
  <c r="Q133" i="10" a="1"/>
  <c r="T134" i="10" a="1"/>
  <c r="H133" i="10" a="1"/>
  <c r="AN133" i="10" a="1"/>
  <c r="Z134" i="10" a="1"/>
  <c r="M134" i="10" a="1"/>
  <c r="AO136" i="10" a="1"/>
  <c r="AS134" i="10" a="1"/>
  <c r="W135" i="10" a="1"/>
  <c r="S137" i="10" a="1"/>
  <c r="I136" i="10" a="1"/>
  <c r="AK137" i="10" a="1"/>
  <c r="X143" i="10" a="1"/>
  <c r="AT138" i="10" a="1"/>
  <c r="AW138" i="10" a="1"/>
  <c r="E138" i="10" a="1"/>
  <c r="AH137" i="10" a="1"/>
  <c r="X138" i="10" a="1"/>
  <c r="AL130" i="10" a="1"/>
  <c r="Q130" i="10" a="1"/>
  <c r="AH129" i="10" a="1"/>
  <c r="AK129" i="10" a="1"/>
  <c r="AD129" i="10" a="1"/>
  <c r="U135" i="10" a="1"/>
  <c r="X135" i="10" a="1"/>
  <c r="AN137" i="10" a="1"/>
  <c r="AU135" i="10" a="1"/>
  <c r="W129" i="10" a="1"/>
  <c r="D129" i="10" a="1"/>
  <c r="AO129" i="10" a="1"/>
  <c r="AN129" i="10" a="1"/>
  <c r="AQ130" i="10" a="1"/>
  <c r="AG130" i="10" a="1"/>
  <c r="AL132" i="10" a="1"/>
  <c r="D131" i="10" a="1"/>
  <c r="Z129" i="10" a="1"/>
  <c r="AG132" i="10" a="1"/>
  <c r="V130" i="10" a="1"/>
  <c r="AQ131" i="10" a="1"/>
  <c r="U131" i="10" a="1"/>
  <c r="AW137" i="10" a="1"/>
  <c r="R131" i="10" a="1"/>
  <c r="Q132" i="10" a="1"/>
  <c r="V132" i="10" a="1"/>
  <c r="AC132" i="10" a="1"/>
  <c r="AU133" i="10" a="1"/>
  <c r="J133" i="10" a="1"/>
  <c r="Y134" i="10" a="1"/>
  <c r="C133" i="10" a="1"/>
  <c r="AB133" i="10" a="1"/>
  <c r="L134" i="10" a="1"/>
  <c r="AW134" i="10" a="1"/>
  <c r="AD134" i="10" a="1"/>
  <c r="O136" i="10" a="1"/>
  <c r="AI134" i="10" a="1"/>
  <c r="N134" i="10" a="1"/>
  <c r="AJ136" i="10" a="1"/>
  <c r="AR135" i="10" a="1"/>
  <c r="AL135" i="10" a="1"/>
  <c r="AO139" i="10" a="1"/>
  <c r="AN136" i="10" a="1"/>
  <c r="Y136" i="10" a="1"/>
  <c r="H137" i="10" a="1"/>
  <c r="F136" i="10" a="1"/>
  <c r="W137" i="10" a="1"/>
  <c r="AH138" i="10" a="1"/>
  <c r="O138" i="10" a="1"/>
  <c r="AJ138" i="10" a="1"/>
  <c r="T138" i="10" a="1"/>
  <c r="AR129" i="10" a="1"/>
  <c r="Y129" i="10" a="1"/>
  <c r="R129" i="10" a="1"/>
  <c r="R128" i="10" a="1"/>
  <c r="AP130" i="10" a="1"/>
  <c r="AN131" i="10" a="1"/>
  <c r="H130" i="10" a="1"/>
  <c r="Z132" i="10" a="1"/>
  <c r="I129" i="10" a="1"/>
  <c r="AV129" i="10" a="1"/>
  <c r="H132" i="10" a="1"/>
  <c r="N130" i="10" a="1"/>
  <c r="AS131" i="10" a="1"/>
  <c r="AR131" i="10" a="1"/>
  <c r="P137" i="10" a="1"/>
  <c r="H131" i="10" a="1"/>
  <c r="U134" i="10" a="1"/>
  <c r="F132" i="10" a="1"/>
  <c r="E132" i="10" a="1"/>
  <c r="W133" i="10" a="1"/>
  <c r="D133" i="10" a="1"/>
  <c r="AP136" i="10" a="1"/>
  <c r="AR133" i="10" a="1"/>
  <c r="AK133" i="10" a="1"/>
  <c r="AB134" i="10" a="1"/>
  <c r="AA134" i="10" a="1"/>
  <c r="AO135" i="10" a="1"/>
  <c r="AV135" i="10" a="1"/>
  <c r="V140" i="10" a="1"/>
  <c r="AK134" i="10" a="1"/>
  <c r="AA133" i="10" a="1"/>
  <c r="F133" i="10" a="1"/>
  <c r="N133" i="10" a="1"/>
  <c r="V136" i="10" a="1"/>
  <c r="AV133" i="10" a="1"/>
  <c r="P133" i="10" a="1"/>
  <c r="I134" i="10" a="1"/>
  <c r="O135" i="10" a="1"/>
  <c r="W136" i="10" a="1"/>
  <c r="E134" i="10" a="1"/>
  <c r="AN135" i="10" a="1"/>
  <c r="R135" i="10" a="1"/>
  <c r="Q139" i="10" a="1"/>
  <c r="AP135" i="10" a="1"/>
  <c r="H136" i="10" a="1"/>
  <c r="AU136" i="10" a="1"/>
  <c r="K137" i="10" a="1"/>
  <c r="AD137" i="10" a="1"/>
  <c r="C129" i="10" a="1"/>
  <c r="X129" i="10" a="1"/>
  <c r="AV128" i="10" a="1"/>
  <c r="D130" i="10" a="1"/>
  <c r="AJ131" i="10" a="1"/>
  <c r="Z130" i="10" a="1"/>
  <c r="AP132" i="10" a="1"/>
  <c r="AL129" i="10" a="1"/>
  <c r="G129" i="10" a="1"/>
  <c r="U132" i="10" a="1"/>
  <c r="L130" i="10" a="1"/>
  <c r="AV131" i="10" a="1"/>
  <c r="AJ132" i="10" a="1"/>
  <c r="AU137" i="10" a="1"/>
  <c r="Q131" i="10" a="1"/>
  <c r="D132" i="10" a="1"/>
  <c r="AU129" i="10" a="1"/>
  <c r="P129" i="10" a="1"/>
  <c r="AU130" i="10" a="1"/>
  <c r="AF129" i="10" a="1"/>
  <c r="AM129" i="10" a="1"/>
  <c r="Q128" i="10" a="1"/>
  <c r="AW130" i="10" a="1"/>
  <c r="C131" i="10" a="1"/>
  <c r="AN130" i="10" a="1"/>
  <c r="AH131" i="10" a="1"/>
  <c r="U129" i="10" a="1"/>
  <c r="AC129" i="10" a="1"/>
  <c r="AV130" i="10" a="1"/>
  <c r="AA130" i="10" a="1"/>
  <c r="P131" i="10" a="1"/>
  <c r="AT132" i="10" a="1"/>
  <c r="AM131" i="10" a="1"/>
  <c r="S132" i="10" a="1"/>
  <c r="AH134" i="10" a="1"/>
  <c r="R132" i="10" a="1"/>
  <c r="C130" i="10" a="1"/>
  <c r="AI130" i="10" a="1"/>
  <c r="AN134" i="10" a="1"/>
  <c r="AW133" i="10" a="1"/>
  <c r="AF134" i="10" a="1"/>
  <c r="AJ135" i="10" a="1"/>
  <c r="AM137" i="10" a="1"/>
  <c r="E137" i="10" a="1"/>
  <c r="I140" i="10" a="1"/>
  <c r="AR138" i="10" a="1"/>
  <c r="G139" i="10" a="1"/>
  <c r="AF141" i="10" a="1"/>
  <c r="AW140" i="10" a="1"/>
  <c r="AL140" i="10" a="1"/>
  <c r="AC141" i="10" a="1"/>
  <c r="J142" i="10" a="1"/>
  <c r="F142" i="10" a="1"/>
  <c r="AV142" i="10" a="1"/>
  <c r="AM143" i="10" a="1"/>
  <c r="AN144" i="10" a="1"/>
  <c r="L144" i="10" a="1"/>
  <c r="AB145" i="10" a="1"/>
  <c r="AQ144" i="10" a="1"/>
  <c r="S146" i="10" a="1"/>
  <c r="V143" i="10" a="1"/>
  <c r="AF143" i="10" a="1"/>
  <c r="F144" i="10" a="1"/>
  <c r="S141" i="10" a="1"/>
  <c r="AL141" i="10" a="1"/>
  <c r="AK147" i="10" a="1"/>
  <c r="AT143" i="10" a="1"/>
  <c r="AH143" i="10" a="1"/>
  <c r="H142" i="10" a="1"/>
  <c r="K144" i="10" a="1"/>
  <c r="W130" i="10" a="1"/>
  <c r="Y131" i="10" a="1"/>
  <c r="P132" i="10" a="1"/>
  <c r="G133" i="10" a="1"/>
  <c r="AJ133" i="10" a="1"/>
  <c r="H134" i="10" a="1"/>
  <c r="X137" i="10" a="1"/>
  <c r="U136" i="10" a="1"/>
  <c r="AF137" i="10" a="1"/>
  <c r="H139" i="10" a="1"/>
  <c r="N141" i="10" a="1"/>
  <c r="I139" i="10" a="1"/>
  <c r="U139" i="10" a="1"/>
  <c r="P142" i="10" a="1"/>
  <c r="AR141" i="10" a="1"/>
  <c r="AH142" i="10" a="1"/>
  <c r="AT141" i="10" a="1"/>
  <c r="Z143" i="10" a="1"/>
  <c r="U143" i="10" a="1"/>
  <c r="AH144" i="10" a="1"/>
  <c r="AA144" i="10" a="1"/>
  <c r="S144" i="10" a="1"/>
  <c r="AR130" i="10" a="1"/>
  <c r="AM132" i="10" a="1"/>
  <c r="AR134" i="10" a="1"/>
  <c r="I135" i="10" a="1"/>
  <c r="AL137" i="10" a="1"/>
  <c r="L137" i="10" a="1"/>
  <c r="AM138" i="10" a="1"/>
  <c r="K138" i="10" a="1"/>
  <c r="AO140" i="10" a="1"/>
  <c r="Y141" i="10" a="1"/>
  <c r="O142" i="10" a="1"/>
  <c r="S142" i="10" a="1"/>
  <c r="J136" i="10" a="1"/>
  <c r="AJ144" i="10" a="1"/>
  <c r="Q142" i="10" a="1"/>
  <c r="AI143" i="10" a="1"/>
  <c r="AB143" i="10" a="1"/>
  <c r="AL139" i="10" a="1"/>
  <c r="AO130" i="10" a="1"/>
  <c r="AF136" i="10" a="1"/>
  <c r="AP139" i="10" a="1"/>
  <c r="O141" i="10" a="1"/>
  <c r="AH140" i="10" a="1"/>
  <c r="AF139" i="10" a="1"/>
  <c r="J143" i="10" a="1"/>
  <c r="AC143" i="10" a="1"/>
  <c r="D143" i="10" a="1"/>
  <c r="AB144" i="10" a="1"/>
  <c r="AF144" i="10" a="1"/>
  <c r="F137" i="10" a="1"/>
  <c r="Q138" i="10" a="1"/>
  <c r="C138" i="10" a="1"/>
  <c r="I141" i="10" a="1"/>
  <c r="C141" i="10" a="1"/>
  <c r="F141" i="10" a="1"/>
  <c r="Y143" i="10" a="1"/>
  <c r="AN143" i="10" a="1"/>
  <c r="J145" i="10" a="1"/>
  <c r="W144" i="10" a="1"/>
  <c r="J141" i="10" a="1"/>
  <c r="AU141" i="10" a="1"/>
  <c r="O143" i="10" a="1"/>
  <c r="AT144" i="10" a="1"/>
  <c r="R143" i="10" a="1"/>
  <c r="O145" i="10" a="1"/>
  <c r="H143" i="10" a="1"/>
  <c r="V138" i="10" a="1"/>
  <c r="K140" i="10" a="1"/>
  <c r="AL144" i="10" a="1"/>
  <c r="T145" i="10" a="1"/>
  <c r="AI141" i="10" a="1"/>
  <c r="G130" i="10" a="1"/>
  <c r="AF131" i="10" a="1"/>
  <c r="Z137" i="10" a="1"/>
  <c r="AS132" i="10" a="1"/>
  <c r="AP133" i="10" a="1"/>
  <c r="S133" i="10" a="1"/>
  <c r="X134" i="10" a="1"/>
  <c r="Q137" i="10" a="1"/>
  <c r="F139" i="10" a="1"/>
  <c r="AM141" i="10" a="1"/>
  <c r="AS142" i="10" a="1"/>
  <c r="X142" i="10" a="1"/>
  <c r="AU144" i="10" a="1"/>
  <c r="AT145" i="10" a="1"/>
  <c r="U145" i="10" a="1"/>
  <c r="H141" i="10" a="1"/>
  <c r="M143" i="10" a="1"/>
  <c r="T144" i="10" a="1"/>
  <c r="P136" i="10" a="1"/>
  <c r="AG139" i="10" a="1"/>
  <c r="AF138" i="10" a="1"/>
  <c r="V145" i="10" a="1"/>
  <c r="M142" i="10" a="1"/>
  <c r="P143" i="10" a="1"/>
  <c r="AT130" i="10" a="1"/>
  <c r="R130" i="10" a="1"/>
  <c r="AP137" i="10" a="1"/>
  <c r="AF133" i="10" a="1"/>
  <c r="D135" i="10" a="1"/>
  <c r="AB136" i="10" a="1"/>
  <c r="C137" i="10" a="1"/>
  <c r="AV139" i="10" a="1"/>
  <c r="M139" i="10" a="1"/>
  <c r="AG138" i="10" a="1"/>
  <c r="O139" i="10" a="1"/>
  <c r="Y139" i="10" a="1"/>
  <c r="R142" i="10" a="1"/>
  <c r="AP142" i="10" a="1"/>
  <c r="E139" i="10" a="1"/>
  <c r="AK140" i="10" a="1"/>
  <c r="AD139" i="10" a="1"/>
  <c r="Z139" i="10" a="1"/>
  <c r="K131" i="10" a="1"/>
  <c r="F130" i="10" a="1"/>
  <c r="AB132" i="10" a="1"/>
  <c r="X133" i="10" a="1"/>
  <c r="F134" i="10" a="1"/>
  <c r="M135" i="10" a="1"/>
  <c r="AR137" i="10" a="1"/>
  <c r="AH136" i="10" a="1"/>
  <c r="AL138" i="10" a="1"/>
  <c r="G138" i="10" a="1"/>
  <c r="N138" i="10" a="1"/>
  <c r="AA139" i="10" a="1"/>
  <c r="D141" i="10" a="1"/>
  <c r="AG140" i="10" a="1"/>
  <c r="AD140" i="10" a="1"/>
  <c r="X139" i="10" a="1"/>
  <c r="K145" i="10" a="1"/>
  <c r="N137" i="10" a="1"/>
  <c r="AU142" i="10" a="1"/>
  <c r="AU145" i="10" a="1"/>
  <c r="U147" i="10" a="1"/>
  <c r="K143" i="10" a="1"/>
  <c r="AD143" i="10" a="1"/>
  <c r="C144" i="10" a="1"/>
  <c r="N129" i="10" a="1"/>
  <c r="M131" i="10" a="1"/>
  <c r="M129" i="10" a="1"/>
  <c r="AO137" i="10" a="1"/>
  <c r="J134" i="10" a="1"/>
  <c r="T135" i="10" a="1"/>
  <c r="G137" i="10" a="1"/>
  <c r="U141" i="10" a="1"/>
  <c r="AB141" i="10" a="1"/>
  <c r="Z142" i="10" a="1"/>
  <c r="AA141" i="10" a="1"/>
  <c r="AG144" i="10" a="1"/>
  <c r="Y144" i="10" a="1"/>
  <c r="AD131" i="10" a="1"/>
  <c r="AB130" i="10" a="1"/>
  <c r="AH132" i="10" a="1"/>
  <c r="R134" i="10" a="1"/>
  <c r="P134" i="10" a="1"/>
  <c r="AB135" i="10" a="1"/>
  <c r="W139" i="10" a="1"/>
  <c r="T136" i="10" a="1"/>
  <c r="Q136" i="10" a="1"/>
  <c r="AB138" i="10" a="1"/>
  <c r="R138" i="10" a="1"/>
  <c r="F138" i="10" a="1"/>
  <c r="T141" i="10" a="1"/>
  <c r="AV141" i="10" a="1"/>
  <c r="W143" i="10" a="1"/>
  <c r="AP129" i="10" a="1"/>
  <c r="H129" i="10" a="1"/>
  <c r="M137" i="10" a="1"/>
  <c r="Q135" i="10" a="1"/>
  <c r="AC135" i="10" a="1"/>
  <c r="AV138" i="10" a="1"/>
  <c r="W140" i="10" a="1"/>
  <c r="AD138" i="10" a="1"/>
  <c r="AP140" i="10" a="1"/>
  <c r="U140" i="10" a="1"/>
  <c r="T140" i="10" a="1"/>
  <c r="Q141" i="10" a="1"/>
  <c r="AS141" i="10" a="1"/>
  <c r="L141" i="10" a="1"/>
  <c r="AW144" i="10" a="1"/>
  <c r="D144" i="10" a="1"/>
  <c r="AO144" i="10" a="1"/>
  <c r="P145" i="10" a="1"/>
  <c r="R140" i="10" a="1"/>
  <c r="Y142" i="10" a="1"/>
  <c r="AJ145" i="10" a="1"/>
  <c r="AU146" i="10" a="1"/>
  <c r="X144" i="10" a="1"/>
  <c r="AU131" i="10" a="1"/>
  <c r="U130" i="10" a="1"/>
  <c r="AW132" i="10" a="1"/>
  <c r="S134" i="10" a="1"/>
  <c r="H135" i="10" a="1"/>
  <c r="AM135" i="10" a="1"/>
  <c r="AU139" i="10" a="1"/>
  <c r="Z136" i="10" a="1"/>
  <c r="AA136" i="10" a="1"/>
  <c r="AN138" i="10" a="1"/>
  <c r="I138" i="10" a="1"/>
  <c r="AS138" i="10" a="1"/>
  <c r="AQ139" i="10" a="1"/>
  <c r="S138" i="10" a="1"/>
  <c r="AC140" i="10" a="1"/>
  <c r="AI140" i="10" a="1"/>
  <c r="Z140" i="10" a="1"/>
  <c r="AO141" i="10" a="1"/>
  <c r="AQ141" i="10" a="1"/>
  <c r="K142" i="10" a="1"/>
  <c r="U142" i="10" a="1"/>
  <c r="AS143" i="10" a="1"/>
  <c r="AK143" i="10" a="1"/>
  <c r="P144" i="10" a="1"/>
  <c r="H145" i="10" a="1"/>
  <c r="G147" i="10" a="1"/>
  <c r="AP144" i="10" a="1"/>
  <c r="D136" i="10" a="1"/>
  <c r="AA138" i="10" a="1"/>
  <c r="AW141" i="10" a="1"/>
  <c r="G142" i="10" a="1"/>
  <c r="X141" i="10" a="1"/>
  <c r="E143" i="10" a="1"/>
  <c r="F129" i="10" a="1"/>
  <c r="V129" i="10" a="1"/>
  <c r="E131" i="10" a="1"/>
  <c r="R133" i="10" a="1"/>
  <c r="AK135" i="10" a="1"/>
  <c r="P135" i="10" a="1"/>
  <c r="K139" i="10" a="1"/>
  <c r="AD136" i="10" a="1"/>
  <c r="AK138" i="10" a="1"/>
  <c r="AM140" i="10" a="1"/>
  <c r="J138" i="10" a="1"/>
  <c r="AM139" i="10" a="1"/>
  <c r="M140" i="10" a="1"/>
  <c r="S139" i="10" a="1"/>
  <c r="Z141" i="10" a="1"/>
  <c r="AV140" i="10" a="1"/>
  <c r="AD142" i="10" a="1"/>
  <c r="AW143" i="10" a="1"/>
  <c r="R144" i="10" a="1"/>
  <c r="Q144" i="10" a="1"/>
  <c r="AG145" i="10" a="1"/>
  <c r="AC144" i="10" a="1"/>
  <c r="J140" i="10" a="1"/>
  <c r="H140" i="10" a="1"/>
  <c r="D142" i="10" a="1"/>
  <c r="E142" i="10" a="1"/>
  <c r="AN142" i="10" a="1"/>
  <c r="S143" i="10" a="1"/>
  <c r="AK144" i="10" a="1"/>
  <c r="F145" i="10" a="1"/>
  <c r="AJ147" i="10" a="1"/>
  <c r="AP146" i="10" a="1"/>
  <c r="AG135" i="10" a="1"/>
  <c r="AM136" i="10" a="1"/>
  <c r="L138" i="10" a="1"/>
  <c r="AI137" i="10" a="1"/>
  <c r="AI138" i="10" a="1"/>
  <c r="AC138" i="10" a="1"/>
  <c r="AB140" i="10" a="1"/>
  <c r="G141" i="10" a="1"/>
  <c r="AP141" i="10" a="1"/>
  <c r="AR143" i="10" a="1"/>
  <c r="AU143" i="10" a="1"/>
  <c r="AQ136" i="10" a="1"/>
  <c r="O131" i="10" a="1"/>
  <c r="AP131" i="10" a="1"/>
  <c r="AL131" i="10" a="1"/>
  <c r="AJ134" i="10" a="1"/>
  <c r="Y135" i="10" a="1"/>
  <c r="AA135" i="10" a="1"/>
  <c r="L135" i="10" a="1"/>
  <c r="E136" i="10" a="1"/>
  <c r="M136" i="10" a="1"/>
  <c r="D138" i="10" a="1"/>
  <c r="AG137" i="10" a="1"/>
  <c r="M138" i="10" a="1"/>
  <c r="AS139" i="10" a="1"/>
  <c r="AU138" i="10" a="1"/>
  <c r="X140" i="10" a="1"/>
  <c r="P141" i="10" a="1"/>
  <c r="P140" i="10" a="1"/>
  <c r="AK141" i="10" a="1"/>
  <c r="AD141" i="10" a="1"/>
  <c r="V142" i="10" a="1"/>
  <c r="AQ143" i="10" a="1"/>
  <c r="Z144" i="10" a="1"/>
  <c r="AJ143" i="10" a="1"/>
  <c r="AN145" i="10" a="1"/>
  <c r="Z145" i="10" a="1"/>
  <c r="AP147" i="10" a="1"/>
  <c r="AC139" i="10" a="1"/>
  <c r="AT140" i="10" a="1"/>
  <c r="AS140" i="10" a="1"/>
  <c r="AL142" i="10" a="1"/>
  <c r="L143" i="10" a="1"/>
  <c r="R145" i="10" a="1"/>
  <c r="F135" i="10" a="1"/>
  <c r="AS144" i="10" a="1"/>
  <c r="O129" i="10" a="1"/>
  <c r="AT129" i="10" a="1"/>
  <c r="AC131" i="10" a="1"/>
  <c r="E133" i="10" a="1"/>
  <c r="AT136" i="10" a="1"/>
  <c r="T139" i="10" a="1"/>
  <c r="K136" i="10" a="1"/>
  <c r="G143" i="10" a="1"/>
  <c r="U144" i="10" a="1"/>
  <c r="X131" i="10" a="1"/>
  <c r="AG129" i="10" a="1"/>
  <c r="Y132" i="10" a="1"/>
  <c r="AG133" i="10" a="1"/>
  <c r="AF135" i="10" a="1"/>
  <c r="J139" i="10" a="1"/>
  <c r="AI139" i="10" a="1"/>
  <c r="AR142" i="10" a="1"/>
  <c r="I144" i="10" a="1"/>
  <c r="O134" i="10" a="1"/>
  <c r="AG143" i="10" a="1"/>
  <c r="AB139" i="10" a="1"/>
  <c r="O140" i="10" a="1"/>
  <c r="Q129" i="10" a="1"/>
  <c r="AS130" i="10" a="1"/>
  <c r="AT131" i="10" a="1"/>
  <c r="AV144" i="10" a="1"/>
  <c r="AJ129" i="10" a="1"/>
  <c r="I132" i="10" a="1"/>
  <c r="AO133" i="10" a="1"/>
  <c r="X136" i="10" a="1"/>
  <c r="AL136" i="10" a="1"/>
  <c r="AS135" i="10" a="1"/>
  <c r="AL143" i="10" a="1"/>
  <c r="E141" i="10" a="1"/>
  <c r="AF140" i="10" a="1"/>
  <c r="N140" i="10" a="1"/>
  <c r="AJ140" i="10" a="1"/>
  <c r="AM142" i="10" a="1"/>
  <c r="AD128" i="10" a="1"/>
  <c r="E130" i="10" a="1"/>
  <c r="AW131" i="10" a="1"/>
  <c r="AU134" i="10" a="1"/>
  <c r="S136" i="10" a="1"/>
  <c r="C135" i="10" a="1"/>
  <c r="AQ135" i="10" a="1"/>
  <c r="AV136" i="10" a="1"/>
  <c r="Z138" i="10" a="1"/>
  <c r="AQ137" i="10" a="1"/>
  <c r="AR139" i="10" a="1"/>
  <c r="AA140" i="10" a="1"/>
  <c r="D140" i="10" a="1"/>
  <c r="AG141" i="10" a="1"/>
  <c r="G140" i="10" a="1"/>
  <c r="AQ142" i="10" a="1"/>
  <c r="AI142" i="10" a="1"/>
  <c r="N143" i="10" a="1"/>
  <c r="M144" i="10" a="1"/>
  <c r="Q143" i="10" a="1"/>
  <c r="AV145" i="10" a="1"/>
  <c r="H147" i="10" a="1"/>
  <c r="I142" i="10" a="1"/>
  <c r="N132" i="10" a="1"/>
  <c r="G132" i="10" a="1"/>
  <c r="AL133" i="10" a="1"/>
  <c r="L136" i="10" a="1"/>
  <c r="AQ134" i="10" a="1"/>
  <c r="AS136" i="10" a="1"/>
  <c r="AV143" i="10" a="1"/>
  <c r="AT139" i="10" a="1"/>
  <c r="L140" i="10" a="1"/>
  <c r="AW139" i="10" a="1"/>
  <c r="AJ141" i="10" a="1"/>
  <c r="N142" i="10" a="1"/>
  <c r="AT142" i="10" a="1"/>
  <c r="AG142" i="10" a="1"/>
  <c r="L142" i="10" a="1"/>
  <c r="AW142" i="10" a="1"/>
  <c r="E144" i="10" a="1"/>
  <c r="AR144" i="10" a="1"/>
  <c r="AQ145" i="10" a="1"/>
  <c r="N144" i="10" a="1"/>
  <c r="AP143" i="10" a="1"/>
  <c r="AO146" i="10" a="1"/>
  <c r="AW135" i="10" a="1"/>
  <c r="E135" i="10" a="1"/>
  <c r="AQ138" i="10" a="1"/>
  <c r="R137" i="10" a="1"/>
  <c r="N139" i="10" a="1"/>
  <c r="AK139" i="10" a="1"/>
  <c r="AR140" i="10" a="1"/>
  <c r="F140" i="10" a="1"/>
  <c r="AO142" i="10" a="1"/>
  <c r="AC142" i="10" a="1"/>
  <c r="D137" i="10" a="1"/>
  <c r="Q140" i="10" a="1"/>
  <c r="U138" i="10" a="1"/>
  <c r="L139" i="10" a="1"/>
  <c r="AN140" i="10" a="1"/>
  <c r="C139" i="10" a="1"/>
  <c r="R139" i="10" a="1"/>
  <c r="K141" i="10" a="1"/>
  <c r="AA142" i="10" a="1"/>
  <c r="W141" i="10" a="1"/>
  <c r="AO143" i="10" a="1"/>
  <c r="AD144" i="10" a="1"/>
  <c r="N146" i="10" a="1"/>
  <c r="D128" i="10" a="1"/>
  <c r="O130" i="10" a="1"/>
  <c r="I131" i="10" a="1"/>
  <c r="G134" i="10" a="1"/>
  <c r="AC133" i="10" a="1"/>
  <c r="V141" i="10" a="1"/>
  <c r="S140" i="10" a="1"/>
  <c r="C140" i="10" a="1"/>
  <c r="Y140" i="10" a="1"/>
  <c r="M141" i="10" a="1"/>
  <c r="T142" i="10" a="1"/>
  <c r="W142" i="10" a="1"/>
  <c r="AA143" i="10" a="1"/>
  <c r="O144" i="10" a="1"/>
  <c r="D145" i="10" a="1"/>
  <c r="C147" i="10" a="1"/>
  <c r="AO138" i="10" a="1"/>
  <c r="AJ139" i="10" a="1"/>
  <c r="AH141" i="10" a="1"/>
  <c r="AK142" i="10" a="1"/>
  <c r="AB142" i="10" a="1"/>
  <c r="AM144" i="10" a="1"/>
  <c r="Y145" i="10" a="1"/>
  <c r="W146" i="10" a="1"/>
  <c r="J130" i="10" a="1"/>
  <c r="AH133" i="10" a="1"/>
  <c r="N135" i="10" a="1"/>
  <c r="J137" i="10" a="1"/>
  <c r="C142" i="10" a="1"/>
  <c r="F143" i="10" a="1"/>
  <c r="AC145" i="10" a="1"/>
  <c r="J144" i="10" a="1"/>
  <c r="AT146" i="10" a="1"/>
  <c r="C134" i="10" a="1"/>
  <c r="AK132" i="10" a="1"/>
  <c r="AV132" i="10" a="1"/>
  <c r="Z133" i="10" a="1"/>
  <c r="AV134" i="10" a="1"/>
  <c r="AC134" i="10" a="1"/>
  <c r="S135" i="10" a="1"/>
  <c r="R136" i="10" a="1"/>
  <c r="AK136" i="10" a="1"/>
  <c r="T143" i="10" a="1"/>
  <c r="I137" i="10" a="1"/>
  <c r="AF142" i="10" a="1"/>
  <c r="AJ142" i="10" a="1"/>
  <c r="C143" i="10" a="1"/>
  <c r="H144" i="10" a="1"/>
  <c r="AI144" i="10" a="1"/>
  <c r="V134" i="10" a="1"/>
  <c r="V133" i="10" a="1"/>
  <c r="E128" i="10" a="1"/>
  <c r="K132" i="10" a="1"/>
  <c r="H138" i="10" a="1"/>
  <c r="D139" i="10" a="1"/>
  <c r="AH139" i="10" a="1"/>
  <c r="AQ140" i="10" a="1"/>
  <c r="R141" i="10" a="1"/>
  <c r="G144" i="10" a="1"/>
  <c r="V144" i="10" a="1"/>
  <c r="C136" i="10" a="1"/>
  <c r="Y137" i="10" a="1"/>
  <c r="T132" i="10" a="1"/>
  <c r="AF132" i="10" a="1"/>
  <c r="O133" i="10" a="1"/>
  <c r="K134" i="10" a="1"/>
  <c r="S145" i="10" a="1"/>
  <c r="AJ146" i="10" a="1"/>
  <c r="K147" i="10" a="1"/>
  <c r="E145" i="10" a="1"/>
  <c r="H146" i="10" a="1"/>
  <c r="J146" i="10" a="1"/>
  <c r="AD148" i="10" a="1"/>
  <c r="G146" i="10" a="1"/>
  <c r="AF147" i="10" a="1"/>
  <c r="AR147" i="10" a="1"/>
  <c r="M148" i="10" a="1"/>
  <c r="L151" i="10" a="1"/>
  <c r="W148" i="10" a="1"/>
  <c r="H148" i="10" a="1"/>
  <c r="AU148" i="10" a="1"/>
  <c r="D150" i="10" a="1"/>
  <c r="AQ149" i="10" a="1"/>
  <c r="AT149" i="10" a="1"/>
  <c r="AO149" i="10" a="1"/>
  <c r="AC150" i="10" a="1"/>
  <c r="AG150" i="10" a="1"/>
  <c r="Q149" i="10" a="1"/>
  <c r="AU152" i="10" a="1"/>
  <c r="AN149" i="10" a="1"/>
  <c r="L150" i="10" a="1"/>
  <c r="AR150" i="10" a="1"/>
  <c r="AL151" i="10" a="1"/>
  <c r="AI151" i="10" a="1"/>
  <c r="AU151" i="10" a="1"/>
  <c r="AD153" i="10" a="1"/>
  <c r="AM151" i="10" a="1"/>
  <c r="P153" i="10" a="1"/>
  <c r="M152" i="10" a="1"/>
  <c r="J153" i="10" a="1"/>
  <c r="AS152" i="10" a="1"/>
  <c r="AF153" i="10" a="1"/>
  <c r="AO154" i="10" a="1"/>
  <c r="AN154" i="10" a="1"/>
  <c r="AK159" i="10" a="1"/>
  <c r="E155" i="10" a="1"/>
  <c r="L156" i="10" a="1"/>
  <c r="AA157" i="10" a="1"/>
  <c r="W155" i="10" a="1"/>
  <c r="AU156" i="10" a="1"/>
  <c r="AJ156" i="10" a="1"/>
  <c r="S157" i="10" a="1"/>
  <c r="AM157" i="10" a="1"/>
  <c r="X148" i="10" a="1"/>
  <c r="AN148" i="10" a="1"/>
  <c r="AC149" i="10" a="1"/>
  <c r="H149" i="10" a="1"/>
  <c r="I150" i="10" a="1"/>
  <c r="G150" i="10" a="1"/>
  <c r="AT151" i="10" a="1"/>
  <c r="C151" i="10" a="1"/>
  <c r="V151" i="10" a="1"/>
  <c r="M153" i="10" a="1"/>
  <c r="AH151" i="10" a="1"/>
  <c r="Z153" i="10" a="1"/>
  <c r="W153" i="10" a="1"/>
  <c r="C153" i="10" a="1"/>
  <c r="T152" i="10" a="1"/>
  <c r="AU153" i="10" a="1"/>
  <c r="C154" i="10" a="1"/>
  <c r="T155" i="10" a="1"/>
  <c r="O154" i="10" a="1"/>
  <c r="J156" i="10" a="1"/>
  <c r="AK145" i="10" a="1"/>
  <c r="AA146" i="10" a="1"/>
  <c r="N147" i="10" a="1"/>
  <c r="I145" i="10" a="1"/>
  <c r="AN146" i="10" a="1"/>
  <c r="K146" i="10" a="1"/>
  <c r="AP148" i="10" a="1"/>
  <c r="Z147" i="10" a="1"/>
  <c r="X147" i="10" a="1"/>
  <c r="AM147" i="10" a="1"/>
  <c r="AO148" i="10" a="1"/>
  <c r="N151" i="10" a="1"/>
  <c r="AK148" i="10" a="1"/>
  <c r="D148" i="10" a="1"/>
  <c r="S148" i="10" a="1"/>
  <c r="R149" i="10" a="1"/>
  <c r="W149" i="10" a="1"/>
  <c r="AD152" i="10" a="1"/>
  <c r="U149" i="10" a="1"/>
  <c r="AO150" i="10" a="1"/>
  <c r="AK149" i="10" a="1"/>
  <c r="AT152" i="10" a="1"/>
  <c r="T149" i="10" a="1"/>
  <c r="AI150" i="10" a="1"/>
  <c r="AG152" i="10" a="1"/>
  <c r="L154" i="10" a="1"/>
  <c r="V155" i="10" a="1"/>
  <c r="AS155" i="10" a="1"/>
  <c r="V156" i="10" a="1"/>
  <c r="AA155" i="10" a="1"/>
  <c r="AV157" i="10" a="1"/>
  <c r="C157" i="10" a="1"/>
  <c r="AW148" i="10" a="1"/>
  <c r="L149" i="10" a="1"/>
  <c r="Y152" i="10" a="1"/>
  <c r="E150" i="10" a="1"/>
  <c r="AP149" i="10" a="1"/>
  <c r="AW152" i="10" a="1"/>
  <c r="E149" i="10" a="1"/>
  <c r="AW150" i="10" a="1"/>
  <c r="E152" i="10" a="1"/>
  <c r="AJ151" i="10" a="1"/>
  <c r="T151" i="10" a="1"/>
  <c r="AV146" i="10" a="1"/>
  <c r="R148" i="10" a="1"/>
  <c r="AO147" i="10" a="1"/>
  <c r="E147" i="10" a="1"/>
  <c r="L147" i="10" a="1"/>
  <c r="AL148" i="10" a="1"/>
  <c r="P151" i="10" a="1"/>
  <c r="AW145" i="10" a="1"/>
  <c r="AD146" i="10" a="1"/>
  <c r="Q145" i="10" a="1"/>
  <c r="AD145" i="10" a="1"/>
  <c r="AR146" i="10" a="1"/>
  <c r="F149" i="10" a="1"/>
  <c r="AH152" i="10" a="1"/>
  <c r="U151" i="10" a="1"/>
  <c r="AR151" i="10" a="1"/>
  <c r="F151" i="10" a="1"/>
  <c r="AR153" i="10" a="1"/>
  <c r="AL153" i="10" a="1"/>
  <c r="AN155" i="10" a="1"/>
  <c r="AS154" i="10" a="1"/>
  <c r="J154" i="10" a="1"/>
  <c r="AA154" i="10" a="1"/>
  <c r="AM159" i="10" a="1"/>
  <c r="R159" i="10" a="1"/>
  <c r="AK155" i="10" a="1"/>
  <c r="AB158" i="10" a="1"/>
  <c r="AC156" i="10" a="1"/>
  <c r="AW156" i="10" a="1"/>
  <c r="L158" i="10" a="1"/>
  <c r="D157" i="10" a="1"/>
  <c r="I158" i="10" a="1"/>
  <c r="R155" i="10" a="1"/>
  <c r="G157" i="10" a="1"/>
  <c r="AH145" i="10" a="1"/>
  <c r="M146" i="10" a="1"/>
  <c r="AS145" i="10" a="1"/>
  <c r="X145" i="10" a="1"/>
  <c r="AM146" i="10" a="1"/>
  <c r="F146" i="10" a="1"/>
  <c r="I148" i="10" a="1"/>
  <c r="AI147" i="10" a="1"/>
  <c r="F147" i="10" a="1"/>
  <c r="M147" i="10" a="1"/>
  <c r="O148" i="10" a="1"/>
  <c r="D151" i="10" a="1"/>
  <c r="AI148" i="10" a="1"/>
  <c r="G148" i="10" a="1"/>
  <c r="V148" i="10" a="1"/>
  <c r="AG149" i="10" a="1"/>
  <c r="AP152" i="10" a="1"/>
  <c r="AB149" i="10" a="1"/>
  <c r="AH150" i="10" a="1"/>
  <c r="AS150" i="10" a="1"/>
  <c r="M149" i="10" a="1"/>
  <c r="AI149" i="10" a="1"/>
  <c r="U150" i="10" a="1"/>
  <c r="I151" i="10" a="1"/>
  <c r="L153" i="10" a="1"/>
  <c r="AP153" i="10" a="1"/>
  <c r="N154" i="10" a="1"/>
  <c r="Q153" i="10" a="1"/>
  <c r="AR154" i="10" a="1"/>
  <c r="AT157" i="10" a="1"/>
  <c r="AQ156" i="10" a="1"/>
  <c r="AF158" i="10" a="1"/>
  <c r="T157" i="10" a="1"/>
  <c r="Y156" i="10" a="1"/>
  <c r="AN157" i="10" a="1"/>
  <c r="S154" i="10" a="1"/>
  <c r="AD154" i="10" a="1"/>
  <c r="C159" i="10" a="1"/>
  <c r="S155" i="10" a="1"/>
  <c r="AT158" i="10" a="1"/>
  <c r="AJ158" i="10" a="1"/>
  <c r="AH156" i="10" a="1"/>
  <c r="AB157" i="10" a="1"/>
  <c r="H156" i="10" a="1"/>
  <c r="C155" i="10" a="1"/>
  <c r="AC157" i="10" a="1"/>
  <c r="AO157" i="10" a="1"/>
  <c r="AI155" i="10" a="1"/>
  <c r="V157" i="10" a="1"/>
  <c r="I157" i="10" a="1"/>
  <c r="K156" i="10" a="1"/>
  <c r="O157" i="10" a="1"/>
  <c r="AK157" i="10" a="1"/>
  <c r="AF149" i="10" a="1"/>
  <c r="V150" i="10" a="1"/>
  <c r="AQ150" i="10" a="1"/>
  <c r="AA151" i="10" a="1"/>
  <c r="D152" i="10" a="1"/>
  <c r="F154" i="10" a="1"/>
  <c r="U156" i="10" a="1"/>
  <c r="W145" i="10" a="1"/>
  <c r="T146" i="10" a="1"/>
  <c r="N145" i="10" a="1"/>
  <c r="C145" i="10" a="1"/>
  <c r="AW146" i="10" a="1"/>
  <c r="U146" i="10" a="1"/>
  <c r="AL146" i="10" a="1"/>
  <c r="Y147" i="10" a="1"/>
  <c r="AW147" i="10" a="1"/>
  <c r="W147" i="10" a="1"/>
  <c r="P148" i="10" a="1"/>
  <c r="AQ151" i="10" a="1"/>
  <c r="AF148" i="10" a="1"/>
  <c r="AH148" i="10" a="1"/>
  <c r="X150" i="10" a="1"/>
  <c r="AS149" i="10" a="1"/>
  <c r="AV149" i="10" a="1"/>
  <c r="AA152" i="10" a="1"/>
  <c r="AM149" i="10" a="1"/>
  <c r="AB150" i="10" a="1"/>
  <c r="P149" i="10" a="1"/>
  <c r="AQ152" i="10" a="1"/>
  <c r="AR149" i="10" a="1"/>
  <c r="AV150" i="10" a="1"/>
  <c r="V152" i="10" a="1"/>
  <c r="AN151" i="10" a="1"/>
  <c r="AD151" i="10" a="1"/>
  <c r="AB151" i="10" a="1"/>
  <c r="N153" i="10" a="1"/>
  <c r="O151" i="10" a="1"/>
  <c r="U153" i="10" a="1"/>
  <c r="AQ153" i="10" a="1"/>
  <c r="AB154" i="10" a="1"/>
  <c r="AK153" i="10" a="1"/>
  <c r="I155" i="10" a="1"/>
  <c r="AL154" i="10" a="1"/>
  <c r="AC154" i="10" a="1"/>
  <c r="Q152" i="10" a="1"/>
  <c r="E153" i="10" a="1"/>
  <c r="AI152" i="10" a="1"/>
  <c r="O153" i="10" a="1"/>
  <c r="AG154" i="10" a="1"/>
  <c r="O155" i="10" a="1"/>
  <c r="AB155" i="10" a="1"/>
  <c r="D154" i="10" a="1"/>
  <c r="H154" i="10" a="1"/>
  <c r="AD155" i="10" a="1"/>
  <c r="U158" i="10" a="1"/>
  <c r="L155" i="10" a="1"/>
  <c r="AO145" i="10" a="1"/>
  <c r="J147" i="10" a="1"/>
  <c r="AF145" i="10" a="1"/>
  <c r="AM145" i="10" a="1"/>
  <c r="AH146" i="10" a="1"/>
  <c r="AC146" i="10" a="1"/>
  <c r="C146" i="10" a="1"/>
  <c r="Q147" i="10" a="1"/>
  <c r="AD147" i="10" a="1"/>
  <c r="AR148" i="10" a="1"/>
  <c r="T148" i="10" a="1"/>
  <c r="AJ148" i="10" a="1"/>
  <c r="N148" i="10" a="1"/>
  <c r="AL150" i="10" a="1"/>
  <c r="AJ149" i="10" a="1"/>
  <c r="AH149" i="10" a="1"/>
  <c r="AJ152" i="10" a="1"/>
  <c r="F150" i="10" a="1"/>
  <c r="O150" i="10" a="1"/>
  <c r="AM152" i="10" a="1"/>
  <c r="X149" i="10" a="1"/>
  <c r="T150" i="10" a="1"/>
  <c r="L152" i="10" a="1"/>
  <c r="H151" i="10" a="1"/>
  <c r="AG151" i="10" a="1"/>
  <c r="S151" i="10" a="1"/>
  <c r="AO151" i="10" a="1"/>
  <c r="X153" i="10" a="1"/>
  <c r="AS153" i="10" a="1"/>
  <c r="M154" i="10" a="1"/>
  <c r="Q155" i="10" a="1"/>
  <c r="M158" i="10" a="1"/>
  <c r="D156" i="10" a="1"/>
  <c r="Y157" i="10" a="1"/>
  <c r="O156" i="10" a="1"/>
  <c r="AU158" i="10" a="1"/>
  <c r="AL155" i="10" a="1"/>
  <c r="U152" i="10" a="1"/>
  <c r="AF155" i="10" a="1"/>
  <c r="R147" i="10" a="1"/>
  <c r="D147" i="10" a="1"/>
  <c r="L148" i="10" a="1"/>
  <c r="AR145" i="10" a="1"/>
  <c r="V147" i="10" a="1"/>
  <c r="AA145" i="10" a="1"/>
  <c r="Q146" i="10" a="1"/>
  <c r="P146" i="10" a="1"/>
  <c r="AK146" i="10" a="1"/>
  <c r="Z146" i="10" a="1"/>
  <c r="S147" i="10" a="1"/>
  <c r="AA148" i="10" a="1"/>
  <c r="K148" i="10" a="1"/>
  <c r="Y148" i="10" a="1"/>
  <c r="S150" i="10" a="1"/>
  <c r="V149" i="10" a="1"/>
  <c r="Y149" i="10" a="1"/>
  <c r="AF152" i="10" a="1"/>
  <c r="N150" i="10" a="1"/>
  <c r="R152" i="10" a="1"/>
  <c r="S149" i="10" a="1"/>
  <c r="W152" i="10" a="1"/>
  <c r="J151" i="10" a="1"/>
  <c r="AC151" i="10" a="1"/>
  <c r="AW153" i="10" a="1"/>
  <c r="X152" i="10" a="1"/>
  <c r="AN153" i="10" a="1"/>
  <c r="S153" i="10" a="1"/>
  <c r="AU155" i="10" a="1"/>
  <c r="G154" i="10" a="1"/>
  <c r="F156" i="10" a="1"/>
  <c r="AT154" i="10" a="1"/>
  <c r="E154" i="10" a="1"/>
  <c r="F159" i="10" a="1"/>
  <c r="W158" i="10" a="1"/>
  <c r="R157" i="10" a="1"/>
  <c r="J157" i="10" a="1"/>
  <c r="M145" i="10" a="1"/>
  <c r="AN147" i="10" a="1"/>
  <c r="L145" i="10" a="1"/>
  <c r="AI145" i="10" a="1"/>
  <c r="AC147" i="10" a="1"/>
  <c r="G145" i="10" a="1"/>
  <c r="X146" i="10" a="1"/>
  <c r="O146" i="10" a="1"/>
  <c r="AV148" i="10" a="1"/>
  <c r="AS146" i="10" a="1"/>
  <c r="AV147" i="10" a="1"/>
  <c r="AS147" i="10" a="1"/>
  <c r="AA147" i="10" a="1"/>
  <c r="AW151" i="10" a="1"/>
  <c r="AB148" i="10" a="1"/>
  <c r="AC148" i="10" a="1"/>
  <c r="Z148" i="10" a="1"/>
  <c r="AU150" i="10" a="1"/>
  <c r="AU149" i="10" a="1"/>
  <c r="O149" i="10" a="1"/>
  <c r="J152" i="10" a="1"/>
  <c r="W150" i="10" a="1"/>
  <c r="AF150" i="10" a="1"/>
  <c r="N149" i="10" a="1"/>
  <c r="AO152" i="10" a="1"/>
  <c r="H152" i="10" a="1"/>
  <c r="Z150" i="10" a="1"/>
  <c r="AT150" i="10" a="1"/>
  <c r="G152" i="10" a="1"/>
  <c r="Z151" i="10" a="1"/>
  <c r="Q151" i="10" a="1"/>
  <c r="AC153" i="10" a="1"/>
  <c r="T153" i="10" a="1"/>
  <c r="AI153" i="10" a="1"/>
  <c r="AB152" i="10" a="1"/>
  <c r="Y153" i="10" a="1"/>
  <c r="AK152" i="10" a="1"/>
  <c r="Q154" i="10" a="1"/>
  <c r="W154" i="10" a="1"/>
  <c r="AQ155" i="10" a="1"/>
  <c r="V154" i="10" a="1"/>
  <c r="AT156" i="10" a="1"/>
  <c r="AW154" i="10" a="1"/>
  <c r="AR155" i="10" a="1"/>
  <c r="AH155" i="10" a="1"/>
  <c r="Y155" i="10" a="1"/>
  <c r="C158" i="10" a="1"/>
  <c r="AM158" i="10" a="1"/>
  <c r="AR156" i="10" a="1"/>
  <c r="AG157" i="10" a="1"/>
  <c r="M155" i="10" a="1"/>
  <c r="AF156" i="10" a="1"/>
  <c r="R146" i="10" a="1"/>
  <c r="I146" i="10" a="1"/>
  <c r="O147" i="10" a="1"/>
  <c r="AP145" i="10" a="1"/>
  <c r="V146" i="10" a="1"/>
  <c r="E146" i="10" a="1"/>
  <c r="F148" i="10" a="1"/>
  <c r="AF146" i="10" a="1"/>
  <c r="P147" i="10" a="1"/>
  <c r="AQ147" i="10" a="1"/>
  <c r="T147" i="10" a="1"/>
  <c r="AS148" i="10" a="1"/>
  <c r="J148" i="10" a="1"/>
  <c r="Q148" i="10" a="1"/>
  <c r="AG148" i="10" a="1"/>
  <c r="K150" i="10" a="1"/>
  <c r="AD149" i="10" a="1"/>
  <c r="J149" i="10" a="1"/>
  <c r="Z149" i="10" a="1"/>
  <c r="AP150" i="10" a="1"/>
  <c r="AJ150" i="10" a="1"/>
  <c r="AI146" i="10" a="1"/>
  <c r="L146" i="10" a="1"/>
  <c r="AL147" i="10" a="1"/>
  <c r="AL145" i="10" a="1"/>
  <c r="Y146" i="10" a="1"/>
  <c r="E148" i="10" a="1"/>
  <c r="D146" i="10" a="1"/>
  <c r="AH147" i="10" a="1"/>
  <c r="AG147" i="10" a="1"/>
  <c r="AT147" i="10" a="1"/>
  <c r="AS151" i="10" a="1"/>
  <c r="AT148" i="10" a="1"/>
  <c r="C148" i="10" a="1"/>
  <c r="AQ148" i="10" a="1"/>
  <c r="Q150" i="10" a="1"/>
  <c r="G149" i="10" a="1"/>
  <c r="C149" i="10" a="1"/>
  <c r="AW149" i="10" a="1"/>
  <c r="P150" i="10" a="1"/>
  <c r="C150" i="10" a="1"/>
  <c r="D149" i="10" a="1"/>
  <c r="I152" i="10" a="1"/>
  <c r="K149" i="10" a="1"/>
  <c r="AD150" i="10" a="1"/>
  <c r="AP154" i="10" a="1"/>
  <c r="AD156" i="10" a="1"/>
  <c r="AM154" i="10" a="1"/>
  <c r="H155" i="10" a="1"/>
  <c r="AC155" i="10" a="1"/>
  <c r="AI156" i="10" a="1"/>
  <c r="AV156" i="10" a="1"/>
  <c r="X155" i="10" a="1"/>
  <c r="U155" i="10" a="1"/>
  <c r="AW158" i="10" a="1"/>
  <c r="F157" i="10" a="1"/>
  <c r="AG155" i="10" a="1"/>
  <c r="Y150" i="10" a="1"/>
  <c r="AH153" i="10" a="1"/>
  <c r="H153" i="10" a="1"/>
  <c r="J155" i="10" a="1"/>
  <c r="AP157" i="10" a="1"/>
  <c r="AI157" i="10" a="1"/>
  <c r="X157" i="10" a="1"/>
  <c r="AM155" i="10" a="1"/>
  <c r="Q157" i="10" a="1"/>
  <c r="AN150" i="10" a="1"/>
  <c r="AV153" i="10" a="1"/>
  <c r="N152" i="10" a="1"/>
  <c r="AF154" i="10" a="1"/>
  <c r="D159" i="10" a="1"/>
  <c r="R150" i="10" a="1"/>
  <c r="R153" i="10" a="1"/>
  <c r="X154" i="10" a="1"/>
  <c r="N155" i="10" a="1"/>
  <c r="AR157" i="10" a="1"/>
  <c r="P157" i="10" a="1"/>
  <c r="AK154" i="10" a="1"/>
  <c r="AQ146" i="10" a="1"/>
  <c r="AA149" i="10" a="1"/>
  <c r="AA150" i="10" a="1"/>
  <c r="V153" i="10" a="1"/>
  <c r="F152" i="10" a="1"/>
  <c r="AU154" i="10" a="1"/>
  <c r="U157" i="10" a="1"/>
  <c r="AT155" i="10" a="1"/>
  <c r="E156" i="10" a="1"/>
  <c r="Z155" i="10" a="1"/>
  <c r="E157" i="10" a="1"/>
  <c r="K152" i="10" a="1"/>
  <c r="O152" i="10" a="1"/>
  <c r="AN156" i="10" a="1"/>
  <c r="AV155" i="10" a="1"/>
  <c r="AG146" i="10" a="1"/>
  <c r="AL149" i="10" a="1"/>
  <c r="M150" i="10" a="1"/>
  <c r="AG153" i="10" a="1"/>
  <c r="S152" i="10" a="1"/>
  <c r="J150" i="10" a="1"/>
  <c r="I153" i="10" a="1"/>
  <c r="R154" i="10" a="1"/>
  <c r="AO156" i="10" a="1"/>
  <c r="P155" i="10" a="1"/>
  <c r="G155" i="10" a="1"/>
  <c r="AK156" i="10" a="1"/>
  <c r="AM153" i="10" a="1"/>
  <c r="Y158" i="10" a="1"/>
  <c r="AL152" i="10" a="1"/>
  <c r="AO155" i="10" a="1"/>
  <c r="W157" i="10" a="1"/>
  <c r="AB146" i="10" a="1"/>
  <c r="AC152" i="10" a="1"/>
  <c r="Z152" i="10" a="1"/>
  <c r="AV151" i="10" a="1"/>
  <c r="T156" i="10" a="1"/>
  <c r="AN158" i="10" a="1"/>
  <c r="AM156" i="10" a="1"/>
  <c r="AI154" i="10" a="1"/>
  <c r="R151" i="10" a="1"/>
  <c r="Z154" i="10" a="1"/>
  <c r="AV154" i="10" a="1"/>
  <c r="AP155" i="10" a="1"/>
  <c r="AW155" i="10" a="1"/>
  <c r="AD158" i="10" a="1"/>
  <c r="I147" i="10" a="1"/>
  <c r="H150" i="10" a="1"/>
  <c r="W151" i="10" a="1"/>
  <c r="K153" i="10" a="1"/>
  <c r="AQ154" i="10" a="1"/>
  <c r="Z156" i="10" a="1"/>
  <c r="AU157" i="10" a="1"/>
  <c r="C152" i="10" a="1"/>
  <c r="X156" i="10" a="1"/>
  <c r="K157" i="10" a="1"/>
  <c r="Y151" i="10" a="1"/>
  <c r="G153" i="10" a="1"/>
  <c r="AB147" i="10" a="1"/>
  <c r="AK150" i="10" a="1"/>
  <c r="AF151" i="10" a="1"/>
  <c r="F153" i="10" a="1"/>
  <c r="P154" i="10" a="1"/>
  <c r="K154" i="10" a="1"/>
  <c r="E158" i="10" a="1"/>
  <c r="N157" i="10" a="1"/>
  <c r="AM150" i="10" a="1"/>
  <c r="Q156" i="10" a="1"/>
  <c r="I149" i="10" a="1"/>
  <c r="AA156" i="10" a="1"/>
  <c r="AA153" i="10" a="1"/>
  <c r="I154" i="10" a="1"/>
  <c r="K158" i="10" a="1"/>
  <c r="G156" i="10" a="1"/>
  <c r="AH157" i="10" a="1"/>
  <c r="AU147" i="10" a="1"/>
  <c r="AK151" i="10" a="1"/>
  <c r="AN152" i="10" a="1"/>
  <c r="AH154" i="10" a="1"/>
  <c r="AV158" i="10" a="1"/>
  <c r="AJ157" i="10" a="1"/>
  <c r="M151" i="10" a="1"/>
  <c r="K151" i="10" a="1"/>
  <c r="AP151" i="10" a="1"/>
  <c r="T154" i="10" a="1"/>
  <c r="AJ155" i="10" a="1"/>
  <c r="AP156" i="10" a="1"/>
  <c r="AR158" i="10" a="1"/>
  <c r="U148" i="10" a="1"/>
  <c r="X151" i="10" a="1"/>
  <c r="AT153" i="10" a="1"/>
  <c r="K155" i="10" a="1"/>
  <c r="I156" i="10" a="1"/>
  <c r="D153" i="10" a="1"/>
  <c r="W156" i="10" a="1"/>
  <c r="P152" i="10" a="1"/>
  <c r="AJ154" i="10" a="1"/>
  <c r="R156" i="10" a="1"/>
  <c r="L157" i="10" a="1"/>
  <c r="AV152" i="10" a="1"/>
  <c r="E151" i="10" a="1"/>
  <c r="AJ153" i="10" a="1"/>
  <c r="U154" i="10" a="1"/>
  <c r="D155" i="10" a="1"/>
  <c r="AG158" i="10" a="1"/>
  <c r="F158" i="10" a="1"/>
  <c r="AM148" i="10" a="1"/>
  <c r="AO153" i="10" a="1"/>
  <c r="K159" i="10" a="1"/>
  <c r="AR152" i="10" a="1"/>
  <c r="G151" i="10" a="1"/>
  <c r="F155" i="10" a="1"/>
  <c r="AC159" i="10" a="1"/>
  <c r="M156" i="10" a="1"/>
  <c r="AS157" i="10" a="1"/>
  <c r="AB153" i="10" a="1"/>
  <c r="Y154" i="10" a="1"/>
  <c r="Z157" i="10" a="1"/>
  <c r="AF157" i="10" a="1"/>
  <c r="AL158" i="10" a="1"/>
  <c r="AO158" i="10" a="1"/>
  <c r="AQ158" i="10" a="1"/>
  <c r="X159" i="10" a="1"/>
  <c r="T159" i="10" a="1"/>
  <c r="AR159" i="10" a="1"/>
  <c r="AU160" i="10" a="1"/>
  <c r="T163" i="10" a="1"/>
  <c r="Q162" i="10" a="1"/>
  <c r="AS160" i="10" a="1"/>
  <c r="W160" i="10" a="1"/>
  <c r="O160" i="10" a="1"/>
  <c r="AL162" i="10" a="1"/>
  <c r="D160" i="10" a="1"/>
  <c r="AM161" i="10" a="1"/>
  <c r="AT163" i="10" a="1"/>
  <c r="AF161" i="10" a="1"/>
  <c r="AP161" i="10" a="1"/>
  <c r="P162" i="10" a="1"/>
  <c r="AR161" i="10" a="1"/>
  <c r="AU162" i="10" a="1"/>
  <c r="AV163" i="10" a="1"/>
  <c r="AR164" i="10" a="1"/>
  <c r="P167" i="10" a="1"/>
  <c r="AF163" i="10" a="1"/>
  <c r="V167" i="10" a="1"/>
  <c r="AV164" i="10" a="1"/>
  <c r="E159" i="10" a="1"/>
  <c r="C163" i="10" a="1"/>
  <c r="P164" i="10" a="1"/>
  <c r="G166" i="10" a="1"/>
  <c r="V163" i="10" a="1"/>
  <c r="AW166" i="10" a="1"/>
  <c r="AM165" i="10" a="1"/>
  <c r="AL157" i="10" a="1"/>
  <c r="N156" i="10" a="1"/>
  <c r="S158" i="10" a="1"/>
  <c r="O158" i="10" a="1"/>
  <c r="AC158" i="10" a="1"/>
  <c r="AW159" i="10" a="1"/>
  <c r="J159" i="10" a="1"/>
  <c r="U159" i="10" a="1"/>
  <c r="Y160" i="10" a="1"/>
  <c r="AF159" i="10" a="1"/>
  <c r="D162" i="10" a="1"/>
  <c r="AH160" i="10" a="1"/>
  <c r="O161" i="10" a="1"/>
  <c r="AL160" i="10" a="1"/>
  <c r="M161" i="10" a="1"/>
  <c r="M160" i="10" a="1"/>
  <c r="AU161" i="10" a="1"/>
  <c r="X163" i="10" a="1"/>
  <c r="AH161" i="10" a="1"/>
  <c r="Y161" i="10" a="1"/>
  <c r="O162" i="10" a="1"/>
  <c r="S161" i="10" a="1"/>
  <c r="AK164" i="10" a="1"/>
  <c r="AB163" i="10" a="1"/>
  <c r="E163" i="10" a="1"/>
  <c r="AK167" i="10" a="1"/>
  <c r="J163" i="10" a="1"/>
  <c r="AM164" i="10" a="1"/>
  <c r="F164" i="10" a="1"/>
  <c r="AW165" i="10" a="1"/>
  <c r="AH165" i="10" a="1"/>
  <c r="X171" i="10" a="1"/>
  <c r="X166" i="10" a="1"/>
  <c r="K166" i="10" a="1"/>
  <c r="N166" i="10" a="1"/>
  <c r="AJ163" i="10" a="1"/>
  <c r="T161" i="10" a="1"/>
  <c r="AP163" i="10" a="1"/>
  <c r="R164" i="10" a="1"/>
  <c r="AC162" i="10" a="1"/>
  <c r="AD163" i="10" a="1"/>
  <c r="P159" i="10" a="1"/>
  <c r="N160" i="10" a="1"/>
  <c r="AG164" i="10" a="1"/>
  <c r="AK163" i="10" a="1"/>
  <c r="AI164" i="10" a="1"/>
  <c r="L166" i="10" a="1"/>
  <c r="F163" i="10" a="1"/>
  <c r="AN161" i="10" a="1"/>
  <c r="AM160" i="10" a="1"/>
  <c r="P161" i="10" a="1"/>
  <c r="AC163" i="10" a="1"/>
  <c r="AP164" i="10" a="1"/>
  <c r="S162" i="10" a="1"/>
  <c r="AU164" i="10" a="1"/>
  <c r="S165" i="10" a="1"/>
  <c r="AG166" i="10" a="1"/>
  <c r="C162" i="10" a="1"/>
  <c r="AN162" i="10" a="1"/>
  <c r="I163" i="10" a="1"/>
  <c r="AQ168" i="10" a="1"/>
  <c r="AR166" i="10" a="1"/>
  <c r="E161" i="10" a="1"/>
  <c r="M157" i="10" a="1"/>
  <c r="H157" i="10" a="1"/>
  <c r="AR162" i="10" a="1"/>
  <c r="AI158" i="10" a="1"/>
  <c r="D158" i="10" a="1"/>
  <c r="W159" i="10" a="1"/>
  <c r="H159" i="10" a="1"/>
  <c r="AQ160" i="10" a="1"/>
  <c r="H163" i="10" a="1"/>
  <c r="AM163" i="10" a="1"/>
  <c r="AB162" i="10" a="1"/>
  <c r="AO160" i="10" a="1"/>
  <c r="AT161" i="10" a="1"/>
  <c r="AF160" i="10" a="1"/>
  <c r="G161" i="10" a="1"/>
  <c r="V160" i="10" a="1"/>
  <c r="AS161" i="10" a="1"/>
  <c r="L163" i="10" a="1"/>
  <c r="V161" i="10" a="1"/>
  <c r="AA164" i="10" a="1"/>
  <c r="Y162" i="10" a="1"/>
  <c r="N161" i="10" a="1"/>
  <c r="AD164" i="10" a="1"/>
  <c r="M163" i="10" a="1"/>
  <c r="O163" i="10" a="1"/>
  <c r="G167" i="10" a="1"/>
  <c r="AC164" i="10" a="1"/>
  <c r="AN164" i="10" a="1"/>
  <c r="T164" i="10" a="1"/>
  <c r="Y164" i="10" a="1"/>
  <c r="L165" i="10" a="1"/>
  <c r="N168" i="10" a="1"/>
  <c r="AH166" i="10" a="1"/>
  <c r="I166" i="10" a="1"/>
  <c r="AS159" i="10" a="1"/>
  <c r="L160" i="10" a="1"/>
  <c r="U160" i="10" a="1"/>
  <c r="H164" i="10" a="1"/>
  <c r="AQ164" i="10" a="1"/>
  <c r="W165" i="10" a="1"/>
  <c r="C165" i="10" a="1"/>
  <c r="AH163" i="10" a="1"/>
  <c r="AS163" i="10" a="1"/>
  <c r="AN166" i="10" a="1"/>
  <c r="AI160" i="10" a="1"/>
  <c r="F161" i="10" a="1"/>
  <c r="AF162" i="10" a="1"/>
  <c r="AI161" i="10" a="1"/>
  <c r="D164" i="10" a="1"/>
  <c r="N163" i="10" a="1"/>
  <c r="E164" i="10" a="1"/>
  <c r="AG162" i="10" a="1"/>
  <c r="AL164" i="10" a="1"/>
  <c r="AA166" i="10" a="1"/>
  <c r="K164" i="10" a="1"/>
  <c r="O159" i="10" a="1"/>
  <c r="N171" i="10" a="1"/>
  <c r="AG161" i="10" a="1"/>
  <c r="M162" i="10" a="1"/>
  <c r="M164" i="10" a="1"/>
  <c r="AW164" i="10" a="1"/>
  <c r="V168" i="10" a="1"/>
  <c r="AP160" i="10" a="1"/>
  <c r="U162" i="10" a="1"/>
  <c r="AO164" i="10" a="1"/>
  <c r="X164" i="10" a="1"/>
  <c r="AN171" i="10" a="1"/>
  <c r="AT164" i="10" a="1"/>
  <c r="V162" i="10" a="1"/>
  <c r="AV162" i="10" a="1"/>
  <c r="AB161" i="10" a="1"/>
  <c r="Y163" i="10" a="1"/>
  <c r="E165" i="10" a="1"/>
  <c r="G162" i="10" a="1"/>
  <c r="S156" i="10" a="1"/>
  <c r="AB156" i="10" a="1"/>
  <c r="AH162" i="10" a="1"/>
  <c r="G158" i="10" a="1"/>
  <c r="AH158" i="10" a="1"/>
  <c r="AJ161" i="10" a="1"/>
  <c r="I161" i="10" a="1"/>
  <c r="Q161" i="10" a="1"/>
  <c r="K167" i="10" a="1"/>
  <c r="Q166" i="10" a="1"/>
  <c r="AN163" i="10" a="1"/>
  <c r="I164" i="10" a="1"/>
  <c r="Z162" i="10" a="1"/>
  <c r="AL163" i="10" a="1"/>
  <c r="Q160" i="10" a="1"/>
  <c r="D161" i="10" a="1"/>
  <c r="AA162" i="10" a="1"/>
  <c r="AL156" i="10" a="1"/>
  <c r="AQ159" i="10" a="1"/>
  <c r="I159" i="10" a="1"/>
  <c r="AG160" i="10" a="1"/>
  <c r="F162" i="10" a="1"/>
  <c r="AN160" i="10" a="1"/>
  <c r="K160" i="10" a="1"/>
  <c r="J162" i="10" a="1"/>
  <c r="AA161" i="10" a="1"/>
  <c r="S163" i="10" a="1"/>
  <c r="G164" i="10" a="1"/>
  <c r="AQ163" i="10" a="1"/>
  <c r="AH164" i="10" a="1"/>
  <c r="AC161" i="10" a="1"/>
  <c r="C161" i="10" a="1"/>
  <c r="S164" i="10" a="1"/>
  <c r="AU163" i="10" a="1"/>
  <c r="AJ164" i="10" a="1"/>
  <c r="AK165" i="10" a="1"/>
  <c r="AC165" i="10" a="1"/>
  <c r="R166" i="10" a="1"/>
  <c r="AK158" i="10" a="1"/>
  <c r="AT159" i="10" a="1"/>
  <c r="F160" i="10" a="1"/>
  <c r="AW160" i="10" a="1"/>
  <c r="AV161" i="10" a="1"/>
  <c r="AK161" i="10" a="1"/>
  <c r="X162" i="10" a="1"/>
  <c r="AV167" i="10" a="1"/>
  <c r="N158" i="10" a="1"/>
  <c r="W161" i="10" a="1"/>
  <c r="V165" i="10" a="1"/>
  <c r="AQ157" i="10" a="1"/>
  <c r="E162" i="10" a="1"/>
  <c r="V158" i="10" a="1"/>
  <c r="AL159" i="10" a="1"/>
  <c r="Y159" i="10" a="1"/>
  <c r="AO163" i="10" a="1"/>
  <c r="AW161" i="10" a="1"/>
  <c r="AD161" i="10" a="1"/>
  <c r="AC160" i="10" a="1"/>
  <c r="Q164" i="10" a="1"/>
  <c r="AT162" i="10" a="1"/>
  <c r="W164" i="10" a="1"/>
  <c r="X165" i="10" a="1"/>
  <c r="AS166" i="10" a="1"/>
  <c r="AI162" i="10" a="1"/>
  <c r="AI166" i="10" a="1"/>
  <c r="J164" i="10" a="1"/>
  <c r="AM166" i="10" a="1"/>
  <c r="AS162" i="10" a="1"/>
  <c r="O164" i="10" a="1"/>
  <c r="X160" i="10" a="1"/>
  <c r="I162" i="10" a="1"/>
  <c r="D163" i="10" a="1"/>
  <c r="AR167" i="10" a="1"/>
  <c r="AJ168" i="10" a="1"/>
  <c r="Q171" i="10" a="1"/>
  <c r="X158" i="10" a="1"/>
  <c r="AG156" i="10" a="1"/>
  <c r="AD162" i="10" a="1"/>
  <c r="AS158" i="10" a="1"/>
  <c r="Z159" i="10" a="1"/>
  <c r="L159" i="10" a="1"/>
  <c r="AW163" i="10" a="1"/>
  <c r="AO159" i="10" a="1"/>
  <c r="AK160" i="10" a="1"/>
  <c r="AM162" i="10" a="1"/>
  <c r="AR165" i="10" a="1"/>
  <c r="AO168" i="10" a="1"/>
  <c r="M159" i="10" a="1"/>
  <c r="H161" i="10" a="1"/>
  <c r="AR163" i="10" a="1"/>
  <c r="G163" i="10" a="1"/>
  <c r="Z164" i="10" a="1"/>
  <c r="V164" i="10" a="1"/>
  <c r="AI163" i="10" a="1"/>
  <c r="AQ166" i="10" a="1"/>
  <c r="AA158" i="10" a="1"/>
  <c r="V159" i="10" a="1"/>
  <c r="S159" i="10" a="1"/>
  <c r="J160" i="10" a="1"/>
  <c r="Q159" i="10" a="1"/>
  <c r="T160" i="10" a="1"/>
  <c r="H162" i="10" a="1"/>
  <c r="AJ160" i="10" a="1"/>
  <c r="X161" i="10" a="1"/>
  <c r="T162" i="10" a="1"/>
  <c r="J161" i="10" a="1"/>
  <c r="AR160" i="10" a="1"/>
  <c r="AK171" i="10" a="1"/>
  <c r="AD160" i="10" a="1"/>
  <c r="AD168" i="10" a="1"/>
  <c r="AD157" i="10" a="1"/>
  <c r="AW162" i="10" a="1"/>
  <c r="T158" i="10" a="1"/>
  <c r="AJ159" i="10" a="1"/>
  <c r="AS156" i="10" a="1"/>
  <c r="Q158" i="10" a="1"/>
  <c r="R162" i="10" a="1"/>
  <c r="P158" i="10" a="1"/>
  <c r="AD159" i="10" a="1"/>
  <c r="AG159" i="10" a="1"/>
  <c r="N159" i="10" a="1"/>
  <c r="Z163" i="10" a="1"/>
  <c r="AA159" i="10" a="1"/>
  <c r="AQ162" i="10" a="1"/>
  <c r="AT160" i="10" a="1"/>
  <c r="U161" i="10" a="1"/>
  <c r="AK162" i="10" a="1"/>
  <c r="C160" i="10" a="1"/>
  <c r="AL161" i="10" a="1"/>
  <c r="AJ162" i="10" a="1"/>
  <c r="Z161" i="10" a="1"/>
  <c r="AO162" i="10" a="1"/>
  <c r="R163" i="10" a="1"/>
  <c r="Q163" i="10" a="1"/>
  <c r="H158" i="10" a="1"/>
  <c r="AN159" i="10" a="1"/>
  <c r="I160" i="10" a="1"/>
  <c r="S160" i="10" a="1"/>
  <c r="K163" i="10" a="1"/>
  <c r="U164" i="10" a="1"/>
  <c r="AO161" i="10" a="1"/>
  <c r="AF164" i="10" a="1"/>
  <c r="AG163" i="10" a="1"/>
  <c r="C164" i="10" a="1"/>
  <c r="AB164" i="10" a="1"/>
  <c r="L164" i="10" a="1"/>
  <c r="F165" i="10" a="1"/>
  <c r="AS171" i="10" a="1"/>
  <c r="R168" i="10" a="1"/>
  <c r="P166" i="10" a="1"/>
  <c r="AW157" i="10" a="1"/>
  <c r="G159" i="10" a="1"/>
  <c r="AV159" i="10" a="1"/>
  <c r="AV160" i="10" a="1"/>
  <c r="R161" i="10" a="1"/>
  <c r="P163" i="10" a="1"/>
  <c r="AS164" i="10" a="1"/>
  <c r="AH159" i="10" a="1"/>
  <c r="H160" i="10" a="1"/>
  <c r="AL165" i="10" a="1"/>
  <c r="F166" i="10" a="1"/>
  <c r="AK166" i="10" a="1"/>
  <c r="C156" i="10" a="1"/>
  <c r="AP158" i="10" a="1"/>
  <c r="L162" i="10" a="1"/>
  <c r="R160" i="10" a="1"/>
  <c r="AG171" i="10" a="1"/>
  <c r="D166" i="10" a="1"/>
  <c r="P156" i="10" a="1"/>
  <c r="Z158" i="10" a="1"/>
  <c r="R158" i="10" a="1"/>
  <c r="AB159" i="10" a="1"/>
  <c r="AP159" i="10" a="1"/>
  <c r="AU159" i="10" a="1"/>
  <c r="AI159" i="10" a="1"/>
  <c r="AA160" i="10" a="1"/>
  <c r="AB160" i="10" a="1"/>
  <c r="Z160" i="10" a="1"/>
  <c r="G160" i="10" a="1"/>
  <c r="W162" i="10" a="1"/>
  <c r="E160" i="10" a="1"/>
  <c r="K161" i="10" a="1"/>
  <c r="K162" i="10" a="1"/>
  <c r="W163" i="10" a="1"/>
  <c r="AQ161" i="10" a="1"/>
  <c r="N162" i="10" a="1"/>
  <c r="AP162" i="10" a="1"/>
  <c r="J158" i="10" a="1"/>
  <c r="P160" i="10" a="1"/>
  <c r="L161" i="10" a="1"/>
  <c r="U163" i="10" a="1"/>
  <c r="AF167" i="10" a="1"/>
  <c r="AA163" i="10" a="1"/>
  <c r="N164" i="10" a="1"/>
  <c r="AA165" i="10" a="1"/>
  <c r="AA171" i="10" a="1"/>
  <c r="AO166" i="10" a="1"/>
  <c r="AP165" i="10" a="1"/>
  <c r="AC166" i="10" a="1"/>
  <c r="J167" i="10" a="1"/>
  <c r="AU167" i="10" a="1"/>
  <c r="AI165" i="10" a="1"/>
  <c r="AN165" i="10" a="1"/>
  <c r="AT167" i="10" a="1"/>
  <c r="O168" i="10" a="1"/>
  <c r="H166" i="10" a="1"/>
  <c r="I172" i="10" a="1"/>
  <c r="AC170" i="10" a="1"/>
  <c r="V170" i="10" a="1"/>
  <c r="F168" i="10" a="1"/>
  <c r="AI170" i="10" a="1"/>
  <c r="J168" i="10" a="1"/>
  <c r="S170" i="10" a="1"/>
  <c r="AC167" i="10" a="1"/>
  <c r="P165" i="10" a="1"/>
  <c r="AV165" i="10" a="1"/>
  <c r="AD172" i="10" a="1"/>
  <c r="AF168" i="10" a="1"/>
  <c r="N167" i="10" a="1"/>
  <c r="D165" i="10" a="1"/>
  <c r="F167" i="10" a="1"/>
  <c r="AD166" i="10" a="1"/>
  <c r="J166" i="10" a="1"/>
  <c r="AA167" i="10" a="1"/>
  <c r="C167" i="10" a="1"/>
  <c r="M170" i="10" a="1"/>
  <c r="AI168" i="10" a="1"/>
  <c r="AB170" i="10" a="1"/>
  <c r="S167" i="10" a="1"/>
  <c r="AQ170" i="10" a="1"/>
  <c r="AW168" i="10" a="1"/>
  <c r="AM168" i="10" a="1"/>
  <c r="AF166" i="10" a="1"/>
  <c r="W170" i="10" a="1"/>
  <c r="AG165" i="10" a="1"/>
  <c r="W166" i="10" a="1"/>
  <c r="W167" i="10" a="1"/>
  <c r="AI167" i="10" a="1"/>
  <c r="AU166" i="10" a="1"/>
  <c r="AF165" i="10" a="1"/>
  <c r="AM167" i="10" a="1"/>
  <c r="AJ166" i="10" a="1"/>
  <c r="AV166" i="10" a="1"/>
  <c r="Q168" i="10" a="1"/>
  <c r="Z165" i="10" a="1"/>
  <c r="AB165" i="10" a="1"/>
  <c r="Y167" i="10" a="1"/>
  <c r="AL166" i="10" a="1"/>
  <c r="AG167" i="10" a="1"/>
  <c r="AB167" i="10" a="1"/>
  <c r="AN168" i="10" a="1"/>
  <c r="AN170" i="10" a="1"/>
  <c r="U170" i="10" a="1"/>
  <c r="AJ173" i="10" a="1"/>
  <c r="T167" i="10" a="1"/>
  <c r="I173" i="10" a="1"/>
  <c r="I165" i="10" a="1"/>
  <c r="AS167" i="10" a="1"/>
  <c r="K165" i="10" a="1"/>
  <c r="T166" i="10" a="1"/>
  <c r="E168" i="10" a="1"/>
  <c r="AV168" i="10" a="1"/>
  <c r="AP168" i="10" a="1"/>
  <c r="AA168" i="10" a="1"/>
  <c r="AQ165" i="10" a="1"/>
  <c r="R167" i="10" a="1"/>
  <c r="U165" i="10" a="1"/>
  <c r="H165" i="10" a="1"/>
  <c r="AU165" i="10" a="1"/>
  <c r="O166" i="10" a="1"/>
  <c r="Y166" i="10" a="1"/>
  <c r="AV170" i="10" a="1"/>
  <c r="G168" i="10" a="1"/>
  <c r="P169" i="10" a="1"/>
  <c r="X167" i="10" a="1"/>
  <c r="U167" i="10" a="1"/>
  <c r="AS168" i="10" a="1"/>
  <c r="D170" i="10" a="1"/>
  <c r="P170" i="10" a="1"/>
  <c r="J165" i="10" a="1"/>
  <c r="AH168" i="10" a="1"/>
  <c r="AJ167" i="10" a="1"/>
  <c r="N165" i="10" a="1"/>
  <c r="AD165" i="10" a="1"/>
  <c r="D168" i="10" a="1"/>
  <c r="AD167" i="10" a="1"/>
  <c r="O167" i="10" a="1"/>
  <c r="H168" i="10" a="1"/>
  <c r="N170" i="10" a="1"/>
  <c r="AR171" i="10" a="1"/>
  <c r="AD170" i="10" a="1"/>
  <c r="AF172" i="10" a="1"/>
  <c r="AP172" i="10" a="1"/>
  <c r="AT170" i="10" a="1"/>
  <c r="AQ172" i="10" a="1"/>
  <c r="E170" i="10" a="1"/>
  <c r="Q165" i="10" a="1"/>
  <c r="AL167" i="10" a="1"/>
  <c r="X168" i="10" a="1"/>
  <c r="L171" i="10" a="1"/>
  <c r="AC168" i="10" a="1"/>
  <c r="AT168" i="10" a="1"/>
  <c r="O165" i="10" a="1"/>
  <c r="I168" i="10" a="1"/>
  <c r="AN167" i="10" a="1"/>
  <c r="R165" i="10" a="1"/>
  <c r="E166" i="10" a="1"/>
  <c r="AT169" i="10" a="1"/>
  <c r="S166" i="10" a="1"/>
  <c r="M168" i="10" a="1"/>
  <c r="Z167" i="10" a="1"/>
  <c r="Y165" i="10" a="1"/>
  <c r="I167" i="10" a="1"/>
  <c r="AR168" i="10" a="1"/>
  <c r="AB166" i="10" a="1"/>
  <c r="AJ172" i="10" a="1"/>
  <c r="H167" i="10" a="1"/>
  <c r="Y168" i="10" a="1"/>
  <c r="AJ170" i="10" a="1"/>
  <c r="Y170" i="10" a="1"/>
  <c r="AP171" i="10" a="1"/>
  <c r="AJ165" i="10" a="1"/>
  <c r="AH170" i="10" a="1"/>
  <c r="F170" i="10" a="1"/>
  <c r="AW171" i="10" a="1"/>
  <c r="T170" i="10" a="1"/>
  <c r="AG170" i="10" a="1"/>
  <c r="AS172" i="10" a="1"/>
  <c r="J169" i="10" a="1"/>
  <c r="L170" i="10" a="1"/>
  <c r="Y173" i="10" a="1"/>
  <c r="D171" i="10" a="1"/>
  <c r="AW167" i="10" a="1"/>
  <c r="Z166" i="10" a="1"/>
  <c r="AK168" i="10" a="1"/>
  <c r="AT165" i="10" a="1"/>
  <c r="T165" i="10" a="1"/>
  <c r="AO165" i="10" a="1"/>
  <c r="K168" i="10" a="1"/>
  <c r="AP166" i="10" a="1"/>
  <c r="G172" i="10" a="1"/>
  <c r="Q167" i="10" a="1"/>
  <c r="AR170" i="10" a="1"/>
  <c r="W168" i="10" a="1"/>
  <c r="AB168" i="10" a="1"/>
  <c r="O170" i="10" a="1"/>
  <c r="H171" i="10" a="1"/>
  <c r="X170" i="10" a="1"/>
  <c r="K170" i="10" a="1"/>
  <c r="P172" i="10" a="1"/>
  <c r="AL169" i="10" a="1"/>
  <c r="T173" i="10" a="1"/>
  <c r="U166" i="10" a="1"/>
  <c r="C168" i="10" a="1"/>
  <c r="M165" i="10" a="1"/>
  <c r="L168" i="10" a="1"/>
  <c r="M166" i="10" a="1"/>
  <c r="AK172" i="10" a="1"/>
  <c r="D167" i="10" a="1"/>
  <c r="Z168" i="10" a="1"/>
  <c r="AU168" i="10" a="1"/>
  <c r="AP170" i="10" a="1"/>
  <c r="K171" i="10" a="1"/>
  <c r="AF170" i="10" a="1"/>
  <c r="H170" i="10" a="1"/>
  <c r="K173" i="10" a="1"/>
  <c r="AJ169" i="10" a="1"/>
  <c r="P168" i="10" a="1"/>
  <c r="AL168" i="10" a="1"/>
  <c r="R170" i="10" a="1"/>
  <c r="M173" i="10" a="1"/>
  <c r="I170" i="10" a="1"/>
  <c r="AL170" i="10" a="1"/>
  <c r="T169" i="10" a="1"/>
  <c r="AP167" i="10" a="1"/>
  <c r="S168" i="10" a="1"/>
  <c r="E167" i="10" a="1"/>
  <c r="AO170" i="10" a="1"/>
  <c r="AK170" i="10" a="1"/>
  <c r="R169" i="10" a="1"/>
  <c r="L172" i="10" a="1"/>
  <c r="AG168" i="10" a="1"/>
  <c r="L167" i="10" a="1"/>
  <c r="AH167" i="10" a="1"/>
  <c r="U168" i="10" a="1"/>
  <c r="N172" i="10" a="1"/>
  <c r="AU170" i="10" a="1"/>
  <c r="T168" i="10" a="1"/>
  <c r="Z170" i="10" a="1"/>
  <c r="J172" i="10" a="1"/>
  <c r="AO172" i="10" a="1"/>
  <c r="C166" i="10" a="1"/>
  <c r="AO167" i="10" a="1"/>
  <c r="AS165" i="10" a="1"/>
  <c r="G165" i="10" a="1"/>
  <c r="M167" i="10" a="1"/>
  <c r="V166" i="10" a="1"/>
  <c r="AQ167" i="10" a="1"/>
  <c r="V171" i="10" a="1"/>
  <c r="AG172" i="10" a="1"/>
  <c r="Q170" i="10" a="1"/>
  <c r="AG173" i="10" a="1"/>
  <c r="AM169" i="10" a="1"/>
  <c r="AT166" i="10" a="1"/>
  <c r="D13" i="10" l="1"/>
  <c r="C13" i="10"/>
  <c r="T8" i="10"/>
  <c r="AJ10" i="10"/>
  <c r="W8" i="10"/>
  <c r="AP7" i="10"/>
  <c r="T6" i="10"/>
  <c r="H5" i="10"/>
  <c r="E5" i="10"/>
  <c r="J6" i="10"/>
  <c r="L3" i="10"/>
  <c r="U8" i="10"/>
  <c r="AV10" i="10"/>
  <c r="AN10" i="10"/>
  <c r="J7" i="10"/>
  <c r="C7" i="10"/>
  <c r="R6" i="10"/>
  <c r="AW10" i="10"/>
  <c r="M7" i="10"/>
  <c r="AM6" i="10"/>
  <c r="T5" i="10"/>
  <c r="AU5" i="10"/>
  <c r="I7" i="10"/>
  <c r="Q4" i="10"/>
  <c r="AL5" i="10"/>
  <c r="AS4" i="10"/>
  <c r="Z4" i="10"/>
  <c r="W4" i="10"/>
  <c r="AG3" i="10"/>
  <c r="T3" i="10"/>
  <c r="AH10" i="10"/>
  <c r="F12" i="10"/>
  <c r="AD12" i="10"/>
  <c r="AK13" i="10"/>
  <c r="F14" i="10"/>
  <c r="AR12" i="10"/>
  <c r="Q13" i="10"/>
  <c r="N12" i="10"/>
  <c r="H8" i="10"/>
  <c r="AO6" i="10"/>
  <c r="R5" i="10"/>
  <c r="F5" i="10"/>
  <c r="N5" i="10"/>
  <c r="AD6" i="10"/>
  <c r="X7" i="10"/>
  <c r="K4" i="10"/>
  <c r="AQ5" i="10"/>
  <c r="AQ4" i="10"/>
  <c r="AD4" i="10"/>
  <c r="AT4" i="10"/>
  <c r="S3" i="10"/>
  <c r="AV3" i="10"/>
  <c r="AN11" i="10"/>
  <c r="AQ3" i="10"/>
  <c r="L14" i="10"/>
  <c r="AH13" i="10"/>
  <c r="E12" i="10"/>
  <c r="O14" i="10"/>
  <c r="J13" i="10"/>
  <c r="AF13" i="10"/>
  <c r="P8" i="10"/>
  <c r="J10" i="10"/>
  <c r="D10" i="10"/>
  <c r="N10" i="10"/>
  <c r="M8" i="10"/>
  <c r="K7" i="10"/>
  <c r="L7" i="10"/>
  <c r="AV7" i="10"/>
  <c r="AU10" i="10"/>
  <c r="Y7" i="10"/>
  <c r="AF6" i="10"/>
  <c r="P6" i="10"/>
  <c r="AH5" i="10"/>
  <c r="AC4" i="10"/>
  <c r="L6" i="10"/>
  <c r="C5" i="10"/>
  <c r="AS5" i="10"/>
  <c r="AU6" i="10"/>
  <c r="AV5" i="10"/>
  <c r="K6" i="10"/>
  <c r="N7" i="10"/>
  <c r="T4" i="10"/>
  <c r="AL4" i="10"/>
  <c r="C4" i="10"/>
  <c r="AU4" i="10"/>
  <c r="AM3" i="10"/>
  <c r="H3" i="10"/>
  <c r="AS11" i="10"/>
  <c r="AT3" i="10"/>
  <c r="Y13" i="10"/>
  <c r="P13" i="10"/>
  <c r="P12" i="10"/>
  <c r="F8" i="10"/>
  <c r="J8" i="10"/>
  <c r="AS10" i="10"/>
  <c r="AM8" i="10"/>
  <c r="Z7" i="10"/>
  <c r="AK10" i="10"/>
  <c r="Q10" i="10"/>
  <c r="AI8" i="10"/>
  <c r="AT6" i="10"/>
  <c r="AP5" i="10"/>
  <c r="AG7" i="10"/>
  <c r="N4" i="10"/>
  <c r="I4" i="10"/>
  <c r="AB4" i="10"/>
  <c r="D3" i="10"/>
  <c r="Y11" i="10"/>
  <c r="G6" i="10"/>
  <c r="S10" i="10"/>
  <c r="AG10" i="10"/>
  <c r="O6" i="10"/>
  <c r="V6" i="10"/>
  <c r="L5" i="10"/>
  <c r="G5" i="10"/>
  <c r="AI5" i="10"/>
  <c r="AR4" i="10"/>
  <c r="F4" i="10"/>
  <c r="U10" i="10"/>
  <c r="AD13" i="10"/>
  <c r="AN13" i="10"/>
  <c r="AO13" i="10"/>
  <c r="AL8" i="10"/>
  <c r="Z5" i="10"/>
  <c r="R3" i="10"/>
  <c r="AT12" i="10"/>
  <c r="R14" i="10"/>
  <c r="O13" i="10"/>
  <c r="AA10" i="10"/>
  <c r="AA8" i="10"/>
  <c r="AR7" i="10"/>
  <c r="Q7" i="10"/>
  <c r="D7" i="10"/>
  <c r="AV13" i="10"/>
  <c r="AN14" i="10"/>
  <c r="AJ12" i="10"/>
  <c r="AD8" i="10"/>
  <c r="AW7" i="10"/>
  <c r="C12" i="10"/>
  <c r="W13" i="10"/>
  <c r="AT14" i="10"/>
  <c r="E13" i="10"/>
  <c r="W10" i="10"/>
  <c r="I10" i="10"/>
  <c r="C10" i="10"/>
  <c r="AB10" i="10"/>
  <c r="AA6" i="10"/>
  <c r="AO5" i="10"/>
  <c r="AI6" i="10"/>
  <c r="AB5" i="10"/>
  <c r="D4" i="10"/>
  <c r="Y4" i="10"/>
  <c r="H4" i="10"/>
  <c r="AI4" i="10"/>
  <c r="V4" i="10"/>
  <c r="AF3" i="10"/>
  <c r="P11" i="10"/>
  <c r="AQ6" i="10"/>
  <c r="H12" i="10"/>
  <c r="V14" i="10"/>
  <c r="AN8" i="10"/>
  <c r="AH7" i="10"/>
  <c r="AV12" i="10"/>
  <c r="AR14" i="10"/>
  <c r="W12" i="10"/>
  <c r="AB8" i="10"/>
  <c r="AC8" i="10"/>
  <c r="AQ7" i="10"/>
  <c r="AK7" i="10"/>
  <c r="Z13" i="10"/>
  <c r="AO12" i="10"/>
  <c r="G12" i="10"/>
  <c r="Q12" i="10"/>
  <c r="T13" i="10"/>
  <c r="D14" i="10"/>
  <c r="AQ14" i="10"/>
  <c r="AP13" i="10"/>
  <c r="AS8" i="10"/>
  <c r="AD10" i="10"/>
  <c r="X8" i="10"/>
  <c r="AH8" i="10"/>
  <c r="S8" i="10"/>
  <c r="AO10" i="10"/>
  <c r="AL6" i="10"/>
  <c r="D5" i="10"/>
  <c r="X5" i="10"/>
  <c r="AV6" i="10"/>
  <c r="Q5" i="10"/>
  <c r="AA5" i="10"/>
  <c r="V7" i="10"/>
  <c r="AW5" i="10"/>
  <c r="R4" i="10"/>
  <c r="AH4" i="10"/>
  <c r="U4" i="10"/>
  <c r="AP4" i="10"/>
  <c r="AO3" i="10"/>
  <c r="AD3" i="10"/>
  <c r="S11" i="10"/>
  <c r="AH12" i="10"/>
  <c r="M13" i="10"/>
  <c r="AW13" i="10"/>
  <c r="R7" i="10"/>
  <c r="AS13" i="10"/>
  <c r="AB13" i="10"/>
  <c r="AC13" i="10"/>
  <c r="AK8" i="10"/>
  <c r="G8" i="10"/>
  <c r="AU8" i="10"/>
  <c r="E7" i="10"/>
  <c r="AC10" i="10"/>
  <c r="X6" i="10"/>
  <c r="K13" i="10"/>
  <c r="Y10" i="10"/>
  <c r="AG12" i="10"/>
  <c r="AQ8" i="10"/>
  <c r="AQ10" i="10"/>
  <c r="AO7" i="10"/>
  <c r="G7" i="10"/>
  <c r="W7" i="10"/>
  <c r="AF10" i="10"/>
  <c r="Y6" i="10"/>
  <c r="AC14" i="10"/>
  <c r="H13" i="10"/>
  <c r="AB14" i="10"/>
  <c r="AU13" i="10"/>
  <c r="E10" i="10"/>
  <c r="AS7" i="10"/>
  <c r="V10" i="10"/>
  <c r="AB6" i="10"/>
  <c r="C6" i="10"/>
  <c r="M5" i="10"/>
  <c r="I5" i="10"/>
  <c r="M6" i="10"/>
  <c r="AJ6" i="10"/>
  <c r="AN5" i="10"/>
  <c r="U7" i="10"/>
  <c r="AC5" i="10"/>
  <c r="AO4" i="10"/>
  <c r="P4" i="10"/>
  <c r="X4" i="10"/>
  <c r="AA4" i="10"/>
  <c r="AP3" i="10"/>
  <c r="AI3" i="10"/>
  <c r="AT11" i="10"/>
  <c r="AK12" i="10"/>
  <c r="AV8" i="10"/>
  <c r="T10" i="10"/>
  <c r="K10" i="10"/>
  <c r="L8" i="10"/>
  <c r="N8" i="10"/>
  <c r="Z8" i="10"/>
  <c r="AL7" i="10"/>
  <c r="AM7" i="10"/>
  <c r="AR10" i="10"/>
  <c r="AJ13" i="10"/>
  <c r="AK14" i="10"/>
  <c r="O12" i="10"/>
  <c r="AS14" i="10"/>
  <c r="AN12" i="10"/>
  <c r="AF8" i="10"/>
  <c r="K8" i="10"/>
  <c r="N6" i="10"/>
  <c r="Y5" i="10"/>
  <c r="H6" i="10"/>
  <c r="AP6" i="10"/>
  <c r="O5" i="10"/>
  <c r="T7" i="10"/>
  <c r="V5" i="10"/>
  <c r="S4" i="10"/>
  <c r="AN4" i="10"/>
  <c r="AJ4" i="10"/>
  <c r="Z3" i="10"/>
  <c r="Q3" i="10"/>
  <c r="J3" i="10"/>
  <c r="Z12" i="10"/>
  <c r="W14" i="10"/>
  <c r="L12" i="10"/>
  <c r="AS12" i="10"/>
  <c r="AQ13" i="10"/>
  <c r="AL13" i="10"/>
  <c r="AB12" i="10"/>
  <c r="C8" i="10"/>
  <c r="I6" i="10"/>
  <c r="AK5" i="10"/>
  <c r="N13" i="10"/>
  <c r="AC12" i="10"/>
  <c r="S14" i="10"/>
  <c r="O10" i="10"/>
  <c r="AP10" i="10"/>
  <c r="AB7" i="10"/>
  <c r="S7" i="10"/>
  <c r="AW6" i="10"/>
  <c r="AT7" i="10"/>
  <c r="AC7" i="10"/>
  <c r="AI10" i="10"/>
  <c r="U6" i="10"/>
  <c r="AG6" i="10"/>
  <c r="AM5" i="10"/>
  <c r="U5" i="10"/>
  <c r="D6" i="10"/>
  <c r="W6" i="10"/>
  <c r="J5" i="10"/>
  <c r="AG4" i="10"/>
  <c r="S5" i="10"/>
  <c r="J4" i="10"/>
  <c r="G4" i="10"/>
  <c r="AM4" i="10"/>
  <c r="AW3" i="10"/>
  <c r="Y3" i="10"/>
  <c r="AL3" i="10"/>
  <c r="I3" i="10"/>
  <c r="AI13" i="10"/>
  <c r="E6" i="10"/>
  <c r="O7" i="10"/>
  <c r="P10" i="10"/>
  <c r="AQ12" i="10"/>
  <c r="X14" i="10"/>
  <c r="V12" i="10"/>
  <c r="AW8" i="10"/>
  <c r="AP8" i="10"/>
  <c r="AL10" i="10"/>
  <c r="G10" i="10"/>
  <c r="AJ8" i="10"/>
  <c r="I8" i="10"/>
  <c r="X12" i="10"/>
  <c r="F13" i="10"/>
  <c r="AV14" i="10"/>
  <c r="M10" i="10"/>
  <c r="AT8" i="10"/>
  <c r="AT10" i="10"/>
  <c r="AA7" i="10"/>
  <c r="I13" i="10"/>
  <c r="AL12" i="10"/>
  <c r="AU12" i="10"/>
  <c r="AP14" i="10"/>
  <c r="AI12" i="10"/>
  <c r="R8" i="10"/>
  <c r="AO8" i="10"/>
  <c r="AM10" i="10"/>
  <c r="P7" i="10"/>
  <c r="D8" i="10"/>
  <c r="F10" i="10"/>
  <c r="AR6" i="10"/>
  <c r="AU7" i="10"/>
  <c r="AD7" i="10"/>
  <c r="F6" i="10"/>
  <c r="AC6" i="10"/>
  <c r="W5" i="10"/>
  <c r="P5" i="10"/>
  <c r="AK6" i="10"/>
  <c r="Z6" i="10"/>
  <c r="AD5" i="10"/>
  <c r="L4" i="10"/>
  <c r="K5" i="10"/>
  <c r="O4" i="10"/>
  <c r="AF4" i="10"/>
  <c r="AK4" i="10"/>
  <c r="E3" i="10"/>
  <c r="N3" i="10"/>
  <c r="AB3" i="10"/>
  <c r="AA3" i="10"/>
  <c r="AM13" i="10"/>
  <c r="U12" i="10"/>
  <c r="T12" i="10"/>
  <c r="AW12" i="10"/>
  <c r="V13" i="10"/>
  <c r="AJ7" i="10"/>
  <c r="AN7" i="10"/>
  <c r="S12" i="10"/>
  <c r="AG13" i="10"/>
  <c r="S13" i="10"/>
  <c r="K14" i="10"/>
  <c r="X13" i="10"/>
  <c r="AR13" i="10"/>
  <c r="Y12" i="10"/>
  <c r="AT13" i="10"/>
  <c r="L13" i="10"/>
  <c r="E14" i="10"/>
  <c r="G13" i="10"/>
  <c r="Q8" i="10"/>
  <c r="X10" i="10"/>
  <c r="Y8" i="10"/>
  <c r="H10" i="10"/>
  <c r="AA12" i="10"/>
  <c r="U13" i="10"/>
  <c r="Q14" i="10"/>
  <c r="M12" i="10"/>
  <c r="AU14" i="10"/>
  <c r="AI14" i="10"/>
  <c r="L10" i="10"/>
  <c r="E8" i="10"/>
  <c r="AG8" i="10"/>
  <c r="AF7" i="10"/>
  <c r="F7" i="10"/>
  <c r="H7" i="10"/>
  <c r="Q6" i="10"/>
  <c r="AN6" i="10"/>
  <c r="AF5" i="10"/>
  <c r="AG5" i="10"/>
  <c r="AR5" i="10"/>
  <c r="S6" i="10"/>
  <c r="AJ5" i="10"/>
  <c r="M4" i="10"/>
  <c r="AT5" i="10"/>
  <c r="AV4" i="10"/>
  <c r="E4" i="10"/>
  <c r="AW4" i="10"/>
  <c r="AJ3" i="10"/>
  <c r="AK3" i="10"/>
  <c r="AQ11" i="10"/>
  <c r="AS3" i="10"/>
  <c r="AP12" i="10"/>
  <c r="R13" i="10"/>
  <c r="AA13" i="10"/>
  <c r="O8" i="10"/>
  <c r="AR8" i="10"/>
  <c r="Z10" i="10"/>
  <c r="R10" i="10"/>
  <c r="V8" i="10"/>
  <c r="AI7" i="10"/>
  <c r="AH6" i="10"/>
  <c r="AS6" i="10"/>
  <c r="Q34" i="10"/>
  <c r="AM28" i="10"/>
  <c r="W28" i="10"/>
  <c r="AD28" i="10"/>
  <c r="Z36" i="10"/>
  <c r="I29" i="10"/>
  <c r="R31" i="10"/>
  <c r="AV28" i="10"/>
  <c r="AI29" i="10"/>
  <c r="AL33" i="10"/>
  <c r="T27" i="10"/>
  <c r="Q29" i="10"/>
  <c r="K27" i="10"/>
  <c r="AK33" i="10"/>
  <c r="P33" i="10"/>
  <c r="S34" i="10"/>
  <c r="AS30" i="10"/>
  <c r="Y34" i="10"/>
  <c r="G30" i="10"/>
  <c r="AS26" i="10"/>
  <c r="AN35" i="10"/>
  <c r="E34" i="10"/>
  <c r="AF31" i="10"/>
  <c r="AT27" i="10"/>
  <c r="AL30" i="10"/>
  <c r="E35" i="10"/>
  <c r="AW33" i="10"/>
  <c r="AJ31" i="10"/>
  <c r="N30" i="10"/>
  <c r="AH26" i="10"/>
  <c r="I28" i="10"/>
  <c r="AT34" i="10"/>
  <c r="AD31" i="10"/>
  <c r="M30" i="10"/>
  <c r="AQ33" i="10"/>
  <c r="D27" i="10"/>
  <c r="AL36" i="10"/>
  <c r="AU30" i="10"/>
  <c r="T26" i="10"/>
  <c r="V31" i="10"/>
  <c r="AP34" i="10"/>
  <c r="AV31" i="10"/>
  <c r="N29" i="10"/>
  <c r="AM34" i="10"/>
  <c r="AM29" i="10"/>
  <c r="X34" i="10"/>
  <c r="AG37" i="10"/>
  <c r="J35" i="10"/>
  <c r="X28" i="10"/>
  <c r="V36" i="10"/>
  <c r="AC34" i="10"/>
  <c r="C34" i="10"/>
  <c r="AF35" i="10"/>
  <c r="AL35" i="10"/>
  <c r="AC25" i="10"/>
  <c r="U24" i="10"/>
  <c r="S23" i="10"/>
  <c r="L25" i="10"/>
  <c r="F22" i="10"/>
  <c r="AG32" i="10"/>
  <c r="P32" i="10"/>
  <c r="Q22" i="10"/>
  <c r="AM22" i="10"/>
  <c r="AF25" i="10"/>
  <c r="M20" i="10"/>
  <c r="AU19" i="10"/>
  <c r="AO18" i="10"/>
  <c r="AR17" i="10"/>
  <c r="R20" i="10"/>
  <c r="H18" i="10"/>
  <c r="AU15" i="10"/>
  <c r="O29" i="10"/>
  <c r="AB29" i="10"/>
  <c r="U28" i="10"/>
  <c r="AG27" i="10"/>
  <c r="M27" i="10"/>
  <c r="U33" i="10"/>
  <c r="C31" i="10"/>
  <c r="N34" i="10"/>
  <c r="I31" i="10"/>
  <c r="W31" i="10"/>
  <c r="Z30" i="10"/>
  <c r="J30" i="10"/>
  <c r="AT29" i="10"/>
  <c r="Z29" i="10"/>
  <c r="AO29" i="10"/>
  <c r="R28" i="10"/>
  <c r="AL28" i="10"/>
  <c r="S26" i="10"/>
  <c r="AU26" i="10"/>
  <c r="O27" i="10"/>
  <c r="E26" i="10"/>
  <c r="G25" i="10"/>
  <c r="F23" i="10"/>
  <c r="N24" i="10"/>
  <c r="AA25" i="10"/>
  <c r="M32" i="10"/>
  <c r="AO22" i="10"/>
  <c r="AQ22" i="10"/>
  <c r="AK25" i="10"/>
  <c r="R21" i="10"/>
  <c r="N21" i="10"/>
  <c r="AC20" i="10"/>
  <c r="AG19" i="10"/>
  <c r="S19" i="10"/>
  <c r="U20" i="10"/>
  <c r="O16" i="10"/>
  <c r="AG18" i="10"/>
  <c r="AD16" i="10"/>
  <c r="AK15" i="10"/>
  <c r="AA14" i="10"/>
  <c r="AK27" i="10"/>
  <c r="AD36" i="10"/>
  <c r="X35" i="10"/>
  <c r="C33" i="10"/>
  <c r="S36" i="10"/>
  <c r="AK35" i="10"/>
  <c r="AS35" i="10"/>
  <c r="AB33" i="10"/>
  <c r="E33" i="10"/>
  <c r="D33" i="10"/>
  <c r="AH33" i="10"/>
  <c r="AB31" i="10"/>
  <c r="J31" i="10"/>
  <c r="C30" i="10"/>
  <c r="P28" i="10"/>
  <c r="AN28" i="10"/>
  <c r="AS27" i="10"/>
  <c r="G34" i="10"/>
  <c r="AI36" i="10"/>
  <c r="W34" i="10"/>
  <c r="M35" i="10"/>
  <c r="AV35" i="10"/>
  <c r="Y35" i="10"/>
  <c r="AP35" i="10"/>
  <c r="R33" i="10"/>
  <c r="S33" i="10"/>
  <c r="G33" i="10"/>
  <c r="Y33" i="10"/>
  <c r="AN31" i="10"/>
  <c r="P31" i="10"/>
  <c r="AL34" i="10"/>
  <c r="U31" i="10"/>
  <c r="J29" i="10"/>
  <c r="M28" i="10"/>
  <c r="AI28" i="10"/>
  <c r="AT28" i="10"/>
  <c r="R29" i="10"/>
  <c r="AA27" i="10"/>
  <c r="AI26" i="10"/>
  <c r="AH27" i="10"/>
  <c r="AP27" i="10"/>
  <c r="AO25" i="10"/>
  <c r="S25" i="10"/>
  <c r="AK24" i="10"/>
  <c r="AN23" i="10"/>
  <c r="AS24" i="10"/>
  <c r="I25" i="10"/>
  <c r="J22" i="10"/>
  <c r="P23" i="10"/>
  <c r="O32" i="10"/>
  <c r="AB22" i="10"/>
  <c r="AD22" i="10"/>
  <c r="AF21" i="10"/>
  <c r="F20" i="10"/>
  <c r="AI17" i="10"/>
  <c r="P17" i="10"/>
  <c r="AI15" i="10"/>
  <c r="AG26" i="10"/>
  <c r="AN27" i="10"/>
  <c r="D26" i="10"/>
  <c r="AW25" i="10"/>
  <c r="AG24" i="10"/>
  <c r="H24" i="10"/>
  <c r="D22" i="10"/>
  <c r="W22" i="10"/>
  <c r="AQ25" i="10"/>
  <c r="H21" i="10"/>
  <c r="AN21" i="10"/>
  <c r="P19" i="10"/>
  <c r="G20" i="10"/>
  <c r="AT19" i="10"/>
  <c r="H20" i="10"/>
  <c r="AQ18" i="10"/>
  <c r="J16" i="10"/>
  <c r="U18" i="10"/>
  <c r="Z15" i="10"/>
  <c r="S27" i="10"/>
  <c r="AA26" i="10"/>
  <c r="T24" i="10"/>
  <c r="AH24" i="10"/>
  <c r="L23" i="10"/>
  <c r="AP24" i="10"/>
  <c r="J25" i="10"/>
  <c r="AC22" i="10"/>
  <c r="AF23" i="10"/>
  <c r="U32" i="10"/>
  <c r="AO21" i="10"/>
  <c r="V19" i="10"/>
  <c r="I18" i="10"/>
  <c r="AC17" i="10"/>
  <c r="AS17" i="10"/>
  <c r="AV16" i="10"/>
  <c r="Y15" i="10"/>
  <c r="AO15" i="10"/>
  <c r="AM17" i="10"/>
  <c r="M16" i="10"/>
  <c r="O15" i="10"/>
  <c r="K15" i="10"/>
  <c r="K31" i="10"/>
  <c r="H30" i="10"/>
  <c r="Z28" i="10"/>
  <c r="AC28" i="10"/>
  <c r="Y29" i="10"/>
  <c r="AW27" i="10"/>
  <c r="AP29" i="10"/>
  <c r="G27" i="10"/>
  <c r="AW26" i="10"/>
  <c r="AP26" i="10"/>
  <c r="P25" i="10"/>
  <c r="AD24" i="10"/>
  <c r="I23" i="10"/>
  <c r="AH23" i="10"/>
  <c r="Z23" i="10"/>
  <c r="T22" i="10"/>
  <c r="AC23" i="10"/>
  <c r="J32" i="10"/>
  <c r="X25" i="10"/>
  <c r="J21" i="10"/>
  <c r="R19" i="10"/>
  <c r="O18" i="10"/>
  <c r="AH18" i="10"/>
  <c r="AJ15" i="10"/>
  <c r="AS15" i="10"/>
  <c r="C15" i="10"/>
  <c r="N28" i="10"/>
  <c r="AL25" i="10"/>
  <c r="O25" i="10"/>
  <c r="F34" i="10"/>
  <c r="J28" i="10"/>
  <c r="E28" i="10"/>
  <c r="AN29" i="10"/>
  <c r="AL27" i="10"/>
  <c r="AI27" i="10"/>
  <c r="C28" i="10"/>
  <c r="H27" i="10"/>
  <c r="AN25" i="10"/>
  <c r="P24" i="10"/>
  <c r="I24" i="10"/>
  <c r="AA23" i="10"/>
  <c r="AD23" i="10"/>
  <c r="AV24" i="10"/>
  <c r="H25" i="10"/>
  <c r="AM32" i="10"/>
  <c r="G32" i="10"/>
  <c r="AS32" i="10"/>
  <c r="Z21" i="10"/>
  <c r="Z19" i="10"/>
  <c r="AR20" i="10"/>
  <c r="AS19" i="10"/>
  <c r="AR18" i="10"/>
  <c r="AH17" i="10"/>
  <c r="AN16" i="10"/>
  <c r="I15" i="10"/>
  <c r="J27" i="10"/>
  <c r="V23" i="10"/>
  <c r="AL21" i="10"/>
  <c r="O33" i="10"/>
  <c r="AP18" i="10"/>
  <c r="Q18" i="10"/>
  <c r="AN17" i="10"/>
  <c r="AI20" i="10"/>
  <c r="G17" i="10"/>
  <c r="D15" i="10"/>
  <c r="N14" i="10"/>
  <c r="AG28" i="10"/>
  <c r="AB27" i="10"/>
  <c r="C26" i="10"/>
  <c r="X26" i="10"/>
  <c r="U26" i="10"/>
  <c r="Y24" i="10"/>
  <c r="AV23" i="10"/>
  <c r="AO23" i="10"/>
  <c r="AP23" i="10"/>
  <c r="AL24" i="10"/>
  <c r="E23" i="10"/>
  <c r="AB25" i="10"/>
  <c r="AV32" i="10"/>
  <c r="AJ22" i="10"/>
  <c r="T21" i="10"/>
  <c r="AR34" i="10"/>
  <c r="AB34" i="10"/>
  <c r="AJ37" i="10"/>
  <c r="AS31" i="10"/>
  <c r="AG30" i="10"/>
  <c r="F30" i="10"/>
  <c r="M29" i="10"/>
  <c r="AH30" i="10"/>
  <c r="AB28" i="10"/>
  <c r="F29" i="10"/>
  <c r="AC27" i="10"/>
  <c r="AV27" i="10"/>
  <c r="F28" i="10"/>
  <c r="X27" i="10"/>
  <c r="K26" i="10"/>
  <c r="AL26" i="10"/>
  <c r="R25" i="10"/>
  <c r="X24" i="10"/>
  <c r="O24" i="10"/>
  <c r="AT24" i="10"/>
  <c r="AQ23" i="10"/>
  <c r="AI32" i="10"/>
  <c r="AK32" i="10"/>
  <c r="AW32" i="10"/>
  <c r="AG21" i="10"/>
  <c r="M21" i="10"/>
  <c r="J19" i="10"/>
  <c r="AM20" i="10"/>
  <c r="O17" i="10"/>
  <c r="AS18" i="10"/>
  <c r="X19" i="10"/>
  <c r="L16" i="10"/>
  <c r="AG16" i="10"/>
  <c r="C16" i="10"/>
  <c r="AK34" i="10"/>
  <c r="N35" i="10"/>
  <c r="AM33" i="10"/>
  <c r="O30" i="10"/>
  <c r="AR29" i="10"/>
  <c r="K34" i="10"/>
  <c r="H31" i="10"/>
  <c r="AW30" i="10"/>
  <c r="AW37" i="10"/>
  <c r="AA29" i="10"/>
  <c r="AC30" i="10"/>
  <c r="O28" i="10"/>
  <c r="I27" i="10"/>
  <c r="T29" i="10"/>
  <c r="Y27" i="10"/>
  <c r="AW28" i="10"/>
  <c r="V26" i="10"/>
  <c r="AV26" i="10"/>
  <c r="Q24" i="10"/>
  <c r="AF24" i="10"/>
  <c r="J23" i="10"/>
  <c r="N23" i="10"/>
  <c r="H23" i="10"/>
  <c r="AQ24" i="10"/>
  <c r="I22" i="10"/>
  <c r="AG25" i="10"/>
  <c r="AR32" i="10"/>
  <c r="F19" i="10"/>
  <c r="AB17" i="10"/>
  <c r="L18" i="10"/>
  <c r="V16" i="10"/>
  <c r="AO16" i="10"/>
  <c r="AL16" i="10"/>
  <c r="M14" i="10"/>
  <c r="E22" i="10"/>
  <c r="T34" i="10"/>
  <c r="V35" i="10"/>
  <c r="AD33" i="10"/>
  <c r="AI33" i="10"/>
  <c r="N31" i="10"/>
  <c r="E30" i="10"/>
  <c r="H34" i="10"/>
  <c r="I35" i="10"/>
  <c r="AF33" i="10"/>
  <c r="L35" i="10"/>
  <c r="AN34" i="10"/>
  <c r="Q35" i="10"/>
  <c r="U36" i="10"/>
  <c r="D35" i="10"/>
  <c r="AF36" i="10"/>
  <c r="AJ33" i="10"/>
  <c r="AO33" i="10"/>
  <c r="AG33" i="10"/>
  <c r="AH34" i="10"/>
  <c r="AS33" i="10"/>
  <c r="I33" i="10"/>
  <c r="M34" i="10"/>
  <c r="J37" i="10"/>
  <c r="D31" i="10"/>
  <c r="AB30" i="10"/>
  <c r="AP30" i="10"/>
  <c r="F37" i="10"/>
  <c r="AJ29" i="10"/>
  <c r="AA28" i="10"/>
  <c r="AI30" i="10"/>
  <c r="AL29" i="10"/>
  <c r="L27" i="10"/>
  <c r="V29" i="10"/>
  <c r="W27" i="10"/>
  <c r="AO27" i="10"/>
  <c r="AD26" i="10"/>
  <c r="W26" i="10"/>
  <c r="W25" i="10"/>
  <c r="AO24" i="10"/>
  <c r="W24" i="10"/>
  <c r="R23" i="10"/>
  <c r="AR23" i="10"/>
  <c r="AW22" i="10"/>
  <c r="M25" i="10"/>
  <c r="AJ32" i="10"/>
  <c r="AF22" i="10"/>
  <c r="AF32" i="10"/>
  <c r="AS21" i="10"/>
  <c r="AP21" i="10"/>
  <c r="C19" i="10"/>
  <c r="T20" i="10"/>
  <c r="AP17" i="10"/>
  <c r="T17" i="10"/>
  <c r="H19" i="10"/>
  <c r="AH15" i="10"/>
  <c r="F16" i="10"/>
  <c r="AV30" i="10"/>
  <c r="D28" i="10"/>
  <c r="AK29" i="10"/>
  <c r="V27" i="10"/>
  <c r="Y28" i="10"/>
  <c r="AQ26" i="10"/>
  <c r="F26" i="10"/>
  <c r="AI25" i="10"/>
  <c r="AT23" i="10"/>
  <c r="AJ23" i="10"/>
  <c r="AM23" i="10"/>
  <c r="AC24" i="10"/>
  <c r="V22" i="10"/>
  <c r="AH25" i="10"/>
  <c r="Q32" i="10"/>
  <c r="V21" i="10"/>
  <c r="AT18" i="10"/>
  <c r="V18" i="10"/>
  <c r="I17" i="10"/>
  <c r="AQ19" i="10"/>
  <c r="E16" i="10"/>
  <c r="T14" i="10"/>
  <c r="R36" i="10"/>
  <c r="AV33" i="10"/>
  <c r="AI31" i="10"/>
  <c r="AS37" i="10"/>
  <c r="U27" i="10"/>
  <c r="L26" i="10"/>
  <c r="AR26" i="10"/>
  <c r="O26" i="10"/>
  <c r="AW24" i="10"/>
  <c r="J24" i="10"/>
  <c r="AB23" i="10"/>
  <c r="U23" i="10"/>
  <c r="V32" i="10"/>
  <c r="R22" i="10"/>
  <c r="AN22" i="10"/>
  <c r="S21" i="10"/>
  <c r="AD20" i="10"/>
  <c r="G21" i="10"/>
  <c r="AV20" i="10"/>
  <c r="Z18" i="10"/>
  <c r="R17" i="10"/>
  <c r="M18" i="10"/>
  <c r="AG17" i="10"/>
  <c r="U19" i="10"/>
  <c r="AJ19" i="10"/>
  <c r="AG15" i="10"/>
  <c r="D16" i="10"/>
  <c r="AL14" i="10"/>
  <c r="F27" i="10"/>
  <c r="S24" i="10"/>
  <c r="W23" i="10"/>
  <c r="Y19" i="10"/>
  <c r="H35" i="10"/>
  <c r="AN36" i="10"/>
  <c r="Q33" i="10"/>
  <c r="N37" i="10"/>
  <c r="E31" i="10"/>
  <c r="AM36" i="10"/>
  <c r="U34" i="10"/>
  <c r="AP28" i="10"/>
  <c r="AR28" i="10"/>
  <c r="AG34" i="10"/>
  <c r="AQ34" i="10"/>
  <c r="AW35" i="10"/>
  <c r="W35" i="10"/>
  <c r="AR35" i="10"/>
  <c r="V33" i="10"/>
  <c r="AC31" i="10"/>
  <c r="D30" i="10"/>
  <c r="AK30" i="10"/>
  <c r="AC29" i="10"/>
  <c r="F33" i="10"/>
  <c r="G31" i="10"/>
  <c r="AT30" i="10"/>
  <c r="AS29" i="10"/>
  <c r="L30" i="10"/>
  <c r="AO30" i="10"/>
  <c r="S29" i="10"/>
  <c r="L28" i="10"/>
  <c r="AW29" i="10"/>
  <c r="AU27" i="10"/>
  <c r="AU34" i="10"/>
  <c r="T36" i="10"/>
  <c r="P35" i="10"/>
  <c r="R34" i="10"/>
  <c r="AG35" i="10"/>
  <c r="C36" i="10"/>
  <c r="AM35" i="10"/>
  <c r="I36" i="10"/>
  <c r="V28" i="10"/>
  <c r="Q27" i="10"/>
  <c r="G26" i="10"/>
  <c r="Q25" i="10"/>
  <c r="V24" i="10"/>
  <c r="AW23" i="10"/>
  <c r="AS23" i="10"/>
  <c r="O23" i="10"/>
  <c r="S32" i="10"/>
  <c r="O22" i="10"/>
  <c r="AT32" i="10"/>
  <c r="P22" i="10"/>
  <c r="Y20" i="10"/>
  <c r="AT20" i="10"/>
  <c r="X20" i="10"/>
  <c r="AK19" i="10"/>
  <c r="Z16" i="10"/>
  <c r="AT16" i="10"/>
  <c r="AF16" i="10"/>
  <c r="AI24" i="10"/>
  <c r="U22" i="10"/>
  <c r="AF20" i="10"/>
  <c r="AW34" i="10"/>
  <c r="AT36" i="10"/>
  <c r="AH31" i="10"/>
  <c r="V34" i="10"/>
  <c r="AA31" i="10"/>
  <c r="AU31" i="10"/>
  <c r="R30" i="10"/>
  <c r="AF29" i="10"/>
  <c r="Z34" i="10"/>
  <c r="J36" i="10"/>
  <c r="AV37" i="10"/>
  <c r="AK31" i="10"/>
  <c r="K28" i="10"/>
  <c r="AI34" i="10"/>
  <c r="G36" i="10"/>
  <c r="AU36" i="10"/>
  <c r="AP33" i="10"/>
  <c r="AP31" i="10"/>
  <c r="L34" i="10"/>
  <c r="AI37" i="10"/>
  <c r="T31" i="10"/>
  <c r="AM37" i="10"/>
  <c r="W33" i="10"/>
  <c r="T33" i="10"/>
  <c r="J34" i="10"/>
  <c r="AA33" i="10"/>
  <c r="AK37" i="10"/>
  <c r="AG31" i="10"/>
  <c r="AA30" i="10"/>
  <c r="X29" i="10"/>
  <c r="AH29" i="10"/>
  <c r="S30" i="10"/>
  <c r="P30" i="10"/>
  <c r="H28" i="10"/>
  <c r="N27" i="10"/>
  <c r="AR33" i="10"/>
  <c r="O34" i="10"/>
  <c r="X33" i="10"/>
  <c r="AM31" i="10"/>
  <c r="Z31" i="10"/>
  <c r="AD30" i="10"/>
  <c r="AP37" i="10"/>
  <c r="H29" i="10"/>
  <c r="C29" i="10"/>
  <c r="U30" i="10"/>
  <c r="K29" i="10"/>
  <c r="AJ28" i="10"/>
  <c r="P29" i="10"/>
  <c r="AM26" i="10"/>
  <c r="AF28" i="10"/>
  <c r="AM27" i="10"/>
  <c r="N26" i="10"/>
  <c r="P26" i="10"/>
  <c r="AN24" i="10"/>
  <c r="AR24" i="10"/>
  <c r="Q23" i="10"/>
  <c r="D23" i="10"/>
  <c r="AU25" i="10"/>
  <c r="AH22" i="10"/>
  <c r="AH21" i="10"/>
  <c r="AB20" i="10"/>
  <c r="AV21" i="10"/>
  <c r="AK20" i="10"/>
  <c r="AN18" i="10"/>
  <c r="AF17" i="10"/>
  <c r="AA18" i="10"/>
  <c r="D17" i="10"/>
  <c r="AA16" i="10"/>
  <c r="AM16" i="10"/>
  <c r="X15" i="10"/>
  <c r="AS25" i="10"/>
  <c r="AR25" i="10"/>
  <c r="Z24" i="10"/>
  <c r="T25" i="10"/>
  <c r="AL32" i="10"/>
  <c r="H22" i="10"/>
  <c r="X32" i="10"/>
  <c r="AT22" i="10"/>
  <c r="U21" i="10"/>
  <c r="AR21" i="10"/>
  <c r="Y17" i="10"/>
  <c r="AB18" i="10"/>
  <c r="AP20" i="10"/>
  <c r="N19" i="10"/>
  <c r="I14" i="10"/>
  <c r="AV34" i="10"/>
  <c r="AO34" i="10"/>
  <c r="AT26" i="10"/>
  <c r="V25" i="10"/>
  <c r="K24" i="10"/>
  <c r="M24" i="10"/>
  <c r="Y23" i="10"/>
  <c r="F25" i="10"/>
  <c r="M23" i="10"/>
  <c r="M22" i="10"/>
  <c r="AV22" i="10"/>
  <c r="C21" i="10"/>
  <c r="AJ20" i="10"/>
  <c r="O21" i="10"/>
  <c r="P20" i="10"/>
  <c r="J18" i="10"/>
  <c r="AT17" i="10"/>
  <c r="K18" i="10"/>
  <c r="K17" i="10"/>
  <c r="AM19" i="10"/>
  <c r="R16" i="10"/>
  <c r="Y16" i="10"/>
  <c r="D36" i="10"/>
  <c r="AT33" i="10"/>
  <c r="X30" i="10"/>
  <c r="AJ30" i="10"/>
  <c r="T28" i="10"/>
  <c r="T30" i="10"/>
  <c r="AD37" i="10"/>
  <c r="E29" i="10"/>
  <c r="V30" i="10"/>
  <c r="D29" i="10"/>
  <c r="AQ28" i="10"/>
  <c r="AS28" i="10"/>
  <c r="AJ27" i="10"/>
  <c r="AD27" i="10"/>
  <c r="AC26" i="10"/>
  <c r="R35" i="10"/>
  <c r="O36" i="10"/>
  <c r="S35" i="10"/>
  <c r="AI35" i="10"/>
  <c r="O35" i="10"/>
  <c r="AB36" i="10"/>
  <c r="AT35" i="10"/>
  <c r="N36" i="10"/>
  <c r="J33" i="10"/>
  <c r="N33" i="10"/>
  <c r="D34" i="10"/>
  <c r="AO31" i="10"/>
  <c r="AF34" i="10"/>
  <c r="AR31" i="10"/>
  <c r="Q30" i="10"/>
  <c r="W29" i="10"/>
  <c r="W30" i="10"/>
  <c r="I30" i="10"/>
  <c r="AU29" i="10"/>
  <c r="Q28" i="10"/>
  <c r="Q26" i="10"/>
  <c r="R27" i="10"/>
  <c r="N25" i="10"/>
  <c r="AM25" i="10"/>
  <c r="AU22" i="10"/>
  <c r="L32" i="10"/>
  <c r="G22" i="10"/>
  <c r="AB32" i="10"/>
  <c r="N22" i="10"/>
  <c r="AG22" i="10"/>
  <c r="AK21" i="10"/>
  <c r="E18" i="10"/>
  <c r="AW17" i="10"/>
  <c r="AU20" i="10"/>
  <c r="Q19" i="10"/>
  <c r="AI16" i="10"/>
  <c r="AQ35" i="10"/>
  <c r="AN33" i="10"/>
  <c r="AD34" i="10"/>
  <c r="T37" i="10"/>
  <c r="AG29" i="10"/>
  <c r="K30" i="10"/>
  <c r="S28" i="10"/>
  <c r="E27" i="10"/>
  <c r="M26" i="10"/>
  <c r="J26" i="10"/>
  <c r="X31" i="10"/>
  <c r="AT31" i="10"/>
  <c r="AL31" i="10"/>
  <c r="AQ31" i="10"/>
  <c r="AQ30" i="10"/>
  <c r="Z33" i="10"/>
  <c r="AW31" i="10"/>
  <c r="Q31" i="10"/>
  <c r="AS34" i="10"/>
  <c r="F31" i="10"/>
  <c r="AN30" i="10"/>
  <c r="AB37" i="10"/>
  <c r="G29" i="10"/>
  <c r="AR30" i="10"/>
  <c r="AV29" i="10"/>
  <c r="AO28" i="10"/>
  <c r="AQ27" i="10"/>
  <c r="AN26" i="10"/>
  <c r="Z27" i="10"/>
  <c r="AB26" i="10"/>
  <c r="AD25" i="10"/>
  <c r="C24" i="10"/>
  <c r="AB24" i="10"/>
  <c r="AK23" i="10"/>
  <c r="Z22" i="10"/>
  <c r="F32" i="10"/>
  <c r="W32" i="10"/>
  <c r="C22" i="10"/>
  <c r="AS22" i="10"/>
  <c r="AQ21" i="10"/>
  <c r="AW21" i="10"/>
  <c r="E20" i="10"/>
  <c r="AA19" i="10"/>
  <c r="AL19" i="10"/>
  <c r="K20" i="10"/>
  <c r="AW18" i="10"/>
  <c r="AD19" i="10"/>
  <c r="AR16" i="10"/>
  <c r="AB16" i="10"/>
  <c r="D12" i="10"/>
  <c r="C35" i="10"/>
  <c r="AJ34" i="10"/>
  <c r="T35" i="10"/>
  <c r="AH35" i="10"/>
  <c r="M33" i="10"/>
  <c r="AR27" i="10"/>
  <c r="I26" i="10"/>
  <c r="E25" i="10"/>
  <c r="AA24" i="10"/>
  <c r="L24" i="10"/>
  <c r="AJ24" i="10"/>
  <c r="U25" i="10"/>
  <c r="AK22" i="10"/>
  <c r="AN32" i="10"/>
  <c r="X22" i="10"/>
  <c r="K32" i="10"/>
  <c r="AR22" i="10"/>
  <c r="P21" i="10"/>
  <c r="AI19" i="10"/>
  <c r="L20" i="10"/>
  <c r="S17" i="10"/>
  <c r="AA20" i="10"/>
  <c r="AP16" i="10"/>
  <c r="AD14" i="10"/>
  <c r="R12" i="10"/>
  <c r="AD21" i="10"/>
  <c r="AJ35" i="10"/>
  <c r="W36" i="10"/>
  <c r="F35" i="10"/>
  <c r="G35" i="10"/>
  <c r="AB35" i="10"/>
  <c r="K33" i="10"/>
  <c r="AU33" i="10"/>
  <c r="H33" i="10"/>
  <c r="L33" i="10"/>
  <c r="S31" i="10"/>
  <c r="M31" i="10"/>
  <c r="Y31" i="10"/>
  <c r="L29" i="10"/>
  <c r="AM30" i="10"/>
  <c r="AQ29" i="10"/>
  <c r="G28" i="10"/>
  <c r="AH28" i="10"/>
  <c r="C27" i="10"/>
  <c r="Z26" i="10"/>
  <c r="AK26" i="10"/>
  <c r="P27" i="10"/>
  <c r="AC33" i="10"/>
  <c r="P34" i="10"/>
  <c r="L31" i="10"/>
  <c r="I34" i="10"/>
  <c r="O31" i="10"/>
  <c r="Y30" i="10"/>
  <c r="AU28" i="10"/>
  <c r="AD29" i="10"/>
  <c r="AF30" i="10"/>
  <c r="U29" i="10"/>
  <c r="AK28" i="10"/>
  <c r="AF27" i="10"/>
  <c r="R26" i="10"/>
  <c r="Y26" i="10"/>
  <c r="H26" i="10"/>
  <c r="Y25" i="10"/>
  <c r="C25" i="10"/>
  <c r="AM24" i="10"/>
  <c r="F24" i="10"/>
  <c r="Y32" i="10"/>
  <c r="Z32" i="10"/>
  <c r="AV25" i="10"/>
  <c r="D21" i="10"/>
  <c r="AC21" i="10"/>
  <c r="AN20" i="10"/>
  <c r="AO19" i="10"/>
  <c r="AP19" i="10"/>
  <c r="I20" i="10"/>
  <c r="R18" i="10"/>
  <c r="X17" i="10"/>
  <c r="X18" i="10"/>
  <c r="N16" i="10"/>
  <c r="AW14" i="10"/>
  <c r="T15" i="10"/>
  <c r="J14" i="10"/>
  <c r="AJ14" i="10"/>
  <c r="AH14" i="10"/>
  <c r="AQ15" i="10"/>
  <c r="M15" i="10"/>
  <c r="AF14" i="10"/>
  <c r="AM14" i="10"/>
  <c r="Y14" i="10"/>
  <c r="AF15" i="10"/>
  <c r="W18" i="10"/>
  <c r="AU18" i="10"/>
  <c r="AL18" i="10"/>
  <c r="W17" i="10"/>
  <c r="U17" i="10"/>
  <c r="L17" i="10"/>
  <c r="AW19" i="10"/>
  <c r="S16" i="10"/>
  <c r="T16" i="10"/>
  <c r="E19" i="10"/>
  <c r="C17" i="10"/>
  <c r="AW16" i="10"/>
  <c r="P16" i="10"/>
  <c r="AA15" i="10"/>
  <c r="I16" i="10"/>
  <c r="W15" i="10"/>
  <c r="AU16" i="10"/>
  <c r="AG14" i="10"/>
  <c r="AD15" i="10"/>
  <c r="P14" i="10"/>
  <c r="AF12" i="10"/>
  <c r="E32" i="10"/>
  <c r="D32" i="10"/>
  <c r="L22" i="10"/>
  <c r="AQ32" i="10"/>
  <c r="K22" i="10"/>
  <c r="I32" i="10"/>
  <c r="E21" i="10"/>
  <c r="L21" i="10"/>
  <c r="AO20" i="10"/>
  <c r="AU21" i="10"/>
  <c r="K21" i="10"/>
  <c r="AG20" i="10"/>
  <c r="L19" i="10"/>
  <c r="D19" i="10"/>
  <c r="AL20" i="10"/>
  <c r="T19" i="10"/>
  <c r="K19" i="10"/>
  <c r="V17" i="10"/>
  <c r="AJ18" i="10"/>
  <c r="AK18" i="10"/>
  <c r="AA17" i="10"/>
  <c r="AD17" i="10"/>
  <c r="AQ17" i="10"/>
  <c r="AK17" i="10"/>
  <c r="W20" i="10"/>
  <c r="AK16" i="10"/>
  <c r="AV17" i="10"/>
  <c r="H17" i="10"/>
  <c r="AQ16" i="10"/>
  <c r="J15" i="10"/>
  <c r="AL15" i="10"/>
  <c r="AH16" i="10"/>
  <c r="AB15" i="10"/>
  <c r="U16" i="10"/>
  <c r="Z14" i="10"/>
  <c r="AV15" i="10"/>
  <c r="AP15" i="10"/>
  <c r="J12" i="10"/>
  <c r="K23" i="10"/>
  <c r="C23" i="10"/>
  <c r="AU23" i="10"/>
  <c r="E24" i="10"/>
  <c r="AU32" i="10"/>
  <c r="X23" i="10"/>
  <c r="AI22" i="10"/>
  <c r="Z25" i="10"/>
  <c r="AA22" i="10"/>
  <c r="T32" i="10"/>
  <c r="AL22" i="10"/>
  <c r="AH32" i="10"/>
  <c r="S22" i="10"/>
  <c r="AO32" i="10"/>
  <c r="AB21" i="10"/>
  <c r="AM21" i="10"/>
  <c r="V20" i="10"/>
  <c r="I21" i="10"/>
  <c r="AA21" i="10"/>
  <c r="O20" i="10"/>
  <c r="AW20" i="10"/>
  <c r="G19" i="10"/>
  <c r="D18" i="10"/>
  <c r="O19" i="10"/>
  <c r="AV19" i="10"/>
  <c r="J20" i="10"/>
  <c r="AI18" i="10"/>
  <c r="AF18" i="10"/>
  <c r="E17" i="10"/>
  <c r="AM18" i="10"/>
  <c r="AO17" i="10"/>
  <c r="J17" i="10"/>
  <c r="I19" i="10"/>
  <c r="Q16" i="10"/>
  <c r="H16" i="10"/>
  <c r="S18" i="10"/>
  <c r="M17" i="10"/>
  <c r="G16" i="10"/>
  <c r="AT15" i="10"/>
  <c r="AM15" i="10"/>
  <c r="Q15" i="10"/>
  <c r="S15" i="10"/>
  <c r="AS16" i="10"/>
  <c r="H14" i="10"/>
  <c r="P15" i="10"/>
  <c r="AC15" i="10"/>
  <c r="K12" i="10"/>
  <c r="AC32" i="10"/>
  <c r="AJ25" i="10"/>
  <c r="AA32" i="10"/>
  <c r="AI21" i="10"/>
  <c r="F21" i="10"/>
  <c r="Z20" i="10"/>
  <c r="AT21" i="10"/>
  <c r="Y21" i="10"/>
  <c r="Q20" i="10"/>
  <c r="C20" i="10"/>
  <c r="AB19" i="10"/>
  <c r="AH19" i="10"/>
  <c r="AC19" i="10"/>
  <c r="S20" i="10"/>
  <c r="C18" i="10"/>
  <c r="P18" i="10"/>
  <c r="F18" i="10"/>
  <c r="AD18" i="10"/>
  <c r="Z17" i="10"/>
  <c r="AU17" i="10"/>
  <c r="D20" i="10"/>
  <c r="W16" i="10"/>
  <c r="AJ16" i="10"/>
  <c r="N18" i="10"/>
  <c r="AJ17" i="10"/>
  <c r="AC16" i="10"/>
  <c r="G15" i="10"/>
  <c r="AR15" i="10"/>
  <c r="L15" i="10"/>
  <c r="H15" i="10"/>
  <c r="G14" i="10"/>
  <c r="AO14" i="10"/>
  <c r="N15" i="10"/>
  <c r="AW15" i="10"/>
  <c r="I12" i="10"/>
  <c r="AO26" i="10"/>
  <c r="AJ26" i="10"/>
  <c r="AF26" i="10"/>
  <c r="AP25" i="10"/>
  <c r="K25" i="10"/>
  <c r="AT25" i="10"/>
  <c r="D24" i="10"/>
  <c r="R24" i="10"/>
  <c r="AU24" i="10"/>
  <c r="AG23" i="10"/>
  <c r="G24" i="10"/>
  <c r="T23" i="10"/>
  <c r="AI23" i="10"/>
  <c r="AL23" i="10"/>
  <c r="R32" i="10"/>
  <c r="G23" i="10"/>
  <c r="H32" i="10"/>
  <c r="AD32" i="10"/>
  <c r="Y22" i="10"/>
  <c r="N32" i="10"/>
  <c r="AP22" i="10"/>
  <c r="C32" i="10"/>
  <c r="D25" i="10"/>
  <c r="AP32" i="10"/>
  <c r="X21" i="10"/>
  <c r="W21" i="10"/>
  <c r="AH20" i="10"/>
  <c r="AJ21" i="10"/>
  <c r="Q21" i="10"/>
  <c r="AQ20" i="10"/>
  <c r="AS20" i="10"/>
  <c r="W19" i="10"/>
  <c r="T18" i="10"/>
  <c r="M19" i="10"/>
  <c r="AR19" i="10"/>
  <c r="N20" i="10"/>
  <c r="Y18" i="10"/>
  <c r="G18" i="10"/>
  <c r="AL17" i="10"/>
  <c r="AC18" i="10"/>
  <c r="F17" i="10"/>
  <c r="Q17" i="10"/>
  <c r="AF19" i="10"/>
  <c r="X16" i="10"/>
  <c r="AN19" i="10"/>
  <c r="AV18" i="10"/>
  <c r="N17" i="10"/>
  <c r="K16" i="10"/>
  <c r="E15" i="10"/>
  <c r="AN15" i="10"/>
  <c r="R15" i="10"/>
  <c r="F15" i="10"/>
  <c r="U14" i="10"/>
  <c r="C14" i="10"/>
  <c r="V15" i="10"/>
  <c r="U15" i="10"/>
  <c r="AM12" i="10"/>
  <c r="Y43" i="10"/>
  <c r="AQ48" i="10"/>
  <c r="AV48" i="10"/>
  <c r="AM41" i="10"/>
  <c r="Z49" i="10"/>
  <c r="AH48" i="10"/>
  <c r="AS40" i="10"/>
  <c r="AS42" i="10"/>
  <c r="L44" i="10"/>
  <c r="H43" i="10"/>
  <c r="AN41" i="10"/>
  <c r="E44" i="10"/>
  <c r="AJ45" i="10"/>
  <c r="U40" i="10"/>
  <c r="AV42" i="10"/>
  <c r="AC48" i="10"/>
  <c r="Z43" i="10"/>
  <c r="AQ47" i="10"/>
  <c r="AV49" i="10"/>
  <c r="AP41" i="10"/>
  <c r="M43" i="10"/>
  <c r="AU43" i="10"/>
  <c r="AG46" i="10"/>
  <c r="L42" i="10"/>
  <c r="S45" i="10"/>
  <c r="AV50" i="10"/>
  <c r="E46" i="10"/>
  <c r="W43" i="10"/>
  <c r="I44" i="10"/>
  <c r="AB46" i="10"/>
  <c r="I43" i="10"/>
  <c r="D45" i="10"/>
  <c r="AL45" i="10"/>
  <c r="N43" i="10"/>
  <c r="AF43" i="10"/>
  <c r="AB44" i="10"/>
  <c r="K43" i="10"/>
  <c r="N42" i="10"/>
  <c r="T48" i="10"/>
  <c r="AT48" i="10"/>
  <c r="AT41" i="10"/>
  <c r="H50" i="10"/>
  <c r="AM40" i="10"/>
  <c r="AS46" i="10"/>
  <c r="P40" i="10"/>
  <c r="T46" i="10"/>
  <c r="AK46" i="10"/>
  <c r="K40" i="10"/>
  <c r="X40" i="10"/>
  <c r="AN46" i="10"/>
  <c r="Y39" i="10"/>
  <c r="S39" i="10"/>
  <c r="L39" i="10"/>
  <c r="G42" i="10"/>
  <c r="AR46" i="10"/>
  <c r="AK45" i="10"/>
  <c r="AG45" i="10"/>
  <c r="L45" i="10"/>
  <c r="AD45" i="10"/>
  <c r="U45" i="10"/>
  <c r="AA42" i="10"/>
  <c r="V44" i="10"/>
  <c r="AU44" i="10"/>
  <c r="D42" i="10"/>
  <c r="AK42" i="10"/>
  <c r="N44" i="10"/>
  <c r="AJ42" i="10"/>
  <c r="Q48" i="10"/>
  <c r="E42" i="10"/>
  <c r="F43" i="10"/>
  <c r="G48" i="10"/>
  <c r="F41" i="10"/>
  <c r="O41" i="10"/>
  <c r="AO50" i="10"/>
  <c r="W48" i="10"/>
  <c r="AH46" i="10"/>
  <c r="AU40" i="10"/>
  <c r="M40" i="10"/>
  <c r="E40" i="10"/>
  <c r="AF46" i="10"/>
  <c r="AF39" i="10"/>
  <c r="F38" i="10"/>
  <c r="J38" i="10"/>
  <c r="AA39" i="10"/>
  <c r="X38" i="10"/>
  <c r="Z37" i="10"/>
  <c r="D37" i="10"/>
  <c r="H39" i="10"/>
  <c r="AB38" i="10"/>
  <c r="Z35" i="10"/>
  <c r="AG44" i="10"/>
  <c r="AM48" i="10"/>
  <c r="AT42" i="10"/>
  <c r="S43" i="10"/>
  <c r="AG41" i="10"/>
  <c r="AT40" i="10"/>
  <c r="V43" i="10"/>
  <c r="AC44" i="10"/>
  <c r="AR45" i="10"/>
  <c r="G43" i="10"/>
  <c r="G45" i="10"/>
  <c r="U44" i="10"/>
  <c r="AG49" i="10"/>
  <c r="AL43" i="10"/>
  <c r="AJ44" i="10"/>
  <c r="U41" i="10"/>
  <c r="I48" i="10"/>
  <c r="T41" i="10"/>
  <c r="J46" i="10"/>
  <c r="Y46" i="10"/>
  <c r="AQ46" i="10"/>
  <c r="AU46" i="10"/>
  <c r="W47" i="10"/>
  <c r="AI47" i="10"/>
  <c r="R39" i="10"/>
  <c r="Y38" i="10"/>
  <c r="M36" i="10"/>
  <c r="L36" i="10"/>
  <c r="N40" i="10"/>
  <c r="AR47" i="10"/>
  <c r="AT39" i="10"/>
  <c r="AL47" i="10"/>
  <c r="AD46" i="10"/>
  <c r="AA47" i="10"/>
  <c r="G39" i="10"/>
  <c r="AN47" i="10"/>
  <c r="J47" i="10"/>
  <c r="AI39" i="10"/>
  <c r="AW39" i="10"/>
  <c r="AL38" i="10"/>
  <c r="AP38" i="10"/>
  <c r="AA37" i="10"/>
  <c r="S37" i="10"/>
  <c r="AC39" i="10"/>
  <c r="AA38" i="10"/>
  <c r="AG36" i="10"/>
  <c r="AP36" i="10"/>
  <c r="AD35" i="10"/>
  <c r="AL46" i="10"/>
  <c r="AM46" i="10"/>
  <c r="AS47" i="10"/>
  <c r="AJ39" i="10"/>
  <c r="D47" i="10"/>
  <c r="G46" i="10"/>
  <c r="I47" i="10"/>
  <c r="AQ39" i="10"/>
  <c r="N38" i="10"/>
  <c r="AU47" i="10"/>
  <c r="AR38" i="10"/>
  <c r="AO39" i="10"/>
  <c r="AT38" i="10"/>
  <c r="AM38" i="10"/>
  <c r="G37" i="10"/>
  <c r="D39" i="10"/>
  <c r="AF38" i="10"/>
  <c r="K36" i="10"/>
  <c r="AU35" i="10"/>
  <c r="AP42" i="10"/>
  <c r="M41" i="10"/>
  <c r="AL49" i="10"/>
  <c r="J44" i="10"/>
  <c r="AN49" i="10"/>
  <c r="AP45" i="10"/>
  <c r="AN42" i="10"/>
  <c r="AA43" i="10"/>
  <c r="M44" i="10"/>
  <c r="AQ44" i="10"/>
  <c r="AH43" i="10"/>
  <c r="T43" i="10"/>
  <c r="AS43" i="10"/>
  <c r="AB42" i="10"/>
  <c r="AD44" i="10"/>
  <c r="K42" i="10"/>
  <c r="U42" i="10"/>
  <c r="AW42" i="10"/>
  <c r="L48" i="10"/>
  <c r="AA48" i="10"/>
  <c r="H48" i="10"/>
  <c r="AH41" i="10"/>
  <c r="AO41" i="10"/>
  <c r="AK47" i="10"/>
  <c r="AR39" i="10"/>
  <c r="G47" i="10"/>
  <c r="T38" i="10"/>
  <c r="AK38" i="10"/>
  <c r="AM39" i="10"/>
  <c r="AG38" i="10"/>
  <c r="E38" i="10"/>
  <c r="H37" i="10"/>
  <c r="AQ37" i="10"/>
  <c r="AL39" i="10"/>
  <c r="P37" i="10"/>
  <c r="P36" i="10"/>
  <c r="AQ36" i="10"/>
  <c r="AO36" i="10"/>
  <c r="S41" i="10"/>
  <c r="AI48" i="10"/>
  <c r="I50" i="10"/>
  <c r="P41" i="10"/>
  <c r="AF40" i="10"/>
  <c r="D40" i="10"/>
  <c r="J40" i="10"/>
  <c r="AP40" i="10"/>
  <c r="K47" i="10"/>
  <c r="S46" i="10"/>
  <c r="Y40" i="10"/>
  <c r="K46" i="10"/>
  <c r="AH47" i="10"/>
  <c r="P47" i="10"/>
  <c r="AO46" i="10"/>
  <c r="AJ47" i="10"/>
  <c r="C38" i="10"/>
  <c r="Q39" i="10"/>
  <c r="K37" i="10"/>
  <c r="Y37" i="10"/>
  <c r="O39" i="10"/>
  <c r="AO37" i="10"/>
  <c r="E36" i="10"/>
  <c r="AA36" i="10"/>
  <c r="J49" i="10"/>
  <c r="AI44" i="10"/>
  <c r="AL42" i="10"/>
  <c r="AH42" i="10"/>
  <c r="R41" i="10"/>
  <c r="AH45" i="10"/>
  <c r="L41" i="10"/>
  <c r="X41" i="10"/>
  <c r="H40" i="10"/>
  <c r="AO47" i="10"/>
  <c r="AP46" i="10"/>
  <c r="AN40" i="10"/>
  <c r="AT46" i="10"/>
  <c r="AD40" i="10"/>
  <c r="AD39" i="10"/>
  <c r="O47" i="10"/>
  <c r="I39" i="10"/>
  <c r="Q47" i="10"/>
  <c r="W38" i="10"/>
  <c r="AD47" i="10"/>
  <c r="AS38" i="10"/>
  <c r="AS36" i="10"/>
  <c r="Z41" i="10"/>
  <c r="AF44" i="10"/>
  <c r="AP44" i="10"/>
  <c r="AQ43" i="10"/>
  <c r="AK48" i="10"/>
  <c r="AO42" i="10"/>
  <c r="AJ48" i="10"/>
  <c r="AV41" i="10"/>
  <c r="O48" i="10"/>
  <c r="L46" i="10"/>
  <c r="AG40" i="10"/>
  <c r="V47" i="10"/>
  <c r="L40" i="10"/>
  <c r="AB40" i="10"/>
  <c r="K39" i="10"/>
  <c r="M47" i="10"/>
  <c r="U39" i="10"/>
  <c r="X39" i="10"/>
  <c r="G38" i="10"/>
  <c r="D38" i="10"/>
  <c r="S47" i="10"/>
  <c r="AW47" i="10"/>
  <c r="K38" i="10"/>
  <c r="U37" i="10"/>
  <c r="E39" i="10"/>
  <c r="AH37" i="10"/>
  <c r="AW36" i="10"/>
  <c r="AC35" i="10"/>
  <c r="AR36" i="10"/>
  <c r="Z38" i="10"/>
  <c r="AB39" i="10"/>
  <c r="W37" i="10"/>
  <c r="H46" i="10"/>
  <c r="Z44" i="10"/>
  <c r="U48" i="10"/>
  <c r="U50" i="10"/>
  <c r="AT47" i="10"/>
  <c r="AP43" i="10"/>
  <c r="T42" i="10"/>
  <c r="AM42" i="10"/>
  <c r="AO48" i="10"/>
  <c r="AM50" i="10"/>
  <c r="V49" i="10"/>
  <c r="AQ42" i="10"/>
  <c r="D43" i="10"/>
  <c r="I42" i="10"/>
  <c r="P48" i="10"/>
  <c r="AB41" i="10"/>
  <c r="V41" i="10"/>
  <c r="AF48" i="10"/>
  <c r="AK41" i="10"/>
  <c r="Q40" i="10"/>
  <c r="F46" i="10"/>
  <c r="AU45" i="10"/>
  <c r="H45" i="10"/>
  <c r="C44" i="10"/>
  <c r="AF49" i="10"/>
  <c r="AT43" i="10"/>
  <c r="P42" i="10"/>
  <c r="L43" i="10"/>
  <c r="AH44" i="10"/>
  <c r="R44" i="10"/>
  <c r="H42" i="10"/>
  <c r="AC42" i="10"/>
  <c r="F48" i="10"/>
  <c r="D48" i="10"/>
  <c r="Y41" i="10"/>
  <c r="AA41" i="10"/>
  <c r="AQ41" i="10"/>
  <c r="AN48" i="10"/>
  <c r="N48" i="10"/>
  <c r="AI41" i="10"/>
  <c r="R46" i="10"/>
  <c r="AI40" i="10"/>
  <c r="AK40" i="10"/>
  <c r="V46" i="10"/>
  <c r="X47" i="10"/>
  <c r="AC46" i="10"/>
  <c r="AR40" i="10"/>
  <c r="AJ40" i="10"/>
  <c r="AC47" i="10"/>
  <c r="AG39" i="10"/>
  <c r="T47" i="10"/>
  <c r="AJ38" i="10"/>
  <c r="M38" i="10"/>
  <c r="AK39" i="10"/>
  <c r="AW38" i="10"/>
  <c r="AN39" i="10"/>
  <c r="E47" i="10"/>
  <c r="AO38" i="10"/>
  <c r="V37" i="10"/>
  <c r="AC37" i="10"/>
  <c r="Q38" i="10"/>
  <c r="C37" i="10"/>
  <c r="AK36" i="10"/>
  <c r="AH36" i="10"/>
  <c r="AV36" i="10"/>
  <c r="N45" i="10"/>
  <c r="AT44" i="10"/>
  <c r="AR44" i="10"/>
  <c r="AI43" i="10"/>
  <c r="AU48" i="10"/>
  <c r="AW40" i="10"/>
  <c r="T49" i="10"/>
  <c r="AW44" i="10"/>
  <c r="AK44" i="10"/>
  <c r="R42" i="10"/>
  <c r="J48" i="10"/>
  <c r="H41" i="10"/>
  <c r="R40" i="10"/>
  <c r="Q44" i="10"/>
  <c r="Q43" i="10"/>
  <c r="C42" i="10"/>
  <c r="AS44" i="10"/>
  <c r="X48" i="10"/>
  <c r="AN43" i="10"/>
  <c r="AF41" i="10"/>
  <c r="AW46" i="10"/>
  <c r="AS39" i="10"/>
  <c r="T40" i="10"/>
  <c r="C46" i="10"/>
  <c r="L47" i="10"/>
  <c r="AL40" i="10"/>
  <c r="AV47" i="10"/>
  <c r="O40" i="10"/>
  <c r="Z46" i="10"/>
  <c r="P39" i="10"/>
  <c r="U47" i="10"/>
  <c r="P38" i="10"/>
  <c r="AU38" i="10"/>
  <c r="N39" i="10"/>
  <c r="S38" i="10"/>
  <c r="O38" i="10"/>
  <c r="R47" i="10"/>
  <c r="AU37" i="10"/>
  <c r="Q37" i="10"/>
  <c r="E37" i="10"/>
  <c r="AD38" i="10"/>
  <c r="O37" i="10"/>
  <c r="F36" i="10"/>
  <c r="AO35" i="10"/>
  <c r="H36" i="10"/>
  <c r="AD49" i="10"/>
  <c r="P43" i="10"/>
  <c r="AW48" i="10"/>
  <c r="F40" i="10"/>
  <c r="AM49" i="10"/>
  <c r="W45" i="10"/>
  <c r="F44" i="10"/>
  <c r="Z42" i="10"/>
  <c r="AC41" i="10"/>
  <c r="P46" i="10"/>
  <c r="R45" i="10"/>
  <c r="Y45" i="10"/>
  <c r="S44" i="10"/>
  <c r="AK49" i="10"/>
  <c r="X43" i="10"/>
  <c r="M42" i="10"/>
  <c r="AB43" i="10"/>
  <c r="AV44" i="10"/>
  <c r="P44" i="10"/>
  <c r="AO44" i="10"/>
  <c r="J43" i="10"/>
  <c r="U43" i="10"/>
  <c r="AI42" i="10"/>
  <c r="X44" i="10"/>
  <c r="AD48" i="10"/>
  <c r="W42" i="10"/>
  <c r="C43" i="10"/>
  <c r="AD41" i="10"/>
  <c r="Z48" i="10"/>
  <c r="AL48" i="10"/>
  <c r="J41" i="10"/>
  <c r="AJ41" i="10"/>
  <c r="AS41" i="10"/>
  <c r="M48" i="10"/>
  <c r="C48" i="10"/>
  <c r="K41" i="10"/>
  <c r="AJ46" i="10"/>
  <c r="AQ40" i="10"/>
  <c r="O46" i="10"/>
  <c r="AV39" i="10"/>
  <c r="E43" i="10"/>
  <c r="AD43" i="10"/>
  <c r="J42" i="10"/>
  <c r="Q41" i="10"/>
  <c r="AC43" i="10"/>
  <c r="AH40" i="10"/>
  <c r="E45" i="10"/>
  <c r="N49" i="10"/>
  <c r="AG42" i="10"/>
  <c r="K44" i="10"/>
  <c r="O44" i="10"/>
  <c r="AN44" i="10"/>
  <c r="D44" i="10"/>
  <c r="O43" i="10"/>
  <c r="AG43" i="10"/>
  <c r="AF42" i="10"/>
  <c r="O42" i="10"/>
  <c r="AB48" i="10"/>
  <c r="AR42" i="10"/>
  <c r="AW43" i="10"/>
  <c r="W41" i="10"/>
  <c r="K48" i="10"/>
  <c r="AG48" i="10"/>
  <c r="G41" i="10"/>
  <c r="I41" i="10"/>
  <c r="AL41" i="10"/>
  <c r="S48" i="10"/>
  <c r="V40" i="10"/>
  <c r="X46" i="10"/>
  <c r="W40" i="10"/>
  <c r="AA46" i="10"/>
  <c r="I40" i="10"/>
  <c r="G40" i="10"/>
  <c r="F39" i="10"/>
  <c r="I46" i="10"/>
  <c r="T39" i="10"/>
  <c r="AU39" i="10"/>
  <c r="L38" i="10"/>
  <c r="C47" i="10"/>
  <c r="V39" i="10"/>
  <c r="AC38" i="10"/>
  <c r="I38" i="10"/>
  <c r="AP47" i="10"/>
  <c r="M37" i="10"/>
  <c r="I37" i="10"/>
  <c r="R37" i="10"/>
  <c r="AN38" i="10"/>
  <c r="AF37" i="10"/>
  <c r="Q36" i="10"/>
  <c r="U35" i="10"/>
  <c r="AC36" i="10"/>
  <c r="M46" i="10"/>
  <c r="AI46" i="10"/>
  <c r="AF47" i="10"/>
  <c r="Z47" i="10"/>
  <c r="R48" i="10"/>
  <c r="D41" i="10"/>
  <c r="E41" i="10"/>
  <c r="C41" i="10"/>
  <c r="AC50" i="10"/>
  <c r="AP48" i="10"/>
  <c r="AC40" i="10"/>
  <c r="D46" i="10"/>
  <c r="S40" i="10"/>
  <c r="AA40" i="10"/>
  <c r="W46" i="10"/>
  <c r="AV46" i="10"/>
  <c r="U46" i="10"/>
  <c r="Z40" i="10"/>
  <c r="N46" i="10"/>
  <c r="Z39" i="10"/>
  <c r="N47" i="10"/>
  <c r="AI38" i="10"/>
  <c r="U38" i="10"/>
  <c r="J39" i="10"/>
  <c r="V38" i="10"/>
  <c r="AV38" i="10"/>
  <c r="AB47" i="10"/>
  <c r="AR37" i="10"/>
  <c r="AL37" i="10"/>
  <c r="W39" i="10"/>
  <c r="AQ38" i="10"/>
  <c r="AT37" i="10"/>
  <c r="X36" i="10"/>
  <c r="AA35" i="10"/>
  <c r="Y36" i="10"/>
  <c r="AV40" i="10"/>
  <c r="AN45" i="10"/>
  <c r="AK43" i="10"/>
  <c r="S42" i="10"/>
  <c r="V48" i="10"/>
  <c r="AV43" i="10"/>
  <c r="G44" i="10"/>
  <c r="AL44" i="10"/>
  <c r="AQ45" i="10"/>
  <c r="AD42" i="10"/>
  <c r="R43" i="10"/>
  <c r="AR43" i="10"/>
  <c r="X42" i="10"/>
  <c r="AO43" i="10"/>
  <c r="AR41" i="10"/>
  <c r="E48" i="10"/>
  <c r="H47" i="10"/>
  <c r="AH39" i="10"/>
  <c r="AM47" i="10"/>
  <c r="C40" i="10"/>
  <c r="AM45" i="10"/>
  <c r="W44" i="10"/>
  <c r="AJ43" i="10"/>
  <c r="H44" i="10"/>
  <c r="AA44" i="10"/>
  <c r="AM44" i="10"/>
  <c r="Q42" i="10"/>
  <c r="AR48" i="10"/>
  <c r="Y42" i="10"/>
  <c r="Y44" i="10"/>
  <c r="T44" i="10"/>
  <c r="F42" i="10"/>
  <c r="V42" i="10"/>
  <c r="AU42" i="10"/>
  <c r="AM43" i="10"/>
  <c r="AW41" i="10"/>
  <c r="AS48" i="10"/>
  <c r="AU41" i="10"/>
  <c r="N41" i="10"/>
  <c r="Y48" i="10"/>
  <c r="AO40" i="10"/>
  <c r="Q46" i="10"/>
  <c r="AG47" i="10"/>
  <c r="M39" i="10"/>
  <c r="AH38" i="10"/>
  <c r="F47" i="10"/>
  <c r="C39" i="10"/>
  <c r="H38" i="10"/>
  <c r="Y47" i="10"/>
  <c r="X37" i="10"/>
  <c r="L37" i="10"/>
  <c r="AP39" i="10"/>
  <c r="R38" i="10"/>
  <c r="AN37" i="10"/>
  <c r="AJ36" i="10"/>
  <c r="K35" i="10"/>
  <c r="AA34" i="10"/>
  <c r="C53" i="10"/>
  <c r="D49" i="10"/>
  <c r="Q55" i="10"/>
  <c r="AA51" i="10"/>
  <c r="Y49" i="10"/>
  <c r="E58" i="10"/>
  <c r="AA55" i="10"/>
  <c r="N56" i="10"/>
  <c r="AF51" i="10"/>
  <c r="Q54" i="10"/>
  <c r="P55" i="10"/>
  <c r="T50" i="10"/>
  <c r="T58" i="10"/>
  <c r="W56" i="10"/>
  <c r="M58" i="10"/>
  <c r="AH56" i="10"/>
  <c r="AQ56" i="10"/>
  <c r="V55" i="10"/>
  <c r="R54" i="10"/>
  <c r="AW54" i="10"/>
  <c r="D53" i="10"/>
  <c r="AG55" i="10"/>
  <c r="O55" i="10"/>
  <c r="X51" i="10"/>
  <c r="AS56" i="10"/>
  <c r="W55" i="10"/>
  <c r="K52" i="10"/>
  <c r="AT50" i="10"/>
  <c r="R52" i="10"/>
  <c r="AV52" i="10"/>
  <c r="AB54" i="10"/>
  <c r="O53" i="10"/>
  <c r="AW49" i="10"/>
  <c r="AC57" i="10"/>
  <c r="T56" i="10"/>
  <c r="S56" i="10"/>
  <c r="F56" i="10"/>
  <c r="AF52" i="10"/>
  <c r="AH52" i="10"/>
  <c r="AS51" i="10"/>
  <c r="AB49" i="10"/>
  <c r="AR50" i="10"/>
  <c r="AI49" i="10"/>
  <c r="AI50" i="10"/>
  <c r="G50" i="10"/>
  <c r="AV45" i="10"/>
  <c r="X58" i="10"/>
  <c r="AR54" i="10"/>
  <c r="AK58" i="10"/>
  <c r="L58" i="10"/>
  <c r="AU55" i="10"/>
  <c r="D55" i="10"/>
  <c r="AI51" i="10"/>
  <c r="Y58" i="10"/>
  <c r="AN56" i="10"/>
  <c r="AU54" i="10"/>
  <c r="AV56" i="10"/>
  <c r="AF55" i="10"/>
  <c r="AV54" i="10"/>
  <c r="S54" i="10"/>
  <c r="AN55" i="10"/>
  <c r="Z54" i="10"/>
  <c r="AU53" i="10"/>
  <c r="AC53" i="10"/>
  <c r="S55" i="10"/>
  <c r="AV53" i="10"/>
  <c r="AU56" i="10"/>
  <c r="M53" i="10"/>
  <c r="AR53" i="10"/>
  <c r="AQ54" i="10"/>
  <c r="T55" i="10"/>
  <c r="H52" i="10"/>
  <c r="U52" i="10"/>
  <c r="AA49" i="10"/>
  <c r="O51" i="10"/>
  <c r="AJ49" i="10"/>
  <c r="R51" i="10"/>
  <c r="AO45" i="10"/>
  <c r="AD54" i="10"/>
  <c r="K54" i="10"/>
  <c r="F51" i="10"/>
  <c r="J57" i="10"/>
  <c r="AB58" i="10"/>
  <c r="C56" i="10"/>
  <c r="D56" i="10"/>
  <c r="L56" i="10"/>
  <c r="AO54" i="10"/>
  <c r="H56" i="10"/>
  <c r="AO56" i="10"/>
  <c r="AM55" i="10"/>
  <c r="T54" i="10"/>
  <c r="I58" i="10"/>
  <c r="AC55" i="10"/>
  <c r="C55" i="10"/>
  <c r="J53" i="10"/>
  <c r="AS54" i="10"/>
  <c r="AH55" i="10"/>
  <c r="AN53" i="10"/>
  <c r="AF53" i="10"/>
  <c r="K53" i="10"/>
  <c r="T53" i="10"/>
  <c r="W54" i="10"/>
  <c r="AP55" i="10"/>
  <c r="AD52" i="10"/>
  <c r="AP52" i="10"/>
  <c r="D52" i="10"/>
  <c r="AS52" i="10"/>
  <c r="L51" i="10"/>
  <c r="I51" i="10"/>
  <c r="AS49" i="10"/>
  <c r="AU49" i="10"/>
  <c r="AQ50" i="10"/>
  <c r="AG51" i="10"/>
  <c r="H49" i="10"/>
  <c r="AB50" i="10"/>
  <c r="AW50" i="10"/>
  <c r="AC45" i="10"/>
  <c r="F45" i="10"/>
  <c r="AH54" i="10"/>
  <c r="Y55" i="10"/>
  <c r="AB55" i="10"/>
  <c r="C54" i="10"/>
  <c r="W50" i="10"/>
  <c r="M56" i="10"/>
  <c r="AM52" i="10"/>
  <c r="AJ51" i="10"/>
  <c r="AN50" i="10"/>
  <c r="P57" i="10"/>
  <c r="U54" i="10"/>
  <c r="L55" i="10"/>
  <c r="V53" i="10"/>
  <c r="P51" i="10"/>
  <c r="M45" i="10"/>
  <c r="O45" i="10"/>
  <c r="O49" i="10"/>
  <c r="AH50" i="10"/>
  <c r="Q50" i="10"/>
  <c r="AO49" i="10"/>
  <c r="AA58" i="10"/>
  <c r="AM56" i="10"/>
  <c r="S53" i="10"/>
  <c r="W52" i="10"/>
  <c r="Z52" i="10"/>
  <c r="AC52" i="10"/>
  <c r="E49" i="10"/>
  <c r="K50" i="10"/>
  <c r="AJ57" i="10"/>
  <c r="AT55" i="10"/>
  <c r="AS55" i="10"/>
  <c r="I49" i="10"/>
  <c r="O50" i="10"/>
  <c r="G56" i="10"/>
  <c r="Z55" i="10"/>
  <c r="Y52" i="10"/>
  <c r="AQ51" i="10"/>
  <c r="G49" i="10"/>
  <c r="C45" i="10"/>
  <c r="I56" i="10"/>
  <c r="AM54" i="10"/>
  <c r="AK52" i="10"/>
  <c r="W49" i="10"/>
  <c r="AW57" i="10"/>
  <c r="AP54" i="10"/>
  <c r="V54" i="10"/>
  <c r="R53" i="10"/>
  <c r="D51" i="10"/>
  <c r="R49" i="10"/>
  <c r="AT49" i="10"/>
  <c r="AG50" i="10"/>
  <c r="U49" i="10"/>
  <c r="AI45" i="10"/>
  <c r="C57" i="10"/>
  <c r="AD55" i="10"/>
  <c r="AA50" i="10"/>
  <c r="P45" i="10"/>
  <c r="C58" i="10"/>
  <c r="E54" i="10"/>
  <c r="AW45" i="10"/>
  <c r="AS58" i="10"/>
  <c r="G54" i="10"/>
  <c r="AL56" i="10"/>
  <c r="AJ52" i="10"/>
  <c r="J51" i="10"/>
  <c r="C50" i="10"/>
  <c r="AK56" i="10"/>
  <c r="P53" i="10"/>
  <c r="AL52" i="10"/>
  <c r="V52" i="10"/>
  <c r="M52" i="10"/>
  <c r="M51" i="10"/>
  <c r="V58" i="10"/>
  <c r="N54" i="10"/>
  <c r="AA53" i="10"/>
  <c r="X52" i="10"/>
  <c r="AB51" i="10"/>
  <c r="H51" i="10"/>
  <c r="F57" i="10"/>
  <c r="R56" i="10"/>
  <c r="AR58" i="10"/>
  <c r="P56" i="10"/>
  <c r="Y54" i="10"/>
  <c r="K56" i="10"/>
  <c r="L54" i="10"/>
  <c r="AG58" i="10"/>
  <c r="G51" i="10"/>
  <c r="N52" i="10"/>
  <c r="AN52" i="10"/>
  <c r="I52" i="10"/>
  <c r="Z51" i="10"/>
  <c r="Q51" i="10"/>
  <c r="E51" i="10"/>
  <c r="AQ49" i="10"/>
  <c r="P49" i="10"/>
  <c r="L49" i="10"/>
  <c r="AW51" i="10"/>
  <c r="AL50" i="10"/>
  <c r="AP50" i="10"/>
  <c r="AK50" i="10"/>
  <c r="X50" i="10"/>
  <c r="AS45" i="10"/>
  <c r="V45" i="10"/>
  <c r="U51" i="10"/>
  <c r="J45" i="10"/>
  <c r="AH53" i="10"/>
  <c r="P52" i="10"/>
  <c r="AG52" i="10"/>
  <c r="AA45" i="10"/>
  <c r="AD58" i="10"/>
  <c r="R58" i="10"/>
  <c r="AT53" i="10"/>
  <c r="P54" i="10"/>
  <c r="N50" i="10"/>
  <c r="AR55" i="10"/>
  <c r="AK55" i="10"/>
  <c r="AD53" i="10"/>
  <c r="S52" i="10"/>
  <c r="F50" i="10"/>
  <c r="Z58" i="10"/>
  <c r="AC56" i="10"/>
  <c r="AQ58" i="10"/>
  <c r="E56" i="10"/>
  <c r="P58" i="10"/>
  <c r="AW56" i="10"/>
  <c r="Q52" i="10"/>
  <c r="U55" i="10"/>
  <c r="AG54" i="10"/>
  <c r="AA54" i="10"/>
  <c r="AI55" i="10"/>
  <c r="Z53" i="10"/>
  <c r="AB53" i="10"/>
  <c r="N53" i="10"/>
  <c r="AR56" i="10"/>
  <c r="AQ53" i="10"/>
  <c r="W53" i="10"/>
  <c r="E55" i="10"/>
  <c r="Z56" i="10"/>
  <c r="AP53" i="10"/>
  <c r="AI53" i="10"/>
  <c r="O52" i="10"/>
  <c r="AR49" i="10"/>
  <c r="N58" i="10"/>
  <c r="W58" i="10"/>
  <c r="AF54" i="10"/>
  <c r="X53" i="10"/>
  <c r="K51" i="10"/>
  <c r="AB45" i="10"/>
  <c r="AW55" i="10"/>
  <c r="V51" i="10"/>
  <c r="AC49" i="10"/>
  <c r="H55" i="10"/>
  <c r="W51" i="10"/>
  <c r="AT51" i="10"/>
  <c r="Q56" i="10"/>
  <c r="AQ55" i="10"/>
  <c r="R55" i="10"/>
  <c r="AH51" i="10"/>
  <c r="AT52" i="10"/>
  <c r="P50" i="10"/>
  <c r="AO58" i="10"/>
  <c r="AJ58" i="10"/>
  <c r="AG56" i="10"/>
  <c r="X56" i="10"/>
  <c r="AV55" i="10"/>
  <c r="F53" i="10"/>
  <c r="L53" i="10"/>
  <c r="AM53" i="10"/>
  <c r="X55" i="10"/>
  <c r="AP51" i="10"/>
  <c r="AK51" i="10"/>
  <c r="Y50" i="10"/>
  <c r="K45" i="10"/>
  <c r="I45" i="10"/>
  <c r="K49" i="10"/>
  <c r="AM51" i="10"/>
  <c r="J55" i="10"/>
  <c r="I54" i="10"/>
  <c r="X54" i="10"/>
  <c r="G55" i="10"/>
  <c r="AL55" i="10"/>
  <c r="H53" i="10"/>
  <c r="Y56" i="10"/>
  <c r="AS53" i="10"/>
  <c r="F54" i="10"/>
  <c r="R50" i="10"/>
  <c r="AS50" i="10"/>
  <c r="O56" i="10"/>
  <c r="AT56" i="10"/>
  <c r="AF58" i="10"/>
  <c r="Z50" i="10"/>
  <c r="F55" i="10"/>
  <c r="AG53" i="10"/>
  <c r="M55" i="10"/>
  <c r="AA52" i="10"/>
  <c r="C49" i="10"/>
  <c r="S58" i="10"/>
  <c r="AA56" i="10"/>
  <c r="AL54" i="10"/>
  <c r="I55" i="10"/>
  <c r="AU52" i="10"/>
  <c r="M50" i="10"/>
  <c r="C52" i="10"/>
  <c r="AU51" i="10"/>
  <c r="D50" i="10"/>
  <c r="O58" i="10"/>
  <c r="AB56" i="10"/>
  <c r="AT58" i="10"/>
  <c r="AJ56" i="10"/>
  <c r="AD56" i="10"/>
  <c r="J56" i="10"/>
  <c r="N55" i="10"/>
  <c r="AI54" i="10"/>
  <c r="H54" i="10"/>
  <c r="O54" i="10"/>
  <c r="AT54" i="10"/>
  <c r="AN54" i="10"/>
  <c r="E53" i="10"/>
  <c r="AL53" i="10"/>
  <c r="Q53" i="10"/>
  <c r="AI56" i="10"/>
  <c r="AK53" i="10"/>
  <c r="G53" i="10"/>
  <c r="J54" i="10"/>
  <c r="AO55" i="10"/>
  <c r="S51" i="10"/>
  <c r="AB52" i="10"/>
  <c r="J52" i="10"/>
  <c r="E52" i="10"/>
  <c r="C51" i="10"/>
  <c r="Y51" i="10"/>
  <c r="T51" i="10"/>
  <c r="X49" i="10"/>
  <c r="F49" i="10"/>
  <c r="J50" i="10"/>
  <c r="AN51" i="10"/>
  <c r="S50" i="10"/>
  <c r="E50" i="10"/>
  <c r="AT45" i="10"/>
  <c r="AF45" i="10"/>
  <c r="X45" i="10"/>
  <c r="AC51" i="10"/>
  <c r="AQ52" i="10"/>
  <c r="F52" i="10"/>
  <c r="AL51" i="10"/>
  <c r="Q49" i="10"/>
  <c r="M49" i="10"/>
  <c r="V50" i="10"/>
  <c r="Q58" i="10"/>
  <c r="H58" i="10"/>
  <c r="K55" i="10"/>
  <c r="AI52" i="10"/>
  <c r="AV58" i="10"/>
  <c r="AI58" i="10"/>
  <c r="AL58" i="10"/>
  <c r="AJ54" i="10"/>
  <c r="AO53" i="10"/>
  <c r="L50" i="10"/>
  <c r="K57" i="10"/>
  <c r="AW58" i="10"/>
  <c r="AW52" i="10"/>
  <c r="M54" i="10"/>
  <c r="AJ53" i="10"/>
  <c r="AO52" i="10"/>
  <c r="L52" i="10"/>
  <c r="S49" i="10"/>
  <c r="G58" i="10"/>
  <c r="AU58" i="10"/>
  <c r="AP56" i="10"/>
  <c r="AC58" i="10"/>
  <c r="AF56" i="10"/>
  <c r="AM58" i="10"/>
  <c r="U56" i="10"/>
  <c r="AK54" i="10"/>
  <c r="AC54" i="10"/>
  <c r="AW53" i="10"/>
  <c r="I53" i="10"/>
  <c r="V56" i="10"/>
  <c r="U53" i="10"/>
  <c r="Y53" i="10"/>
  <c r="D54" i="10"/>
  <c r="AJ55" i="10"/>
  <c r="N51" i="10"/>
  <c r="T52" i="10"/>
  <c r="G52" i="10"/>
  <c r="AR52" i="10"/>
  <c r="AV51" i="10"/>
  <c r="AD51" i="10"/>
  <c r="AR51" i="10"/>
  <c r="AP49" i="10"/>
  <c r="AH49" i="10"/>
  <c r="AD50" i="10"/>
  <c r="AO51" i="10"/>
  <c r="AJ50" i="10"/>
  <c r="AF50" i="10"/>
  <c r="AU50" i="10"/>
  <c r="Q45" i="10"/>
  <c r="Z45" i="10"/>
  <c r="T45" i="10"/>
  <c r="AA68" i="10"/>
  <c r="AT67" i="10"/>
  <c r="M64" i="10"/>
  <c r="AC62" i="10"/>
  <c r="AT62" i="10"/>
  <c r="N59" i="10"/>
  <c r="E66" i="10"/>
  <c r="S63" i="10"/>
  <c r="E61" i="10"/>
  <c r="AN65" i="10"/>
  <c r="AV66" i="10"/>
  <c r="F64" i="10"/>
  <c r="AN61" i="10"/>
  <c r="N66" i="10"/>
  <c r="AA65" i="10"/>
  <c r="J66" i="10"/>
  <c r="R64" i="10"/>
  <c r="AS65" i="10"/>
  <c r="E65" i="10"/>
  <c r="L65" i="10"/>
  <c r="G66" i="10"/>
  <c r="Z64" i="10"/>
  <c r="K66" i="10"/>
  <c r="V68" i="10"/>
  <c r="D59" i="10"/>
  <c r="D66" i="10"/>
  <c r="AH68" i="10"/>
  <c r="T64" i="10"/>
  <c r="AR59" i="10"/>
  <c r="AB67" i="10"/>
  <c r="AL67" i="10"/>
  <c r="F68" i="10"/>
  <c r="AQ68" i="10"/>
  <c r="U66" i="10"/>
  <c r="AI65" i="10"/>
  <c r="Q66" i="10"/>
  <c r="H67" i="10"/>
  <c r="X66" i="10"/>
  <c r="AG65" i="10"/>
  <c r="J64" i="10"/>
  <c r="AI66" i="10"/>
  <c r="AN68" i="10"/>
  <c r="M66" i="10"/>
  <c r="G63" i="10"/>
  <c r="W64" i="10"/>
  <c r="AD66" i="10"/>
  <c r="E64" i="10"/>
  <c r="AQ63" i="10"/>
  <c r="I65" i="10"/>
  <c r="K64" i="10"/>
  <c r="Q65" i="10"/>
  <c r="D62" i="10"/>
  <c r="Z63" i="10"/>
  <c r="AH62" i="10"/>
  <c r="AK62" i="10"/>
  <c r="Q67" i="10"/>
  <c r="AJ60" i="10"/>
  <c r="AQ62" i="10"/>
  <c r="AH60" i="10"/>
  <c r="T59" i="10"/>
  <c r="V61" i="10"/>
  <c r="AL60" i="10"/>
  <c r="Q60" i="10"/>
  <c r="AF60" i="10"/>
  <c r="M60" i="10"/>
  <c r="AB61" i="10"/>
  <c r="AG62" i="10"/>
  <c r="AT57" i="10"/>
  <c r="AL59" i="10"/>
  <c r="AQ57" i="10"/>
  <c r="J59" i="10"/>
  <c r="Z61" i="10"/>
  <c r="S57" i="10"/>
  <c r="AM57" i="10"/>
  <c r="Y57" i="10"/>
  <c r="AV57" i="10"/>
  <c r="K61" i="10"/>
  <c r="H57" i="10"/>
  <c r="AL66" i="10"/>
  <c r="AR68" i="10"/>
  <c r="AF64" i="10"/>
  <c r="AT64" i="10"/>
  <c r="AK60" i="10"/>
  <c r="S66" i="10"/>
  <c r="P63" i="10"/>
  <c r="R62" i="10"/>
  <c r="AL63" i="10"/>
  <c r="O61" i="10"/>
  <c r="C60" i="10"/>
  <c r="S59" i="10"/>
  <c r="AT59" i="10"/>
  <c r="X59" i="10"/>
  <c r="L59" i="10"/>
  <c r="AF57" i="10"/>
  <c r="AO57" i="10"/>
  <c r="K58" i="10"/>
  <c r="AW66" i="10"/>
  <c r="L64" i="10"/>
  <c r="AA63" i="10"/>
  <c r="U63" i="10"/>
  <c r="U67" i="10"/>
  <c r="W60" i="10"/>
  <c r="G68" i="10"/>
  <c r="AK65" i="10"/>
  <c r="D64" i="10"/>
  <c r="X67" i="10"/>
  <c r="AU60" i="10"/>
  <c r="Y61" i="10"/>
  <c r="AM59" i="10"/>
  <c r="AA60" i="10"/>
  <c r="Y59" i="10"/>
  <c r="AB57" i="10"/>
  <c r="AO68" i="10"/>
  <c r="F63" i="10"/>
  <c r="P67" i="10"/>
  <c r="O62" i="10"/>
  <c r="AR61" i="10"/>
  <c r="S62" i="10"/>
  <c r="AF59" i="10"/>
  <c r="AI59" i="10"/>
  <c r="P60" i="10"/>
  <c r="AK59" i="10"/>
  <c r="AA59" i="10"/>
  <c r="AP61" i="10"/>
  <c r="Z62" i="10"/>
  <c r="E57" i="10"/>
  <c r="E59" i="10"/>
  <c r="N68" i="10"/>
  <c r="C67" i="10"/>
  <c r="C66" i="10"/>
  <c r="K65" i="10"/>
  <c r="AJ65" i="10"/>
  <c r="R67" i="10"/>
  <c r="D65" i="10"/>
  <c r="AO65" i="10"/>
  <c r="AC64" i="10"/>
  <c r="AS67" i="10"/>
  <c r="AW68" i="10"/>
  <c r="AF65" i="10"/>
  <c r="AA64" i="10"/>
  <c r="O64" i="10"/>
  <c r="V63" i="10"/>
  <c r="H63" i="10"/>
  <c r="K67" i="10"/>
  <c r="AH63" i="10"/>
  <c r="AD62" i="10"/>
  <c r="J67" i="10"/>
  <c r="AL61" i="10"/>
  <c r="Y62" i="10"/>
  <c r="N61" i="10"/>
  <c r="AH59" i="10"/>
  <c r="X61" i="10"/>
  <c r="AB59" i="10"/>
  <c r="AW60" i="10"/>
  <c r="AM60" i="10"/>
  <c r="AP59" i="10"/>
  <c r="AH61" i="10"/>
  <c r="AB62" i="10"/>
  <c r="W57" i="10"/>
  <c r="N57" i="10"/>
  <c r="G59" i="10"/>
  <c r="AD59" i="10"/>
  <c r="AG57" i="10"/>
  <c r="AL57" i="10"/>
  <c r="AN58" i="10"/>
  <c r="AT63" i="10"/>
  <c r="V64" i="10"/>
  <c r="AP64" i="10"/>
  <c r="AL64" i="10"/>
  <c r="AM62" i="10"/>
  <c r="AJ61" i="10"/>
  <c r="AN66" i="10"/>
  <c r="AJ63" i="10"/>
  <c r="V60" i="10"/>
  <c r="W59" i="10"/>
  <c r="D57" i="10"/>
  <c r="AV65" i="10"/>
  <c r="K63" i="10"/>
  <c r="AB64" i="10"/>
  <c r="AR63" i="10"/>
  <c r="AV64" i="10"/>
  <c r="G64" i="10"/>
  <c r="M67" i="10"/>
  <c r="AG63" i="10"/>
  <c r="U62" i="10"/>
  <c r="AF61" i="10"/>
  <c r="AU67" i="10"/>
  <c r="J61" i="10"/>
  <c r="AA62" i="10"/>
  <c r="AO61" i="10"/>
  <c r="AN59" i="10"/>
  <c r="AQ60" i="10"/>
  <c r="AG59" i="10"/>
  <c r="L60" i="10"/>
  <c r="V59" i="10"/>
  <c r="AQ59" i="10"/>
  <c r="X57" i="10"/>
  <c r="F58" i="10"/>
  <c r="I67" i="10"/>
  <c r="X62" i="10"/>
  <c r="T61" i="10"/>
  <c r="M59" i="10"/>
  <c r="G60" i="10"/>
  <c r="Z59" i="10"/>
  <c r="AI62" i="10"/>
  <c r="AP62" i="10"/>
  <c r="AK57" i="10"/>
  <c r="O57" i="10"/>
  <c r="AP57" i="10"/>
  <c r="R66" i="10"/>
  <c r="AJ67" i="10"/>
  <c r="AB68" i="10"/>
  <c r="AQ65" i="10"/>
  <c r="AK63" i="10"/>
  <c r="P66" i="10"/>
  <c r="I64" i="10"/>
  <c r="AM64" i="10"/>
  <c r="AW65" i="10"/>
  <c r="X63" i="10"/>
  <c r="AB63" i="10"/>
  <c r="AI63" i="10"/>
  <c r="AO62" i="10"/>
  <c r="AR67" i="10"/>
  <c r="AP63" i="10"/>
  <c r="T62" i="10"/>
  <c r="L61" i="10"/>
  <c r="AS60" i="10"/>
  <c r="AU61" i="10"/>
  <c r="S60" i="10"/>
  <c r="AC61" i="10"/>
  <c r="M61" i="10"/>
  <c r="X60" i="10"/>
  <c r="Q59" i="10"/>
  <c r="AN60" i="10"/>
  <c r="F60" i="10"/>
  <c r="AC59" i="10"/>
  <c r="AV62" i="10"/>
  <c r="AJ62" i="10"/>
  <c r="C59" i="10"/>
  <c r="AD57" i="10"/>
  <c r="AW59" i="10"/>
  <c r="AQ61" i="10"/>
  <c r="AI57" i="10"/>
  <c r="Q57" i="10"/>
  <c r="AH58" i="10"/>
  <c r="AA66" i="10"/>
  <c r="L66" i="10"/>
  <c r="Z65" i="10"/>
  <c r="V66" i="10"/>
  <c r="AC65" i="10"/>
  <c r="Q64" i="10"/>
  <c r="AO66" i="10"/>
  <c r="AK61" i="10"/>
  <c r="T68" i="10"/>
  <c r="AL65" i="10"/>
  <c r="I66" i="10"/>
  <c r="U64" i="10"/>
  <c r="O60" i="10"/>
  <c r="T66" i="10"/>
  <c r="P64" i="10"/>
  <c r="AO67" i="10"/>
  <c r="E67" i="10"/>
  <c r="AK67" i="10"/>
  <c r="AD67" i="10"/>
  <c r="Q63" i="10"/>
  <c r="X68" i="10"/>
  <c r="AU66" i="10"/>
  <c r="V65" i="10"/>
  <c r="AU64" i="10"/>
  <c r="N65" i="10"/>
  <c r="AG66" i="10"/>
  <c r="AT65" i="10"/>
  <c r="C63" i="10"/>
  <c r="W67" i="10"/>
  <c r="M62" i="10"/>
  <c r="L62" i="10"/>
  <c r="AT60" i="10"/>
  <c r="AM61" i="10"/>
  <c r="K59" i="10"/>
  <c r="J60" i="10"/>
  <c r="AV59" i="10"/>
  <c r="AP60" i="10"/>
  <c r="K62" i="10"/>
  <c r="Q62" i="10"/>
  <c r="R57" i="10"/>
  <c r="F59" i="10"/>
  <c r="L57" i="10"/>
  <c r="AA57" i="10"/>
  <c r="AP58" i="10"/>
  <c r="AR60" i="10"/>
  <c r="P59" i="10"/>
  <c r="V57" i="10"/>
  <c r="AT68" i="10"/>
  <c r="X65" i="10"/>
  <c r="N62" i="10"/>
  <c r="F67" i="10"/>
  <c r="AK64" i="10"/>
  <c r="J62" i="10"/>
  <c r="T65" i="10"/>
  <c r="R65" i="10"/>
  <c r="X64" i="10"/>
  <c r="U61" i="10"/>
  <c r="H66" i="10"/>
  <c r="U65" i="10"/>
  <c r="P65" i="10"/>
  <c r="AS63" i="10"/>
  <c r="AV67" i="10"/>
  <c r="M63" i="10"/>
  <c r="AS64" i="10"/>
  <c r="J63" i="10"/>
  <c r="AH64" i="10"/>
  <c r="AF63" i="10"/>
  <c r="Y63" i="10"/>
  <c r="S61" i="10"/>
  <c r="Z60" i="10"/>
  <c r="Y65" i="10"/>
  <c r="O65" i="10"/>
  <c r="D63" i="10"/>
  <c r="AW67" i="10"/>
  <c r="AG60" i="10"/>
  <c r="AI61" i="10"/>
  <c r="U59" i="10"/>
  <c r="N60" i="10"/>
  <c r="F61" i="10"/>
  <c r="AS62" i="10"/>
  <c r="T57" i="10"/>
  <c r="AT61" i="10"/>
  <c r="P61" i="10"/>
  <c r="AS57" i="10"/>
  <c r="AN57" i="10"/>
  <c r="D58" i="10"/>
  <c r="R59" i="10"/>
  <c r="AD65" i="10"/>
  <c r="I68" i="10"/>
  <c r="AU63" i="10"/>
  <c r="I63" i="10"/>
  <c r="AP67" i="10"/>
  <c r="C65" i="10"/>
  <c r="AR66" i="10"/>
  <c r="I61" i="10"/>
  <c r="AL68" i="10"/>
  <c r="Z67" i="10"/>
  <c r="AH66" i="10"/>
  <c r="W65" i="10"/>
  <c r="W66" i="10"/>
  <c r="P68" i="10"/>
  <c r="M65" i="10"/>
  <c r="AQ67" i="10"/>
  <c r="AT66" i="10"/>
  <c r="AP65" i="10"/>
  <c r="S64" i="10"/>
  <c r="AF66" i="10"/>
  <c r="AQ64" i="10"/>
  <c r="AM63" i="10"/>
  <c r="J65" i="10"/>
  <c r="AW64" i="10"/>
  <c r="AW63" i="10"/>
  <c r="R63" i="10"/>
  <c r="AR62" i="10"/>
  <c r="AW62" i="10"/>
  <c r="C61" i="10"/>
  <c r="AW61" i="10"/>
  <c r="E60" i="10"/>
  <c r="H61" i="10"/>
  <c r="AO60" i="10"/>
  <c r="H60" i="10"/>
  <c r="W62" i="10"/>
  <c r="Z57" i="10"/>
  <c r="AM66" i="10"/>
  <c r="D67" i="10"/>
  <c r="I62" i="10"/>
  <c r="AG61" i="10"/>
  <c r="H65" i="10"/>
  <c r="AN63" i="10"/>
  <c r="AF62" i="10"/>
  <c r="D68" i="10"/>
  <c r="J68" i="10"/>
  <c r="N67" i="10"/>
  <c r="AQ66" i="10"/>
  <c r="F66" i="10"/>
  <c r="AD64" i="10"/>
  <c r="AH67" i="10"/>
  <c r="Z66" i="10"/>
  <c r="G65" i="10"/>
  <c r="H64" i="10"/>
  <c r="AC63" i="10"/>
  <c r="AJ64" i="10"/>
  <c r="N64" i="10"/>
  <c r="AD63" i="10"/>
  <c r="E62" i="10"/>
  <c r="N63" i="10"/>
  <c r="AF67" i="10"/>
  <c r="U60" i="10"/>
  <c r="O59" i="10"/>
  <c r="K60" i="10"/>
  <c r="AU62" i="10"/>
  <c r="U57" i="10"/>
  <c r="AO59" i="10"/>
  <c r="M57" i="10"/>
  <c r="AR57" i="10"/>
  <c r="J58" i="10"/>
  <c r="Y64" i="10"/>
  <c r="E63" i="10"/>
  <c r="I60" i="10"/>
  <c r="AO64" i="10"/>
  <c r="AN64" i="10"/>
  <c r="H62" i="10"/>
  <c r="AN62" i="10"/>
  <c r="AO63" i="10"/>
  <c r="AD68" i="10"/>
  <c r="AI64" i="10"/>
  <c r="Y67" i="10"/>
  <c r="O66" i="10"/>
  <c r="AP66" i="10"/>
  <c r="AL62" i="10"/>
  <c r="Q61" i="10"/>
  <c r="AS61" i="10"/>
  <c r="AC60" i="10"/>
  <c r="D61" i="10"/>
  <c r="AV60" i="10"/>
  <c r="H59" i="10"/>
  <c r="AB60" i="10"/>
  <c r="AV61" i="10"/>
  <c r="G62" i="10"/>
  <c r="AU59" i="10"/>
  <c r="AD61" i="10"/>
  <c r="AB65" i="10"/>
  <c r="Y66" i="10"/>
  <c r="T63" i="10"/>
  <c r="I59" i="10"/>
  <c r="AF68" i="10"/>
  <c r="AM67" i="10"/>
  <c r="AU65" i="10"/>
  <c r="AB66" i="10"/>
  <c r="O67" i="10"/>
  <c r="AJ66" i="10"/>
  <c r="AM65" i="10"/>
  <c r="AR65" i="10"/>
  <c r="AC66" i="10"/>
  <c r="L67" i="10"/>
  <c r="AK66" i="10"/>
  <c r="S65" i="10"/>
  <c r="AG64" i="10"/>
  <c r="AS66" i="10"/>
  <c r="C64" i="10"/>
  <c r="O63" i="10"/>
  <c r="F65" i="10"/>
  <c r="AR64" i="10"/>
  <c r="AH65" i="10"/>
  <c r="AV63" i="10"/>
  <c r="L63" i="10"/>
  <c r="W63" i="10"/>
  <c r="P62" i="10"/>
  <c r="F62" i="10"/>
  <c r="AA67" i="10"/>
  <c r="T60" i="10"/>
  <c r="C62" i="10"/>
  <c r="AI60" i="10"/>
  <c r="R61" i="10"/>
  <c r="G61" i="10"/>
  <c r="Y60" i="10"/>
  <c r="R60" i="10"/>
  <c r="AD60" i="10"/>
  <c r="D60" i="10"/>
  <c r="AA61" i="10"/>
  <c r="V62" i="10"/>
  <c r="AH57" i="10"/>
  <c r="AJ59" i="10"/>
  <c r="AU57" i="10"/>
  <c r="AS59" i="10"/>
  <c r="W61" i="10"/>
  <c r="G57" i="10"/>
  <c r="I57" i="10"/>
  <c r="U58" i="10"/>
  <c r="AN79" i="10"/>
  <c r="O78" i="10"/>
  <c r="AT75" i="10"/>
  <c r="R78" i="10"/>
  <c r="AG78" i="10"/>
  <c r="G76" i="10"/>
  <c r="AO76" i="10"/>
  <c r="AL79" i="10"/>
  <c r="L78" i="10"/>
  <c r="S75" i="10"/>
  <c r="P78" i="10"/>
  <c r="AS78" i="10"/>
  <c r="J82" i="10"/>
  <c r="AI70" i="10"/>
  <c r="AH78" i="10"/>
  <c r="AU72" i="10"/>
  <c r="AC77" i="10"/>
  <c r="C75" i="10"/>
  <c r="AL76" i="10"/>
  <c r="AK78" i="10"/>
  <c r="AF74" i="10"/>
  <c r="AM72" i="10"/>
  <c r="D72" i="10"/>
  <c r="Y71" i="10"/>
  <c r="Q69" i="10"/>
  <c r="AC74" i="10"/>
  <c r="K80" i="10"/>
  <c r="AL77" i="10"/>
  <c r="J72" i="10"/>
  <c r="W77" i="10"/>
  <c r="AL81" i="10"/>
  <c r="M72" i="10"/>
  <c r="AL74" i="10"/>
  <c r="H80" i="10"/>
  <c r="AU86" i="10"/>
  <c r="R76" i="10"/>
  <c r="AQ75" i="10"/>
  <c r="AS82" i="10"/>
  <c r="R72" i="10"/>
  <c r="Q70" i="10"/>
  <c r="AW79" i="10"/>
  <c r="P74" i="10"/>
  <c r="AF79" i="10"/>
  <c r="M78" i="10"/>
  <c r="X74" i="10"/>
  <c r="AG79" i="10"/>
  <c r="V75" i="10"/>
  <c r="Q74" i="10"/>
  <c r="E72" i="10"/>
  <c r="AC75" i="10"/>
  <c r="AW73" i="10"/>
  <c r="E78" i="10"/>
  <c r="AR74" i="10"/>
  <c r="AT72" i="10"/>
  <c r="X78" i="10"/>
  <c r="C80" i="10"/>
  <c r="AI78" i="10"/>
  <c r="AF75" i="10"/>
  <c r="AR82" i="10"/>
  <c r="AK81" i="10"/>
  <c r="Q76" i="10"/>
  <c r="W72" i="10"/>
  <c r="AU79" i="10"/>
  <c r="AP79" i="10"/>
  <c r="AH79" i="10"/>
  <c r="I78" i="10"/>
  <c r="AW77" i="10"/>
  <c r="AC81" i="10"/>
  <c r="AQ86" i="10"/>
  <c r="H76" i="10"/>
  <c r="U74" i="10"/>
  <c r="AV71" i="10"/>
  <c r="P69" i="10"/>
  <c r="Q77" i="10"/>
  <c r="V74" i="10"/>
  <c r="H71" i="10"/>
  <c r="AM79" i="10"/>
  <c r="AJ77" i="10"/>
  <c r="H74" i="10"/>
  <c r="T72" i="10"/>
  <c r="AD69" i="10"/>
  <c r="U78" i="10"/>
  <c r="E76" i="10"/>
  <c r="AU77" i="10"/>
  <c r="AH76" i="10"/>
  <c r="AR77" i="10"/>
  <c r="AH70" i="10"/>
  <c r="AV74" i="10"/>
  <c r="S72" i="10"/>
  <c r="O77" i="10"/>
  <c r="AU73" i="10"/>
  <c r="U72" i="10"/>
  <c r="AM75" i="10"/>
  <c r="T77" i="10"/>
  <c r="AH81" i="10"/>
  <c r="AO70" i="10"/>
  <c r="AT78" i="10"/>
  <c r="AK75" i="10"/>
  <c r="AP72" i="10"/>
  <c r="AU70" i="10"/>
  <c r="AD79" i="10"/>
  <c r="J78" i="10"/>
  <c r="AO78" i="10"/>
  <c r="AQ77" i="10"/>
  <c r="AD74" i="10"/>
  <c r="AN74" i="10"/>
  <c r="AT84" i="10"/>
  <c r="S82" i="10"/>
  <c r="S77" i="10"/>
  <c r="AG74" i="10"/>
  <c r="AL71" i="10"/>
  <c r="AP82" i="10"/>
  <c r="AW71" i="10"/>
  <c r="D77" i="10"/>
  <c r="AI80" i="10"/>
  <c r="N76" i="10"/>
  <c r="AO72" i="10"/>
  <c r="Z78" i="10"/>
  <c r="AJ75" i="10"/>
  <c r="AD75" i="10"/>
  <c r="N72" i="10"/>
  <c r="E69" i="10"/>
  <c r="S79" i="10"/>
  <c r="AL86" i="10"/>
  <c r="X75" i="10"/>
  <c r="AM76" i="10"/>
  <c r="X79" i="10"/>
  <c r="AI79" i="10"/>
  <c r="AJ78" i="10"/>
  <c r="V77" i="10"/>
  <c r="AW78" i="10"/>
  <c r="Z86" i="10"/>
  <c r="AG75" i="10"/>
  <c r="O73" i="10"/>
  <c r="P75" i="10"/>
  <c r="AM73" i="10"/>
  <c r="AO103" i="10"/>
  <c r="K79" i="10"/>
  <c r="Q78" i="10"/>
  <c r="AQ78" i="10"/>
  <c r="C76" i="10"/>
  <c r="W78" i="10"/>
  <c r="AU75" i="10"/>
  <c r="T75" i="10"/>
  <c r="AA75" i="10"/>
  <c r="W75" i="10"/>
  <c r="X73" i="10"/>
  <c r="U69" i="10"/>
  <c r="AA78" i="10"/>
  <c r="H78" i="10"/>
  <c r="AN78" i="10"/>
  <c r="E77" i="10"/>
  <c r="R75" i="10"/>
  <c r="D78" i="10"/>
  <c r="R70" i="10"/>
  <c r="AH75" i="10"/>
  <c r="AA79" i="10"/>
  <c r="AU78" i="10"/>
  <c r="AO79" i="10"/>
  <c r="AA76" i="10"/>
  <c r="N78" i="10"/>
  <c r="M75" i="10"/>
  <c r="O75" i="10"/>
  <c r="D73" i="10"/>
  <c r="U75" i="10"/>
  <c r="AR72" i="10"/>
  <c r="W103" i="10"/>
  <c r="AQ69" i="10"/>
  <c r="AL78" i="10"/>
  <c r="E75" i="10"/>
  <c r="C72" i="10"/>
  <c r="D75" i="10"/>
  <c r="P72" i="10"/>
  <c r="AS70" i="10"/>
  <c r="O68" i="10"/>
  <c r="AD78" i="10"/>
  <c r="P76" i="10"/>
  <c r="AL75" i="10"/>
  <c r="T74" i="10"/>
  <c r="V73" i="10"/>
  <c r="K70" i="10"/>
  <c r="AN75" i="10"/>
  <c r="AB75" i="10"/>
  <c r="AK74" i="10"/>
  <c r="AS75" i="10"/>
  <c r="AF73" i="10"/>
  <c r="H70" i="10"/>
  <c r="AQ71" i="10"/>
  <c r="C71" i="10"/>
  <c r="AT71" i="10"/>
  <c r="R103" i="10"/>
  <c r="S70" i="10"/>
  <c r="L68" i="10"/>
  <c r="AM68" i="10"/>
  <c r="Z74" i="10"/>
  <c r="G73" i="10"/>
  <c r="K71" i="10"/>
  <c r="AK103" i="10"/>
  <c r="AC71" i="10"/>
  <c r="Q68" i="10"/>
  <c r="AC70" i="10"/>
  <c r="F70" i="10"/>
  <c r="AK69" i="10"/>
  <c r="C79" i="10"/>
  <c r="AH77" i="10"/>
  <c r="Z75" i="10"/>
  <c r="D74" i="10"/>
  <c r="M71" i="10"/>
  <c r="AG70" i="10"/>
  <c r="AR69" i="10"/>
  <c r="AS69" i="10"/>
  <c r="Z68" i="10"/>
  <c r="AC86" i="10"/>
  <c r="E74" i="10"/>
  <c r="AH74" i="10"/>
  <c r="AS73" i="10"/>
  <c r="AB71" i="10"/>
  <c r="N73" i="10"/>
  <c r="AU71" i="10"/>
  <c r="L70" i="10"/>
  <c r="AR79" i="10"/>
  <c r="U79" i="10"/>
  <c r="AK79" i="10"/>
  <c r="AP78" i="10"/>
  <c r="C78" i="10"/>
  <c r="C77" i="10"/>
  <c r="AP76" i="10"/>
  <c r="T78" i="10"/>
  <c r="F77" i="10"/>
  <c r="H75" i="10"/>
  <c r="X76" i="10"/>
  <c r="L77" i="10"/>
  <c r="S71" i="10"/>
  <c r="AM70" i="10"/>
  <c r="AP69" i="10"/>
  <c r="AV68" i="10"/>
  <c r="S69" i="10"/>
  <c r="AN77" i="10"/>
  <c r="K75" i="10"/>
  <c r="AU74" i="10"/>
  <c r="M76" i="10"/>
  <c r="D76" i="10"/>
  <c r="AS72" i="10"/>
  <c r="E79" i="10"/>
  <c r="AG77" i="10"/>
  <c r="AI77" i="10"/>
  <c r="AA74" i="10"/>
  <c r="AJ76" i="10"/>
  <c r="AC79" i="10"/>
  <c r="AF78" i="10"/>
  <c r="I79" i="10"/>
  <c r="AQ76" i="10"/>
  <c r="AB78" i="10"/>
  <c r="J75" i="10"/>
  <c r="G74" i="10"/>
  <c r="L75" i="10"/>
  <c r="O76" i="10"/>
  <c r="AC76" i="10"/>
  <c r="S74" i="10"/>
  <c r="AL73" i="10"/>
  <c r="AJ72" i="10"/>
  <c r="U70" i="10"/>
  <c r="AG67" i="10"/>
  <c r="F73" i="10"/>
  <c r="AB79" i="10"/>
  <c r="M77" i="10"/>
  <c r="AO77" i="10"/>
  <c r="Z76" i="10"/>
  <c r="G77" i="10"/>
  <c r="G72" i="10"/>
  <c r="P79" i="10"/>
  <c r="J79" i="10"/>
  <c r="E84" i="10"/>
  <c r="I77" i="10"/>
  <c r="AV75" i="10"/>
  <c r="Y77" i="10"/>
  <c r="C74" i="10"/>
  <c r="AG76" i="10"/>
  <c r="AW76" i="10"/>
  <c r="L74" i="10"/>
  <c r="I72" i="10"/>
  <c r="X71" i="10"/>
  <c r="AA70" i="10"/>
  <c r="I69" i="10"/>
  <c r="AU68" i="10"/>
  <c r="Z71" i="10"/>
  <c r="K77" i="10"/>
  <c r="AF76" i="10"/>
  <c r="AH73" i="10"/>
  <c r="AS71" i="10"/>
  <c r="N75" i="10"/>
  <c r="AG73" i="10"/>
  <c r="AV72" i="10"/>
  <c r="AQ73" i="10"/>
  <c r="T67" i="10"/>
  <c r="M79" i="10"/>
  <c r="AV79" i="10"/>
  <c r="Z84" i="10"/>
  <c r="N77" i="10"/>
  <c r="AQ74" i="10"/>
  <c r="Y74" i="10"/>
  <c r="AO73" i="10"/>
  <c r="AS76" i="10"/>
  <c r="AN73" i="10"/>
  <c r="O72" i="10"/>
  <c r="T71" i="10"/>
  <c r="AA69" i="10"/>
  <c r="AV69" i="10"/>
  <c r="M70" i="10"/>
  <c r="M68" i="10"/>
  <c r="J74" i="10"/>
  <c r="AR71" i="10"/>
  <c r="V67" i="10"/>
  <c r="K72" i="10"/>
  <c r="AC80" i="10"/>
  <c r="T73" i="10"/>
  <c r="N79" i="10"/>
  <c r="Q80" i="10"/>
  <c r="AV78" i="10"/>
  <c r="H84" i="10"/>
  <c r="R79" i="10"/>
  <c r="AM77" i="10"/>
  <c r="AD76" i="10"/>
  <c r="Y81" i="10"/>
  <c r="AF77" i="10"/>
  <c r="AS86" i="10"/>
  <c r="F74" i="10"/>
  <c r="F78" i="10"/>
  <c r="H73" i="10"/>
  <c r="AI73" i="10"/>
  <c r="W71" i="10"/>
  <c r="AT77" i="10"/>
  <c r="R77" i="10"/>
  <c r="Z73" i="10"/>
  <c r="N74" i="10"/>
  <c r="AW75" i="10"/>
  <c r="AV76" i="10"/>
  <c r="K73" i="10"/>
  <c r="AN72" i="10"/>
  <c r="AG72" i="10"/>
  <c r="AN71" i="10"/>
  <c r="J69" i="10"/>
  <c r="AI69" i="10"/>
  <c r="P70" i="10"/>
  <c r="AP68" i="10"/>
  <c r="K78" i="10"/>
  <c r="G84" i="10"/>
  <c r="Q79" i="10"/>
  <c r="Z77" i="10"/>
  <c r="AA77" i="10"/>
  <c r="AW81" i="10"/>
  <c r="AB77" i="10"/>
  <c r="AD86" i="10"/>
  <c r="AW74" i="10"/>
  <c r="I74" i="10"/>
  <c r="AM78" i="10"/>
  <c r="L73" i="10"/>
  <c r="AR73" i="10"/>
  <c r="AC72" i="10"/>
  <c r="AD73" i="10"/>
  <c r="F72" i="10"/>
  <c r="F71" i="10"/>
  <c r="S67" i="10"/>
  <c r="D79" i="10"/>
  <c r="AK80" i="10"/>
  <c r="W79" i="10"/>
  <c r="H77" i="10"/>
  <c r="W74" i="10"/>
  <c r="S73" i="10"/>
  <c r="R74" i="10"/>
  <c r="G75" i="10"/>
  <c r="P73" i="10"/>
  <c r="AI76" i="10"/>
  <c r="W73" i="10"/>
  <c r="AT73" i="10"/>
  <c r="H72" i="10"/>
  <c r="AM71" i="10"/>
  <c r="O69" i="10"/>
  <c r="AH69" i="10"/>
  <c r="V70" i="10"/>
  <c r="AH72" i="10"/>
  <c r="R73" i="10"/>
  <c r="Q73" i="10"/>
  <c r="Z72" i="10"/>
  <c r="J71" i="10"/>
  <c r="AG69" i="10"/>
  <c r="N69" i="10"/>
  <c r="M103" i="10"/>
  <c r="V69" i="10"/>
  <c r="AN70" i="10"/>
  <c r="J70" i="10"/>
  <c r="G70" i="10"/>
  <c r="AC69" i="10"/>
  <c r="AS68" i="10"/>
  <c r="R68" i="10"/>
  <c r="AB69" i="10"/>
  <c r="G71" i="10"/>
  <c r="U68" i="10"/>
  <c r="AK76" i="10"/>
  <c r="AA72" i="10"/>
  <c r="Q72" i="10"/>
  <c r="D71" i="10"/>
  <c r="AA103" i="10"/>
  <c r="M69" i="10"/>
  <c r="AL70" i="10"/>
  <c r="AJ70" i="10"/>
  <c r="T70" i="10"/>
  <c r="X69" i="10"/>
  <c r="Y68" i="10"/>
  <c r="AF71" i="10"/>
  <c r="AO71" i="10"/>
  <c r="AG68" i="10"/>
  <c r="J76" i="10"/>
  <c r="O70" i="10"/>
  <c r="V79" i="10"/>
  <c r="F79" i="10"/>
  <c r="J77" i="10"/>
  <c r="AP77" i="10"/>
  <c r="P81" i="10"/>
  <c r="AO75" i="10"/>
  <c r="I86" i="10"/>
  <c r="AD77" i="10"/>
  <c r="Y76" i="10"/>
  <c r="AP74" i="10"/>
  <c r="AV77" i="10"/>
  <c r="Q75" i="10"/>
  <c r="I73" i="10"/>
  <c r="AS74" i="10"/>
  <c r="N82" i="10"/>
  <c r="AN76" i="10"/>
  <c r="K76" i="10"/>
  <c r="AV73" i="10"/>
  <c r="AI74" i="10"/>
  <c r="AI75" i="10"/>
  <c r="AB74" i="10"/>
  <c r="X72" i="10"/>
  <c r="AQ72" i="10"/>
  <c r="U73" i="10"/>
  <c r="J73" i="10"/>
  <c r="L72" i="10"/>
  <c r="AK72" i="10"/>
  <c r="E73" i="10"/>
  <c r="AD72" i="10"/>
  <c r="AG71" i="10"/>
  <c r="AA71" i="10"/>
  <c r="AP70" i="10"/>
  <c r="Y69" i="10"/>
  <c r="T69" i="10"/>
  <c r="AO69" i="10"/>
  <c r="AQ70" i="10"/>
  <c r="W70" i="10"/>
  <c r="AR70" i="10"/>
  <c r="AJ68" i="10"/>
  <c r="AT69" i="10"/>
  <c r="W68" i="10"/>
  <c r="F69" i="10"/>
  <c r="R71" i="10"/>
  <c r="H68" i="10"/>
  <c r="S76" i="10"/>
  <c r="AD71" i="10"/>
  <c r="K69" i="10"/>
  <c r="L79" i="10"/>
  <c r="AR78" i="10"/>
  <c r="AI84" i="10"/>
  <c r="G78" i="10"/>
  <c r="AS77" i="10"/>
  <c r="AK77" i="10"/>
  <c r="X77" i="10"/>
  <c r="O74" i="10"/>
  <c r="AT82" i="10"/>
  <c r="W76" i="10"/>
  <c r="C73" i="10"/>
  <c r="AO74" i="10"/>
  <c r="Y75" i="10"/>
  <c r="M74" i="10"/>
  <c r="AB72" i="10"/>
  <c r="M73" i="10"/>
  <c r="AB73" i="10"/>
  <c r="AI72" i="10"/>
  <c r="AW72" i="10"/>
  <c r="AJ73" i="10"/>
  <c r="AB70" i="10"/>
  <c r="L71" i="10"/>
  <c r="U71" i="10"/>
  <c r="Z70" i="10"/>
  <c r="L69" i="10"/>
  <c r="G103" i="10"/>
  <c r="AJ69" i="10"/>
  <c r="AW70" i="10"/>
  <c r="I70" i="10"/>
  <c r="D69" i="10"/>
  <c r="C69" i="10"/>
  <c r="AK68" i="10"/>
  <c r="V71" i="10"/>
  <c r="AK71" i="10"/>
  <c r="G67" i="10"/>
  <c r="I76" i="10"/>
  <c r="T76" i="10"/>
  <c r="V72" i="10"/>
  <c r="AT70" i="10"/>
  <c r="H69" i="10"/>
  <c r="R69" i="10"/>
  <c r="AD70" i="10"/>
  <c r="Y70" i="10"/>
  <c r="C70" i="10"/>
  <c r="E68" i="10"/>
  <c r="AU69" i="10"/>
  <c r="Q71" i="10"/>
  <c r="P71" i="10"/>
  <c r="AC67" i="10"/>
  <c r="AR76" i="10"/>
  <c r="Y73" i="10"/>
  <c r="E71" i="10"/>
  <c r="AP71" i="10"/>
  <c r="N70" i="10"/>
  <c r="AN69" i="10"/>
  <c r="K68" i="10"/>
  <c r="AF70" i="10"/>
  <c r="W69" i="10"/>
  <c r="G69" i="10"/>
  <c r="AM69" i="10"/>
  <c r="AJ71" i="10"/>
  <c r="AU76" i="10"/>
  <c r="AI67" i="10"/>
  <c r="U76" i="10"/>
  <c r="AK70" i="10"/>
  <c r="S68" i="10"/>
  <c r="S78" i="10"/>
  <c r="AJ84" i="10"/>
  <c r="H79" i="10"/>
  <c r="V78" i="10"/>
  <c r="P77" i="10"/>
  <c r="F76" i="10"/>
  <c r="AI81" i="10"/>
  <c r="Y78" i="10"/>
  <c r="U77" i="10"/>
  <c r="AM74" i="10"/>
  <c r="I75" i="10"/>
  <c r="AT74" i="10"/>
  <c r="K74" i="10"/>
  <c r="L76" i="10"/>
  <c r="AC78" i="10"/>
  <c r="F75" i="10"/>
  <c r="AC73" i="10"/>
  <c r="AJ74" i="10"/>
  <c r="AG82" i="10"/>
  <c r="AR75" i="10"/>
  <c r="AB76" i="10"/>
  <c r="AT76" i="10"/>
  <c r="AP75" i="10"/>
  <c r="AA73" i="10"/>
  <c r="Y72" i="10"/>
  <c r="AL72" i="10"/>
  <c r="AK73" i="10"/>
  <c r="AP73" i="10"/>
  <c r="N71" i="10"/>
  <c r="AF72" i="10"/>
  <c r="I71" i="10"/>
  <c r="AV70" i="10"/>
  <c r="O71" i="10"/>
  <c r="AH71" i="10"/>
  <c r="X70" i="10"/>
  <c r="AL69" i="10"/>
  <c r="AM103" i="10"/>
  <c r="AF69" i="10"/>
  <c r="D70" i="10"/>
  <c r="E70" i="10"/>
  <c r="AW69" i="10"/>
  <c r="AC68" i="10"/>
  <c r="AI68" i="10"/>
  <c r="Z69" i="10"/>
  <c r="AI71" i="10"/>
  <c r="C68" i="10"/>
  <c r="AN67" i="10"/>
  <c r="V76" i="10"/>
  <c r="C88" i="10"/>
  <c r="AI86" i="10"/>
  <c r="W93" i="10"/>
  <c r="I81" i="10"/>
  <c r="J83" i="10"/>
  <c r="Z83" i="10"/>
  <c r="G85" i="10"/>
  <c r="AB89" i="10"/>
  <c r="S89" i="10"/>
  <c r="Y89" i="10"/>
  <c r="U80" i="10"/>
  <c r="AB93" i="10"/>
  <c r="V92" i="10"/>
  <c r="R92" i="10"/>
  <c r="AW91" i="10"/>
  <c r="AW86" i="10"/>
  <c r="V88" i="10"/>
  <c r="P83" i="10"/>
  <c r="AR83" i="10"/>
  <c r="I98" i="10"/>
  <c r="AJ94" i="10"/>
  <c r="AN95" i="10"/>
  <c r="D94" i="10"/>
  <c r="AJ93" i="10"/>
  <c r="H93" i="10"/>
  <c r="E92" i="10"/>
  <c r="C92" i="10"/>
  <c r="AA91" i="10"/>
  <c r="D86" i="10"/>
  <c r="AH88" i="10"/>
  <c r="M88" i="10"/>
  <c r="T83" i="10"/>
  <c r="O91" i="10"/>
  <c r="AQ90" i="10"/>
  <c r="U83" i="10"/>
  <c r="C85" i="10"/>
  <c r="S85" i="10"/>
  <c r="R90" i="10"/>
  <c r="AH87" i="10"/>
  <c r="C84" i="10"/>
  <c r="AK94" i="10"/>
  <c r="AU94" i="10"/>
  <c r="AI92" i="10"/>
  <c r="W83" i="10"/>
  <c r="AO93" i="10"/>
  <c r="AD91" i="10"/>
  <c r="V81" i="10"/>
  <c r="E81" i="10"/>
  <c r="AM81" i="10"/>
  <c r="Q85" i="10"/>
  <c r="AW85" i="10"/>
  <c r="I89" i="10"/>
  <c r="AK89" i="10"/>
  <c r="U84" i="10"/>
  <c r="P89" i="10"/>
  <c r="J84" i="10"/>
  <c r="AF92" i="10"/>
  <c r="K86" i="10"/>
  <c r="X88" i="10"/>
  <c r="AN88" i="10"/>
  <c r="Q86" i="10"/>
  <c r="AS83" i="10"/>
  <c r="Q93" i="10"/>
  <c r="W81" i="10"/>
  <c r="AF83" i="10"/>
  <c r="AQ81" i="10"/>
  <c r="AD83" i="10"/>
  <c r="X85" i="10"/>
  <c r="AS85" i="10"/>
  <c r="C89" i="10"/>
  <c r="AL84" i="10"/>
  <c r="AJ87" i="10"/>
  <c r="AK84" i="10"/>
  <c r="AL82" i="10"/>
  <c r="Z95" i="10"/>
  <c r="U98" i="10"/>
  <c r="AQ92" i="10"/>
  <c r="AB92" i="10"/>
  <c r="AR91" i="10"/>
  <c r="AC88" i="10"/>
  <c r="P86" i="10"/>
  <c r="AC98" i="10"/>
  <c r="J98" i="10"/>
  <c r="AQ95" i="10"/>
  <c r="AD94" i="10"/>
  <c r="M93" i="10"/>
  <c r="M95" i="10"/>
  <c r="AT94" i="10"/>
  <c r="AV92" i="10"/>
  <c r="N92" i="10"/>
  <c r="S98" i="10"/>
  <c r="D98" i="10"/>
  <c r="F95" i="10"/>
  <c r="AF94" i="10"/>
  <c r="F93" i="10"/>
  <c r="N95" i="10"/>
  <c r="AU92" i="10"/>
  <c r="D92" i="10"/>
  <c r="C91" i="10"/>
  <c r="D91" i="10"/>
  <c r="Q88" i="10"/>
  <c r="P88" i="10"/>
  <c r="AF88" i="10"/>
  <c r="AH86" i="10"/>
  <c r="K83" i="10"/>
  <c r="T93" i="10"/>
  <c r="D81" i="10"/>
  <c r="F83" i="10"/>
  <c r="X83" i="10"/>
  <c r="M85" i="10"/>
  <c r="I87" i="10"/>
  <c r="C87" i="10"/>
  <c r="X82" i="10"/>
  <c r="K93" i="10"/>
  <c r="L98" i="10"/>
  <c r="AG94" i="10"/>
  <c r="AJ91" i="10"/>
  <c r="L91" i="10"/>
  <c r="G81" i="10"/>
  <c r="Y83" i="10"/>
  <c r="AD90" i="10"/>
  <c r="P85" i="10"/>
  <c r="AQ89" i="10"/>
  <c r="Z87" i="10"/>
  <c r="S84" i="10"/>
  <c r="E94" i="10"/>
  <c r="AG92" i="10"/>
  <c r="L92" i="10"/>
  <c r="AB88" i="10"/>
  <c r="J88" i="10"/>
  <c r="G83" i="10"/>
  <c r="N83" i="10"/>
  <c r="AK91" i="10"/>
  <c r="AJ81" i="10"/>
  <c r="F81" i="10"/>
  <c r="T85" i="10"/>
  <c r="AF85" i="10"/>
  <c r="AS89" i="10"/>
  <c r="R89" i="10"/>
  <c r="R84" i="10"/>
  <c r="O87" i="10"/>
  <c r="F84" i="10"/>
  <c r="AH98" i="10"/>
  <c r="K92" i="10"/>
  <c r="V91" i="10"/>
  <c r="AS92" i="10"/>
  <c r="AF91" i="10"/>
  <c r="AB91" i="10"/>
  <c r="Z98" i="10"/>
  <c r="C94" i="10"/>
  <c r="AJ95" i="10"/>
  <c r="R94" i="10"/>
  <c r="AH94" i="10"/>
  <c r="AW95" i="10"/>
  <c r="AI93" i="10"/>
  <c r="AD92" i="10"/>
  <c r="H92" i="10"/>
  <c r="G93" i="10"/>
  <c r="U88" i="10"/>
  <c r="K88" i="10"/>
  <c r="Z88" i="10"/>
  <c r="AJ86" i="10"/>
  <c r="AJ83" i="10"/>
  <c r="AP83" i="10"/>
  <c r="AG91" i="10"/>
  <c r="W91" i="10"/>
  <c r="AI83" i="10"/>
  <c r="AD81" i="10"/>
  <c r="AO85" i="10"/>
  <c r="AP90" i="10"/>
  <c r="AQ85" i="10"/>
  <c r="AA89" i="10"/>
  <c r="AG85" i="10"/>
  <c r="AW87" i="10"/>
  <c r="AM82" i="10"/>
  <c r="C95" i="10"/>
  <c r="AG98" i="10"/>
  <c r="AO92" i="10"/>
  <c r="P92" i="10"/>
  <c r="G86" i="10"/>
  <c r="AF98" i="10"/>
  <c r="O94" i="10"/>
  <c r="X94" i="10"/>
  <c r="AW93" i="10"/>
  <c r="AP92" i="10"/>
  <c r="AO91" i="10"/>
  <c r="AW88" i="10"/>
  <c r="AP88" i="10"/>
  <c r="I88" i="10"/>
  <c r="V86" i="10"/>
  <c r="AS91" i="10"/>
  <c r="R83" i="10"/>
  <c r="J81" i="10"/>
  <c r="L81" i="10"/>
  <c r="AU90" i="10"/>
  <c r="AC89" i="10"/>
  <c r="T89" i="10"/>
  <c r="J85" i="10"/>
  <c r="AV82" i="10"/>
  <c r="D80" i="10"/>
  <c r="AC93" i="10"/>
  <c r="W95" i="10"/>
  <c r="AT88" i="10"/>
  <c r="W88" i="10"/>
  <c r="S88" i="10"/>
  <c r="AO83" i="10"/>
  <c r="AC91" i="10"/>
  <c r="T91" i="10"/>
  <c r="AL95" i="10"/>
  <c r="P94" i="10"/>
  <c r="I95" i="10"/>
  <c r="AA94" i="10"/>
  <c r="AC95" i="10"/>
  <c r="J92" i="10"/>
  <c r="AL92" i="10"/>
  <c r="S93" i="10"/>
  <c r="X92" i="10"/>
  <c r="T88" i="10"/>
  <c r="H88" i="10"/>
  <c r="AQ88" i="10"/>
  <c r="F88" i="10"/>
  <c r="AA86" i="10"/>
  <c r="Q91" i="10"/>
  <c r="O81" i="10"/>
  <c r="AI91" i="10"/>
  <c r="AU83" i="10"/>
  <c r="AF81" i="10"/>
  <c r="AC85" i="10"/>
  <c r="W90" i="10"/>
  <c r="R85" i="10"/>
  <c r="AV89" i="10"/>
  <c r="L87" i="10"/>
  <c r="I82" i="10"/>
  <c r="T94" i="10"/>
  <c r="AW92" i="10"/>
  <c r="T95" i="10"/>
  <c r="O93" i="10"/>
  <c r="T98" i="10"/>
  <c r="AS94" i="10"/>
  <c r="AO95" i="10"/>
  <c r="J94" i="10"/>
  <c r="AA92" i="10"/>
  <c r="AP94" i="10"/>
  <c r="Y95" i="10"/>
  <c r="G98" i="10"/>
  <c r="AR95" i="10"/>
  <c r="G94" i="10"/>
  <c r="K94" i="10"/>
  <c r="AS95" i="10"/>
  <c r="AV95" i="10"/>
  <c r="O95" i="10"/>
  <c r="V94" i="10"/>
  <c r="I94" i="10"/>
  <c r="AS93" i="10"/>
  <c r="O92" i="10"/>
  <c r="S92" i="10"/>
  <c r="AN93" i="10"/>
  <c r="H91" i="10"/>
  <c r="AJ88" i="10"/>
  <c r="AV88" i="10"/>
  <c r="AG88" i="10"/>
  <c r="U86" i="10"/>
  <c r="AB83" i="10"/>
  <c r="I83" i="10"/>
  <c r="P91" i="10"/>
  <c r="M81" i="10"/>
  <c r="AM85" i="10"/>
  <c r="K85" i="10"/>
  <c r="AO89" i="10"/>
  <c r="K89" i="10"/>
  <c r="AI85" i="10"/>
  <c r="X87" i="10"/>
  <c r="Q82" i="10"/>
  <c r="AL83" i="10"/>
  <c r="AM91" i="10"/>
  <c r="AS81" i="10"/>
  <c r="O85" i="10"/>
  <c r="AJ90" i="10"/>
  <c r="AC90" i="10"/>
  <c r="D89" i="10"/>
  <c r="Q87" i="10"/>
  <c r="AP87" i="10"/>
  <c r="AD84" i="10"/>
  <c r="AN92" i="10"/>
  <c r="AM88" i="10"/>
  <c r="F86" i="10"/>
  <c r="AI88" i="10"/>
  <c r="T86" i="10"/>
  <c r="Z91" i="10"/>
  <c r="E83" i="10"/>
  <c r="AT83" i="10"/>
  <c r="S81" i="10"/>
  <c r="T81" i="10"/>
  <c r="AR90" i="10"/>
  <c r="AN90" i="10"/>
  <c r="J89" i="10"/>
  <c r="AP89" i="10"/>
  <c r="G87" i="10"/>
  <c r="AD82" i="10"/>
  <c r="AT93" i="10"/>
  <c r="Q95" i="10"/>
  <c r="W94" i="10"/>
  <c r="AT95" i="10"/>
  <c r="AC94" i="10"/>
  <c r="AW94" i="10"/>
  <c r="I93" i="10"/>
  <c r="AV93" i="10"/>
  <c r="I92" i="10"/>
  <c r="AO88" i="10"/>
  <c r="R88" i="10"/>
  <c r="AT86" i="10"/>
  <c r="AD88" i="10"/>
  <c r="W86" i="10"/>
  <c r="AU91" i="10"/>
  <c r="AC83" i="10"/>
  <c r="AQ83" i="10"/>
  <c r="Q81" i="10"/>
  <c r="H83" i="10"/>
  <c r="L90" i="10"/>
  <c r="AF90" i="10"/>
  <c r="Z90" i="10"/>
  <c r="E89" i="10"/>
  <c r="AU84" i="10"/>
  <c r="W82" i="10"/>
  <c r="AV94" i="10"/>
  <c r="AM86" i="10"/>
  <c r="Y93" i="10"/>
  <c r="X90" i="10"/>
  <c r="D87" i="10"/>
  <c r="AP95" i="10"/>
  <c r="J95" i="10"/>
  <c r="AI94" i="10"/>
  <c r="AB94" i="10"/>
  <c r="AG95" i="10"/>
  <c r="U93" i="10"/>
  <c r="N93" i="10"/>
  <c r="AH92" i="10"/>
  <c r="AJ92" i="10"/>
  <c r="AT92" i="10"/>
  <c r="AA88" i="10"/>
  <c r="AR86" i="10"/>
  <c r="C86" i="10"/>
  <c r="AT91" i="10"/>
  <c r="S83" i="10"/>
  <c r="AV83" i="10"/>
  <c r="U81" i="10"/>
  <c r="AW90" i="10"/>
  <c r="C90" i="10"/>
  <c r="AG90" i="10"/>
  <c r="F85" i="10"/>
  <c r="J90" i="10"/>
  <c r="AN89" i="10"/>
  <c r="M87" i="10"/>
  <c r="AF82" i="10"/>
  <c r="AR88" i="10"/>
  <c r="AL88" i="10"/>
  <c r="H89" i="10"/>
  <c r="AH93" i="10"/>
  <c r="AF93" i="10"/>
  <c r="U92" i="10"/>
  <c r="AK92" i="10"/>
  <c r="L88" i="10"/>
  <c r="M86" i="10"/>
  <c r="O86" i="10"/>
  <c r="Y86" i="10"/>
  <c r="AL91" i="10"/>
  <c r="G90" i="10"/>
  <c r="P90" i="10"/>
  <c r="O90" i="10"/>
  <c r="O89" i="10"/>
  <c r="AG87" i="10"/>
  <c r="K84" i="10"/>
  <c r="C82" i="10"/>
  <c r="AM93" i="10"/>
  <c r="U95" i="10"/>
  <c r="Z92" i="10"/>
  <c r="AK88" i="10"/>
  <c r="AB86" i="10"/>
  <c r="Y91" i="10"/>
  <c r="D83" i="10"/>
  <c r="Z81" i="10"/>
  <c r="AK90" i="10"/>
  <c r="E90" i="10"/>
  <c r="E85" i="10"/>
  <c r="AM89" i="10"/>
  <c r="M94" i="10"/>
  <c r="AD95" i="10"/>
  <c r="AV98" i="10"/>
  <c r="AA95" i="10"/>
  <c r="AW83" i="10"/>
  <c r="AV91" i="10"/>
  <c r="AB84" i="10"/>
  <c r="R82" i="10"/>
  <c r="AK95" i="10"/>
  <c r="E88" i="10"/>
  <c r="Y94" i="10"/>
  <c r="V93" i="10"/>
  <c r="AU93" i="10"/>
  <c r="H95" i="10"/>
  <c r="N88" i="10"/>
  <c r="AN86" i="10"/>
  <c r="AP86" i="10"/>
  <c r="E93" i="10"/>
  <c r="I90" i="10"/>
  <c r="AU87" i="10"/>
  <c r="F98" i="10"/>
  <c r="AQ94" i="10"/>
  <c r="G92" i="10"/>
  <c r="AC92" i="10"/>
  <c r="M92" i="10"/>
  <c r="E86" i="10"/>
  <c r="Y88" i="10"/>
  <c r="AV86" i="10"/>
  <c r="AF86" i="10"/>
  <c r="R86" i="10"/>
  <c r="O83" i="10"/>
  <c r="AH83" i="10"/>
  <c r="AV81" i="10"/>
  <c r="AO81" i="10"/>
  <c r="F90" i="10"/>
  <c r="V85" i="10"/>
  <c r="AL90" i="10"/>
  <c r="X89" i="10"/>
  <c r="J87" i="10"/>
  <c r="AH91" i="10"/>
  <c r="AA84" i="10"/>
  <c r="AH84" i="10"/>
  <c r="Z94" i="10"/>
  <c r="C93" i="10"/>
  <c r="Q94" i="10"/>
  <c r="D93" i="10"/>
  <c r="AN91" i="10"/>
  <c r="AG83" i="10"/>
  <c r="AO90" i="10"/>
  <c r="D90" i="10"/>
  <c r="AP93" i="10"/>
  <c r="Z93" i="10"/>
  <c r="X93" i="10"/>
  <c r="AM92" i="10"/>
  <c r="AR92" i="10"/>
  <c r="G91" i="10"/>
  <c r="H86" i="10"/>
  <c r="O88" i="10"/>
  <c r="N86" i="10"/>
  <c r="AL93" i="10"/>
  <c r="L83" i="10"/>
  <c r="M83" i="10"/>
  <c r="AA81" i="10"/>
  <c r="AT90" i="10"/>
  <c r="Q83" i="10"/>
  <c r="V90" i="10"/>
  <c r="D85" i="10"/>
  <c r="K90" i="10"/>
  <c r="Q89" i="10"/>
  <c r="X91" i="10"/>
  <c r="N94" i="10"/>
  <c r="F91" i="10"/>
  <c r="D88" i="10"/>
  <c r="AS88" i="10"/>
  <c r="R91" i="10"/>
  <c r="AF95" i="10"/>
  <c r="H94" i="10"/>
  <c r="L95" i="10"/>
  <c r="AM94" i="10"/>
  <c r="AS87" i="10"/>
  <c r="P95" i="10"/>
  <c r="T92" i="10"/>
  <c r="AP98" i="10"/>
  <c r="AA93" i="10"/>
  <c r="L93" i="10"/>
  <c r="G95" i="10"/>
  <c r="N98" i="10"/>
  <c r="M98" i="10"/>
  <c r="AN94" i="10"/>
  <c r="AQ93" i="10"/>
  <c r="AL94" i="10"/>
  <c r="AH95" i="10"/>
  <c r="AD93" i="10"/>
  <c r="J93" i="10"/>
  <c r="Q92" i="10"/>
  <c r="Y92" i="10"/>
  <c r="X86" i="10"/>
  <c r="J86" i="10"/>
  <c r="S86" i="10"/>
  <c r="AG86" i="10"/>
  <c r="R93" i="10"/>
  <c r="AN83" i="10"/>
  <c r="AN81" i="10"/>
  <c r="H81" i="10"/>
  <c r="AS90" i="10"/>
  <c r="W85" i="10"/>
  <c r="AI90" i="10"/>
  <c r="V87" i="10"/>
  <c r="R87" i="10"/>
  <c r="T84" i="10"/>
  <c r="L80" i="10"/>
  <c r="S94" i="10"/>
  <c r="F92" i="10"/>
  <c r="L94" i="10"/>
  <c r="AM95" i="10"/>
  <c r="AK93" i="10"/>
  <c r="K91" i="10"/>
  <c r="R95" i="10"/>
  <c r="AK86" i="10"/>
  <c r="AB95" i="10"/>
  <c r="W98" i="10"/>
  <c r="F94" i="10"/>
  <c r="AS98" i="10"/>
  <c r="AU98" i="10"/>
  <c r="AR94" i="10"/>
  <c r="P93" i="10"/>
  <c r="AO94" i="10"/>
  <c r="U94" i="10"/>
  <c r="AG93" i="10"/>
  <c r="W92" i="10"/>
  <c r="AP91" i="10"/>
  <c r="AO86" i="10"/>
  <c r="AU88" i="10"/>
  <c r="G88" i="10"/>
  <c r="L86" i="10"/>
  <c r="C83" i="10"/>
  <c r="AR93" i="10"/>
  <c r="K81" i="10"/>
  <c r="C81" i="10"/>
  <c r="AG81" i="10"/>
  <c r="V83" i="10"/>
  <c r="AB85" i="10"/>
  <c r="L85" i="10"/>
  <c r="M90" i="10"/>
  <c r="Z85" i="10"/>
  <c r="AG89" i="10"/>
  <c r="AO84" i="10"/>
  <c r="V80" i="10"/>
  <c r="AB80" i="10"/>
  <c r="P80" i="10"/>
  <c r="AU80" i="10"/>
  <c r="W84" i="10"/>
  <c r="AN82" i="10"/>
  <c r="AQ80" i="10"/>
  <c r="G82" i="10"/>
  <c r="AS80" i="10"/>
  <c r="P87" i="10"/>
  <c r="AW80" i="10"/>
  <c r="M80" i="10"/>
  <c r="S80" i="10"/>
  <c r="AD85" i="10"/>
  <c r="AM90" i="10"/>
  <c r="AW89" i="10"/>
  <c r="AI89" i="10"/>
  <c r="V89" i="10"/>
  <c r="U87" i="10"/>
  <c r="M84" i="10"/>
  <c r="AL85" i="10"/>
  <c r="M91" i="10"/>
  <c r="AU89" i="10"/>
  <c r="AB87" i="10"/>
  <c r="AS84" i="10"/>
  <c r="AU82" i="10"/>
  <c r="AM84" i="10"/>
  <c r="AF87" i="10"/>
  <c r="N87" i="10"/>
  <c r="AK85" i="10"/>
  <c r="J91" i="10"/>
  <c r="W89" i="10"/>
  <c r="AD87" i="10"/>
  <c r="AC84" i="10"/>
  <c r="X84" i="10"/>
  <c r="H82" i="10"/>
  <c r="AC82" i="10"/>
  <c r="AF80" i="10"/>
  <c r="Y82" i="10"/>
  <c r="AV80" i="10"/>
  <c r="AF84" i="10"/>
  <c r="K87" i="10"/>
  <c r="I80" i="10"/>
  <c r="G80" i="10"/>
  <c r="AQ79" i="10"/>
  <c r="G89" i="10"/>
  <c r="U89" i="10"/>
  <c r="AP84" i="10"/>
  <c r="AK83" i="10"/>
  <c r="E91" i="10"/>
  <c r="X81" i="10"/>
  <c r="AT81" i="10"/>
  <c r="T90" i="10"/>
  <c r="AR85" i="10"/>
  <c r="AH85" i="10"/>
  <c r="AT87" i="10"/>
  <c r="AD89" i="10"/>
  <c r="V84" i="10"/>
  <c r="W87" i="10"/>
  <c r="K82" i="10"/>
  <c r="AH80" i="10"/>
  <c r="AN80" i="10"/>
  <c r="I84" i="10"/>
  <c r="AQ97" i="10"/>
  <c r="AJ80" i="10"/>
  <c r="E80" i="10"/>
  <c r="AJ79" i="10"/>
  <c r="U91" i="10"/>
  <c r="AA83" i="10"/>
  <c r="AP81" i="10"/>
  <c r="Y90" i="10"/>
  <c r="AT85" i="10"/>
  <c r="AA85" i="10"/>
  <c r="Y85" i="10"/>
  <c r="Q90" i="10"/>
  <c r="AR89" i="10"/>
  <c r="T87" i="10"/>
  <c r="AK87" i="10"/>
  <c r="N91" i="10"/>
  <c r="AC87" i="10"/>
  <c r="O84" i="10"/>
  <c r="Y84" i="10"/>
  <c r="AJ82" i="10"/>
  <c r="M82" i="10"/>
  <c r="S91" i="10"/>
  <c r="N81" i="10"/>
  <c r="AB81" i="10"/>
  <c r="R81" i="10"/>
  <c r="AR81" i="10"/>
  <c r="AA90" i="10"/>
  <c r="AV85" i="10"/>
  <c r="H90" i="10"/>
  <c r="N85" i="10"/>
  <c r="AP85" i="10"/>
  <c r="U85" i="10"/>
  <c r="S90" i="10"/>
  <c r="AH90" i="10"/>
  <c r="AF89" i="10"/>
  <c r="AH89" i="10"/>
  <c r="AL87" i="10"/>
  <c r="AL89" i="10"/>
  <c r="AN87" i="10"/>
  <c r="AW84" i="10"/>
  <c r="Y87" i="10"/>
  <c r="E87" i="10"/>
  <c r="AN84" i="10"/>
  <c r="AV84" i="10"/>
  <c r="AO82" i="10"/>
  <c r="V82" i="10"/>
  <c r="AR80" i="10"/>
  <c r="T82" i="10"/>
  <c r="AA80" i="10"/>
  <c r="N84" i="10"/>
  <c r="AD97" i="10"/>
  <c r="AP80" i="10"/>
  <c r="O80" i="10"/>
  <c r="T79" i="10"/>
  <c r="AR87" i="10"/>
  <c r="I91" i="10"/>
  <c r="J80" i="10"/>
  <c r="P84" i="10"/>
  <c r="Z97" i="10"/>
  <c r="N80" i="10"/>
  <c r="AL80" i="10"/>
  <c r="AT79" i="10"/>
  <c r="F82" i="10"/>
  <c r="AV87" i="10"/>
  <c r="E97" i="10"/>
  <c r="R80" i="10"/>
  <c r="Y80" i="10"/>
  <c r="AS79" i="10"/>
  <c r="AB82" i="10"/>
  <c r="AQ82" i="10"/>
  <c r="AA87" i="10"/>
  <c r="I97" i="10"/>
  <c r="AM80" i="10"/>
  <c r="Z80" i="10"/>
  <c r="Z79" i="10"/>
  <c r="AG80" i="10"/>
  <c r="D82" i="10"/>
  <c r="X80" i="10"/>
  <c r="AI87" i="10"/>
  <c r="AL97" i="10"/>
  <c r="T80" i="10"/>
  <c r="O79" i="10"/>
  <c r="AA82" i="10"/>
  <c r="AH82" i="10"/>
  <c r="U90" i="10"/>
  <c r="AT89" i="10"/>
  <c r="Z82" i="10"/>
  <c r="S87" i="10"/>
  <c r="AK97" i="10"/>
  <c r="W80" i="10"/>
  <c r="AO80" i="10"/>
  <c r="Y79" i="10"/>
  <c r="AU81" i="10"/>
  <c r="AV90" i="10"/>
  <c r="AB90" i="10"/>
  <c r="AM83" i="10"/>
  <c r="H85" i="10"/>
  <c r="AU85" i="10"/>
  <c r="AN85" i="10"/>
  <c r="AJ85" i="10"/>
  <c r="N90" i="10"/>
  <c r="L89" i="10"/>
  <c r="Z89" i="10"/>
  <c r="AJ89" i="10"/>
  <c r="M89" i="10"/>
  <c r="AQ91" i="10"/>
  <c r="I85" i="10"/>
  <c r="AM87" i="10"/>
  <c r="F89" i="10"/>
  <c r="H87" i="10"/>
  <c r="D84" i="10"/>
  <c r="AG84" i="10"/>
  <c r="E82" i="10"/>
  <c r="AK82" i="10"/>
  <c r="L82" i="10"/>
  <c r="P82" i="10"/>
  <c r="AR84" i="10"/>
  <c r="AQ87" i="10"/>
  <c r="N89" i="10"/>
  <c r="F87" i="10"/>
  <c r="AQ84" i="10"/>
  <c r="Q84" i="10"/>
  <c r="AI82" i="10"/>
  <c r="O82" i="10"/>
  <c r="AD80" i="10"/>
  <c r="U82" i="10"/>
  <c r="AW82" i="10"/>
  <c r="L84" i="10"/>
  <c r="AO87" i="10"/>
  <c r="AH97" i="10"/>
  <c r="F80" i="10"/>
  <c r="AT80" i="10"/>
  <c r="G79" i="10"/>
  <c r="L115" i="10"/>
  <c r="AR106" i="10"/>
  <c r="AK105" i="10"/>
  <c r="L105" i="10"/>
  <c r="U102" i="10"/>
  <c r="AC99" i="10"/>
  <c r="G97" i="10"/>
  <c r="N103" i="10"/>
  <c r="AB100" i="10"/>
  <c r="Y110" i="10"/>
  <c r="AW115" i="10"/>
  <c r="AH109" i="10"/>
  <c r="V107" i="10"/>
  <c r="J118" i="10"/>
  <c r="AP106" i="10"/>
  <c r="E105" i="10"/>
  <c r="S105" i="10"/>
  <c r="AP102" i="10"/>
  <c r="S97" i="10"/>
  <c r="AH103" i="10"/>
  <c r="P109" i="10"/>
  <c r="I115" i="10"/>
  <c r="AA107" i="10"/>
  <c r="AR118" i="10"/>
  <c r="AO106" i="10"/>
  <c r="G105" i="10"/>
  <c r="X102" i="10"/>
  <c r="W102" i="10"/>
  <c r="AK99" i="10"/>
  <c r="P100" i="10"/>
  <c r="D108" i="10"/>
  <c r="AF115" i="10"/>
  <c r="AV109" i="10"/>
  <c r="AO109" i="10"/>
  <c r="N109" i="10"/>
  <c r="L108" i="10"/>
  <c r="O111" i="10"/>
  <c r="AK115" i="10"/>
  <c r="AC107" i="10"/>
  <c r="AV108" i="10"/>
  <c r="AH107" i="10"/>
  <c r="AM118" i="10"/>
  <c r="AN105" i="10"/>
  <c r="Y105" i="10"/>
  <c r="AI102" i="10"/>
  <c r="AT102" i="10"/>
  <c r="AA99" i="10"/>
  <c r="AR96" i="10"/>
  <c r="AC103" i="10"/>
  <c r="Y100" i="10"/>
  <c r="Q115" i="10"/>
  <c r="AN109" i="10"/>
  <c r="I108" i="10"/>
  <c r="F107" i="10"/>
  <c r="AU105" i="10"/>
  <c r="AI107" i="10"/>
  <c r="J106" i="10"/>
  <c r="F106" i="10"/>
  <c r="AC106" i="10"/>
  <c r="AN104" i="10"/>
  <c r="AD102" i="10"/>
  <c r="H104" i="10"/>
  <c r="M113" i="10"/>
  <c r="AU96" i="10"/>
  <c r="G100" i="10"/>
  <c r="G107" i="10"/>
  <c r="AB108" i="10"/>
  <c r="C102" i="10"/>
  <c r="AP109" i="10"/>
  <c r="V106" i="10"/>
  <c r="AG109" i="10"/>
  <c r="D101" i="10"/>
  <c r="AI109" i="10"/>
  <c r="Q108" i="10"/>
  <c r="C110" i="10"/>
  <c r="AQ104" i="10"/>
  <c r="I100" i="10"/>
  <c r="K115" i="10"/>
  <c r="AI106" i="10"/>
  <c r="I104" i="10"/>
  <c r="AL109" i="10"/>
  <c r="K109" i="10"/>
  <c r="Q106" i="10"/>
  <c r="AV96" i="10"/>
  <c r="AB101" i="10"/>
  <c r="AH108" i="10"/>
  <c r="M107" i="10"/>
  <c r="AF111" i="10"/>
  <c r="O105" i="10"/>
  <c r="AQ103" i="10"/>
  <c r="AP108" i="10"/>
  <c r="AH115" i="10"/>
  <c r="K104" i="10"/>
  <c r="AU109" i="10"/>
  <c r="E107" i="10"/>
  <c r="I113" i="10"/>
  <c r="E108" i="10"/>
  <c r="D107" i="10"/>
  <c r="R107" i="10"/>
  <c r="AR105" i="10"/>
  <c r="L109" i="10"/>
  <c r="E106" i="10"/>
  <c r="AS106" i="10"/>
  <c r="I102" i="10"/>
  <c r="S104" i="10"/>
  <c r="AS113" i="10"/>
  <c r="AI101" i="10"/>
  <c r="F108" i="10"/>
  <c r="AO102" i="10"/>
  <c r="Z115" i="10"/>
  <c r="AM115" i="10"/>
  <c r="H115" i="10"/>
  <c r="C104" i="10"/>
  <c r="AW102" i="10"/>
  <c r="F96" i="10"/>
  <c r="AO97" i="10"/>
  <c r="P101" i="10"/>
  <c r="AU108" i="10"/>
  <c r="M108" i="10"/>
  <c r="AN111" i="10"/>
  <c r="AT107" i="10"/>
  <c r="AS99" i="10"/>
  <c r="S115" i="10"/>
  <c r="AW105" i="10"/>
  <c r="AB111" i="10"/>
  <c r="R105" i="10"/>
  <c r="S108" i="10"/>
  <c r="Y115" i="10"/>
  <c r="W109" i="10"/>
  <c r="AF106" i="10"/>
  <c r="AA96" i="10"/>
  <c r="AT101" i="10"/>
  <c r="K98" i="10"/>
  <c r="AS109" i="10"/>
  <c r="C109" i="10"/>
  <c r="AF109" i="10"/>
  <c r="S107" i="10"/>
  <c r="N106" i="10"/>
  <c r="AS108" i="10"/>
  <c r="AM107" i="10"/>
  <c r="C111" i="10"/>
  <c r="W107" i="10"/>
  <c r="U103" i="10"/>
  <c r="O108" i="10"/>
  <c r="H107" i="10"/>
  <c r="AB115" i="10"/>
  <c r="M115" i="10"/>
  <c r="P107" i="10"/>
  <c r="AJ108" i="10"/>
  <c r="AI115" i="10"/>
  <c r="W115" i="10"/>
  <c r="N104" i="10"/>
  <c r="E102" i="10"/>
  <c r="AQ108" i="10"/>
  <c r="C107" i="10"/>
  <c r="T97" i="10"/>
  <c r="AM104" i="10"/>
  <c r="AJ99" i="10"/>
  <c r="E110" i="10"/>
  <c r="J115" i="10"/>
  <c r="AG115" i="10"/>
  <c r="V108" i="10"/>
  <c r="AO115" i="10"/>
  <c r="AU115" i="10"/>
  <c r="AV107" i="10"/>
  <c r="AU107" i="10"/>
  <c r="AP115" i="10"/>
  <c r="AV106" i="10"/>
  <c r="AD105" i="10"/>
  <c r="J105" i="10"/>
  <c r="H102" i="10"/>
  <c r="AV99" i="10"/>
  <c r="AF104" i="10"/>
  <c r="AU100" i="10"/>
  <c r="J104" i="10"/>
  <c r="S110" i="10"/>
  <c r="AG108" i="10"/>
  <c r="AC113" i="10"/>
  <c r="AA108" i="10"/>
  <c r="AQ105" i="10"/>
  <c r="AF96" i="10"/>
  <c r="K100" i="10"/>
  <c r="X106" i="10"/>
  <c r="H101" i="10"/>
  <c r="K110" i="10"/>
  <c r="W108" i="10"/>
  <c r="AF108" i="10"/>
  <c r="U109" i="10"/>
  <c r="I107" i="10"/>
  <c r="AV105" i="10"/>
  <c r="AS104" i="10"/>
  <c r="AT111" i="10"/>
  <c r="AJ107" i="10"/>
  <c r="AS105" i="10"/>
  <c r="V109" i="10"/>
  <c r="P110" i="10"/>
  <c r="AS115" i="10"/>
  <c r="AJ115" i="10"/>
  <c r="Z107" i="10"/>
  <c r="AD107" i="10"/>
  <c r="X115" i="10"/>
  <c r="AU106" i="10"/>
  <c r="L106" i="10"/>
  <c r="Z105" i="10"/>
  <c r="D104" i="10"/>
  <c r="M99" i="10"/>
  <c r="P99" i="10"/>
  <c r="AW97" i="10"/>
  <c r="AP96" i="10"/>
  <c r="H98" i="10"/>
  <c r="O107" i="10"/>
  <c r="U107" i="10"/>
  <c r="AS102" i="10"/>
  <c r="Y111" i="10"/>
  <c r="D102" i="10"/>
  <c r="AT96" i="10"/>
  <c r="AT108" i="10"/>
  <c r="H106" i="10"/>
  <c r="AV113" i="10"/>
  <c r="AD108" i="10"/>
  <c r="AS107" i="10"/>
  <c r="N105" i="10"/>
  <c r="AR115" i="10"/>
  <c r="AC108" i="10"/>
  <c r="K108" i="10"/>
  <c r="L104" i="10"/>
  <c r="AQ110" i="10"/>
  <c r="Z108" i="10"/>
  <c r="N108" i="10"/>
  <c r="J108" i="10"/>
  <c r="AH105" i="10"/>
  <c r="F99" i="10"/>
  <c r="AU102" i="10"/>
  <c r="C98" i="10"/>
  <c r="AV115" i="10"/>
  <c r="AI108" i="10"/>
  <c r="T99" i="10"/>
  <c r="AK108" i="10"/>
  <c r="AL106" i="10"/>
  <c r="AN108" i="10"/>
  <c r="K107" i="10"/>
  <c r="M106" i="10"/>
  <c r="AI104" i="10"/>
  <c r="R104" i="10"/>
  <c r="AL107" i="10"/>
  <c r="T108" i="10"/>
  <c r="P102" i="10"/>
  <c r="U108" i="10"/>
  <c r="AQ107" i="10"/>
  <c r="Y106" i="10"/>
  <c r="AS96" i="10"/>
  <c r="AM109" i="10"/>
  <c r="I111" i="10"/>
  <c r="T109" i="10"/>
  <c r="AA115" i="10"/>
  <c r="Z106" i="10"/>
  <c r="X108" i="10"/>
  <c r="T111" i="10"/>
  <c r="AJ105" i="10"/>
  <c r="AN110" i="10"/>
  <c r="Y107" i="10"/>
  <c r="AD115" i="10"/>
  <c r="I99" i="10"/>
  <c r="I103" i="10"/>
  <c r="AM108" i="10"/>
  <c r="U115" i="10"/>
  <c r="AA106" i="10"/>
  <c r="N107" i="10"/>
  <c r="V105" i="10"/>
  <c r="M97" i="10"/>
  <c r="C115" i="10"/>
  <c r="H99" i="10"/>
  <c r="V110" i="10"/>
  <c r="AO108" i="10"/>
  <c r="AN115" i="10"/>
  <c r="W106" i="10"/>
  <c r="W104" i="10"/>
  <c r="S109" i="10"/>
  <c r="F115" i="10"/>
  <c r="AO107" i="10"/>
  <c r="AK107" i="10"/>
  <c r="AC115" i="10"/>
  <c r="AW118" i="10"/>
  <c r="AD106" i="10"/>
  <c r="Q105" i="10"/>
  <c r="AT105" i="10"/>
  <c r="O104" i="10"/>
  <c r="AP99" i="10"/>
  <c r="Z99" i="10"/>
  <c r="AP97" i="10"/>
  <c r="AP104" i="10"/>
  <c r="AR102" i="10"/>
  <c r="Y108" i="10"/>
  <c r="AR109" i="10"/>
  <c r="Y109" i="10"/>
  <c r="AW108" i="10"/>
  <c r="R115" i="10"/>
  <c r="J107" i="10"/>
  <c r="P108" i="10"/>
  <c r="AL115" i="10"/>
  <c r="C106" i="10"/>
  <c r="H105" i="10"/>
  <c r="AC105" i="10"/>
  <c r="Y102" i="10"/>
  <c r="U99" i="10"/>
  <c r="AR103" i="10"/>
  <c r="S95" i="10"/>
  <c r="AS111" i="10"/>
  <c r="AP118" i="10"/>
  <c r="AL108" i="10"/>
  <c r="H109" i="10"/>
  <c r="H108" i="10"/>
  <c r="D115" i="10"/>
  <c r="AJ102" i="10"/>
  <c r="P115" i="10"/>
  <c r="N115" i="10"/>
  <c r="T107" i="10"/>
  <c r="Q109" i="10"/>
  <c r="AB107" i="10"/>
  <c r="AA105" i="10"/>
  <c r="AP107" i="10"/>
  <c r="AA104" i="10"/>
  <c r="AU111" i="10"/>
  <c r="L107" i="10"/>
  <c r="K105" i="10"/>
  <c r="C108" i="10"/>
  <c r="I105" i="10"/>
  <c r="U106" i="10"/>
  <c r="Z96" i="10"/>
  <c r="G110" i="10"/>
  <c r="Q107" i="10"/>
  <c r="AN107" i="10"/>
  <c r="C105" i="10"/>
  <c r="O110" i="10"/>
  <c r="AL111" i="10"/>
  <c r="P106" i="10"/>
  <c r="K102" i="10"/>
  <c r="AB98" i="10"/>
  <c r="AD110" i="10"/>
  <c r="R108" i="10"/>
  <c r="D106" i="10"/>
  <c r="U110" i="10"/>
  <c r="D109" i="10"/>
  <c r="X111" i="10"/>
  <c r="AK110" i="10"/>
  <c r="R109" i="10"/>
  <c r="AC111" i="10"/>
  <c r="AT115" i="10"/>
  <c r="I106" i="10"/>
  <c r="F105" i="10"/>
  <c r="AS97" i="10"/>
  <c r="AA110" i="10"/>
  <c r="AR108" i="10"/>
  <c r="Z109" i="10"/>
  <c r="R111" i="10"/>
  <c r="AF107" i="10"/>
  <c r="R110" i="10"/>
  <c r="G108" i="10"/>
  <c r="E109" i="10"/>
  <c r="I109" i="10"/>
  <c r="AM111" i="10"/>
  <c r="AQ115" i="10"/>
  <c r="G115" i="10"/>
  <c r="AW107" i="10"/>
  <c r="X107" i="10"/>
  <c r="AR107" i="10"/>
  <c r="V118" i="10"/>
  <c r="AQ106" i="10"/>
  <c r="P105" i="10"/>
  <c r="AH102" i="10"/>
  <c r="AK102" i="10"/>
  <c r="AN99" i="10"/>
  <c r="AV97" i="10"/>
  <c r="AM101" i="10"/>
  <c r="AL105" i="10"/>
  <c r="Y104" i="10"/>
  <c r="O101" i="10"/>
  <c r="L100" i="10"/>
  <c r="Q100" i="10"/>
  <c r="AV101" i="10"/>
  <c r="Q98" i="10"/>
  <c r="X98" i="10"/>
  <c r="J100" i="10"/>
  <c r="AG99" i="10"/>
  <c r="AM99" i="10"/>
  <c r="AT99" i="10"/>
  <c r="AU99" i="10"/>
  <c r="R96" i="10"/>
  <c r="O96" i="10"/>
  <c r="AT97" i="10"/>
  <c r="AI97" i="10"/>
  <c r="T96" i="10"/>
  <c r="M96" i="10"/>
  <c r="N96" i="10"/>
  <c r="T104" i="10"/>
  <c r="K96" i="10"/>
  <c r="M104" i="10"/>
  <c r="AF103" i="10"/>
  <c r="AI103" i="10"/>
  <c r="Y103" i="10"/>
  <c r="Z101" i="10"/>
  <c r="X103" i="10"/>
  <c r="L102" i="10"/>
  <c r="R102" i="10"/>
  <c r="M100" i="10"/>
  <c r="AV104" i="10"/>
  <c r="AM102" i="10"/>
  <c r="AW99" i="10"/>
  <c r="V103" i="10"/>
  <c r="AP101" i="10"/>
  <c r="AW103" i="10"/>
  <c r="AD100" i="10"/>
  <c r="AF100" i="10"/>
  <c r="S100" i="10"/>
  <c r="AM100" i="10"/>
  <c r="AJ100" i="10"/>
  <c r="AC100" i="10"/>
  <c r="C101" i="10"/>
  <c r="AW98" i="10"/>
  <c r="AL98" i="10"/>
  <c r="AG100" i="10"/>
  <c r="AG107" i="10"/>
  <c r="G106" i="10"/>
  <c r="E118" i="10"/>
  <c r="T106" i="10"/>
  <c r="R106" i="10"/>
  <c r="AN106" i="10"/>
  <c r="AM105" i="10"/>
  <c r="AG105" i="10"/>
  <c r="AH106" i="10"/>
  <c r="V115" i="10"/>
  <c r="D105" i="10"/>
  <c r="V104" i="10"/>
  <c r="Q102" i="10"/>
  <c r="AG102" i="10"/>
  <c r="AD99" i="10"/>
  <c r="AC104" i="10"/>
  <c r="S99" i="10"/>
  <c r="N99" i="10"/>
  <c r="K99" i="10"/>
  <c r="AW96" i="10"/>
  <c r="L96" i="10"/>
  <c r="C97" i="10"/>
  <c r="H97" i="10"/>
  <c r="AI96" i="10"/>
  <c r="X96" i="10"/>
  <c r="U96" i="10"/>
  <c r="AH104" i="10"/>
  <c r="V96" i="10"/>
  <c r="U104" i="10"/>
  <c r="AN103" i="10"/>
  <c r="AJ101" i="10"/>
  <c r="F97" i="10"/>
  <c r="W97" i="10"/>
  <c r="N97" i="10"/>
  <c r="Q96" i="10"/>
  <c r="AH96" i="10"/>
  <c r="AB97" i="10"/>
  <c r="AL104" i="10"/>
  <c r="D96" i="10"/>
  <c r="AV103" i="10"/>
  <c r="D103" i="10"/>
  <c r="AJ103" i="10"/>
  <c r="X101" i="10"/>
  <c r="AF102" i="10"/>
  <c r="AA102" i="10"/>
  <c r="Z100" i="10"/>
  <c r="AL100" i="10"/>
  <c r="W100" i="10"/>
  <c r="AH101" i="10"/>
  <c r="AR98" i="10"/>
  <c r="O98" i="10"/>
  <c r="X95" i="10"/>
  <c r="F101" i="10"/>
  <c r="M101" i="10"/>
  <c r="AL101" i="10"/>
  <c r="AB105" i="10"/>
  <c r="AF105" i="10"/>
  <c r="P104" i="10"/>
  <c r="Q104" i="10"/>
  <c r="F102" i="10"/>
  <c r="AB102" i="10"/>
  <c r="AQ102" i="10"/>
  <c r="AG104" i="10"/>
  <c r="AQ99" i="10"/>
  <c r="E99" i="10"/>
  <c r="AU97" i="10"/>
  <c r="U97" i="10"/>
  <c r="AJ97" i="10"/>
  <c r="AC97" i="10"/>
  <c r="AK96" i="10"/>
  <c r="AJ96" i="10"/>
  <c r="AA97" i="10"/>
  <c r="F104" i="10"/>
  <c r="P96" i="10"/>
  <c r="AL103" i="10"/>
  <c r="Z103" i="10"/>
  <c r="H103" i="10"/>
  <c r="N101" i="10"/>
  <c r="R101" i="10"/>
  <c r="I101" i="10"/>
  <c r="Z102" i="10"/>
  <c r="AU101" i="10"/>
  <c r="AA100" i="10"/>
  <c r="AR100" i="10"/>
  <c r="AS101" i="10"/>
  <c r="AN100" i="10"/>
  <c r="AO98" i="10"/>
  <c r="AN98" i="10"/>
  <c r="E98" i="10"/>
  <c r="D95" i="10"/>
  <c r="J102" i="10"/>
  <c r="AR99" i="10"/>
  <c r="O113" i="10"/>
  <c r="AC96" i="10"/>
  <c r="AR97" i="10"/>
  <c r="AR104" i="10"/>
  <c r="E104" i="10"/>
  <c r="Q103" i="10"/>
  <c r="F103" i="10"/>
  <c r="L103" i="10"/>
  <c r="AG101" i="10"/>
  <c r="K101" i="10"/>
  <c r="AN101" i="10"/>
  <c r="O100" i="10"/>
  <c r="T101" i="10"/>
  <c r="AS100" i="10"/>
  <c r="H100" i="10"/>
  <c r="AD101" i="10"/>
  <c r="E100" i="10"/>
  <c r="AA98" i="10"/>
  <c r="R98" i="10"/>
  <c r="P98" i="10"/>
  <c r="AI95" i="10"/>
  <c r="H96" i="10"/>
  <c r="AO100" i="10"/>
  <c r="V95" i="10"/>
  <c r="X99" i="10"/>
  <c r="G99" i="10"/>
  <c r="V113" i="10"/>
  <c r="AQ96" i="10"/>
  <c r="J97" i="10"/>
  <c r="L97" i="10"/>
  <c r="AB96" i="10"/>
  <c r="I96" i="10"/>
  <c r="V97" i="10"/>
  <c r="AT104" i="10"/>
  <c r="AU104" i="10"/>
  <c r="P103" i="10"/>
  <c r="AU103" i="10"/>
  <c r="AB103" i="10"/>
  <c r="AA101" i="10"/>
  <c r="T103" i="10"/>
  <c r="AR101" i="10"/>
  <c r="F100" i="10"/>
  <c r="G101" i="10"/>
  <c r="AH100" i="10"/>
  <c r="AW100" i="10"/>
  <c r="L101" i="10"/>
  <c r="T100" i="10"/>
  <c r="AD98" i="10"/>
  <c r="V98" i="10"/>
  <c r="C100" i="10"/>
  <c r="K95" i="10"/>
  <c r="V99" i="10"/>
  <c r="E115" i="10"/>
  <c r="AT106" i="10"/>
  <c r="S106" i="10"/>
  <c r="K106" i="10"/>
  <c r="AP105" i="10"/>
  <c r="AK106" i="10"/>
  <c r="AI105" i="10"/>
  <c r="AJ106" i="10"/>
  <c r="T115" i="10"/>
  <c r="AO105" i="10"/>
  <c r="AO104" i="10"/>
  <c r="X104" i="10"/>
  <c r="N102" i="10"/>
  <c r="AN102" i="10"/>
  <c r="L99" i="10"/>
  <c r="AB99" i="10"/>
  <c r="O99" i="10"/>
  <c r="P97" i="10"/>
  <c r="AM96" i="10"/>
  <c r="G104" i="10"/>
  <c r="AS103" i="10"/>
  <c r="T102" i="10"/>
  <c r="AJ98" i="10"/>
  <c r="X100" i="10"/>
  <c r="E95" i="10"/>
  <c r="T105" i="10"/>
  <c r="M102" i="10"/>
  <c r="Q99" i="10"/>
  <c r="Y99" i="10"/>
  <c r="K113" i="10"/>
  <c r="AM97" i="10"/>
  <c r="AN96" i="10"/>
  <c r="E96" i="10"/>
  <c r="AG97" i="10"/>
  <c r="AL96" i="10"/>
  <c r="AG103" i="10"/>
  <c r="AK101" i="10"/>
  <c r="J103" i="10"/>
  <c r="J101" i="10"/>
  <c r="Y101" i="10"/>
  <c r="AK100" i="10"/>
  <c r="AP100" i="10"/>
  <c r="E101" i="10"/>
  <c r="V101" i="10"/>
  <c r="AQ98" i="10"/>
  <c r="AB106" i="10"/>
  <c r="O106" i="10"/>
  <c r="AM106" i="10"/>
  <c r="X105" i="10"/>
  <c r="AW106" i="10"/>
  <c r="U105" i="10"/>
  <c r="W105" i="10"/>
  <c r="AG106" i="10"/>
  <c r="O115" i="10"/>
  <c r="M105" i="10"/>
  <c r="Z104" i="10"/>
  <c r="AK104" i="10"/>
  <c r="V102" i="10"/>
  <c r="O102" i="10"/>
  <c r="G102" i="10"/>
  <c r="W99" i="10"/>
  <c r="S102" i="10"/>
  <c r="R99" i="10"/>
  <c r="D99" i="10"/>
  <c r="C99" i="10"/>
  <c r="AI99" i="10"/>
  <c r="K97" i="10"/>
  <c r="W96" i="10"/>
  <c r="AF97" i="10"/>
  <c r="O97" i="10"/>
  <c r="J96" i="10"/>
  <c r="AD96" i="10"/>
  <c r="Q97" i="10"/>
  <c r="C96" i="10"/>
  <c r="AD104" i="10"/>
  <c r="C103" i="10"/>
  <c r="AP103" i="10"/>
  <c r="O103" i="10"/>
  <c r="U101" i="10"/>
  <c r="AD103" i="10"/>
  <c r="AQ101" i="10"/>
  <c r="N100" i="10"/>
  <c r="AC101" i="10"/>
  <c r="AT100" i="10"/>
  <c r="AV100" i="10"/>
  <c r="S101" i="10"/>
  <c r="Q101" i="10"/>
  <c r="Y98" i="10"/>
  <c r="AM98" i="10"/>
  <c r="U100" i="10"/>
  <c r="AU95" i="10"/>
  <c r="G96" i="10"/>
  <c r="AJ104" i="10"/>
  <c r="AC102" i="10"/>
  <c r="AL102" i="10"/>
  <c r="AV102" i="10"/>
  <c r="J99" i="10"/>
  <c r="AW104" i="10"/>
  <c r="AF99" i="10"/>
  <c r="AO99" i="10"/>
  <c r="AH99" i="10"/>
  <c r="AL99" i="10"/>
  <c r="X97" i="10"/>
  <c r="R97" i="10"/>
  <c r="Y97" i="10"/>
  <c r="D97" i="10"/>
  <c r="AO96" i="10"/>
  <c r="Y96" i="10"/>
  <c r="S96" i="10"/>
  <c r="AN97" i="10"/>
  <c r="AG96" i="10"/>
  <c r="AB104" i="10"/>
  <c r="AT103" i="10"/>
  <c r="S103" i="10"/>
  <c r="E103" i="10"/>
  <c r="AW101" i="10"/>
  <c r="K103" i="10"/>
  <c r="R100" i="10"/>
  <c r="AQ100" i="10"/>
  <c r="AF101" i="10"/>
  <c r="D100" i="10"/>
  <c r="V100" i="10"/>
  <c r="AO101" i="10"/>
  <c r="W101" i="10"/>
  <c r="AI98" i="10"/>
  <c r="AK98" i="10"/>
  <c r="AI100" i="10"/>
  <c r="AT98" i="10"/>
  <c r="AT126" i="10"/>
  <c r="D125" i="10"/>
  <c r="R126" i="10"/>
  <c r="AG124" i="10"/>
  <c r="AT127" i="10"/>
  <c r="Z126" i="10"/>
  <c r="W126" i="10"/>
  <c r="AM124" i="10"/>
  <c r="AQ127" i="10"/>
  <c r="Q126" i="10"/>
  <c r="H125" i="10"/>
  <c r="AA122" i="10"/>
  <c r="E127" i="10"/>
  <c r="AN126" i="10"/>
  <c r="AP126" i="10"/>
  <c r="AA126" i="10"/>
  <c r="AW128" i="10"/>
  <c r="AP128" i="10"/>
  <c r="K126" i="10"/>
  <c r="AI127" i="10"/>
  <c r="M126" i="10"/>
  <c r="L126" i="10"/>
  <c r="AM125" i="10"/>
  <c r="AU124" i="10"/>
  <c r="AS124" i="10"/>
  <c r="I124" i="10"/>
  <c r="AR123" i="10"/>
  <c r="S123" i="10"/>
  <c r="D122" i="10"/>
  <c r="AW122" i="10"/>
  <c r="AD121" i="10"/>
  <c r="Y120" i="10"/>
  <c r="AG120" i="10"/>
  <c r="C121" i="10"/>
  <c r="AK119" i="10"/>
  <c r="D117" i="10"/>
  <c r="L125" i="10"/>
  <c r="AH116" i="10"/>
  <c r="Y118" i="10"/>
  <c r="AF123" i="10"/>
  <c r="H126" i="10"/>
  <c r="L124" i="10"/>
  <c r="AL128" i="10"/>
  <c r="M123" i="10"/>
  <c r="Y122" i="10"/>
  <c r="K121" i="10"/>
  <c r="AC127" i="10"/>
  <c r="Q127" i="10"/>
  <c r="AK126" i="10"/>
  <c r="X128" i="10"/>
  <c r="C126" i="10"/>
  <c r="U126" i="10"/>
  <c r="AT125" i="10"/>
  <c r="E124" i="10"/>
  <c r="H123" i="10"/>
  <c r="AW121" i="10"/>
  <c r="Q120" i="10"/>
  <c r="W128" i="10"/>
  <c r="H128" i="10"/>
  <c r="AW126" i="10"/>
  <c r="AK127" i="10"/>
  <c r="P126" i="10"/>
  <c r="M125" i="10"/>
  <c r="Q124" i="10"/>
  <c r="M124" i="10"/>
  <c r="AW124" i="10"/>
  <c r="AA123" i="10"/>
  <c r="Q123" i="10"/>
  <c r="R122" i="10"/>
  <c r="W122" i="10"/>
  <c r="AK121" i="10"/>
  <c r="G120" i="10"/>
  <c r="AL120" i="10"/>
  <c r="AH120" i="10"/>
  <c r="M121" i="10"/>
  <c r="AF119" i="10"/>
  <c r="G117" i="10"/>
  <c r="K125" i="10"/>
  <c r="H116" i="10"/>
  <c r="I118" i="10"/>
  <c r="AS127" i="10"/>
  <c r="N125" i="10"/>
  <c r="AD123" i="10"/>
  <c r="X126" i="10"/>
  <c r="AR126" i="10"/>
  <c r="AF128" i="10"/>
  <c r="O125" i="10"/>
  <c r="AI120" i="10"/>
  <c r="AO128" i="10"/>
  <c r="AG126" i="10"/>
  <c r="V125" i="10"/>
  <c r="J128" i="10"/>
  <c r="G124" i="10"/>
  <c r="O128" i="10"/>
  <c r="G126" i="10"/>
  <c r="Y123" i="10"/>
  <c r="AU122" i="10"/>
  <c r="V128" i="10"/>
  <c r="AK128" i="10"/>
  <c r="AS126" i="10"/>
  <c r="H127" i="10"/>
  <c r="AN127" i="10"/>
  <c r="N126" i="10"/>
  <c r="AD124" i="10"/>
  <c r="K124" i="10"/>
  <c r="W123" i="10"/>
  <c r="D123" i="10"/>
  <c r="AI123" i="10"/>
  <c r="M122" i="10"/>
  <c r="U122" i="10"/>
  <c r="AC121" i="10"/>
  <c r="AD120" i="10"/>
  <c r="W120" i="10"/>
  <c r="K120" i="10"/>
  <c r="AH121" i="10"/>
  <c r="AW119" i="10"/>
  <c r="AS117" i="10"/>
  <c r="E116" i="10"/>
  <c r="AK116" i="10"/>
  <c r="AL119" i="10"/>
  <c r="J121" i="10"/>
  <c r="J120" i="10"/>
  <c r="R120" i="10"/>
  <c r="V120" i="10"/>
  <c r="M133" i="10"/>
  <c r="AQ119" i="10"/>
  <c r="AB117" i="10"/>
  <c r="AW116" i="10"/>
  <c r="K117" i="10"/>
  <c r="E119" i="10"/>
  <c r="R123" i="10"/>
  <c r="G123" i="10"/>
  <c r="C122" i="10"/>
  <c r="Q122" i="10"/>
  <c r="AO121" i="10"/>
  <c r="N120" i="10"/>
  <c r="L120" i="10"/>
  <c r="AB120" i="10"/>
  <c r="AT133" i="10"/>
  <c r="AV119" i="10"/>
  <c r="AI117" i="10"/>
  <c r="AQ116" i="10"/>
  <c r="I117" i="10"/>
  <c r="AC119" i="10"/>
  <c r="U120" i="10"/>
  <c r="I119" i="10"/>
  <c r="AJ120" i="10"/>
  <c r="AS133" i="10"/>
  <c r="M119" i="10"/>
  <c r="Q117" i="10"/>
  <c r="I116" i="10"/>
  <c r="AV116" i="10"/>
  <c r="N116" i="10"/>
  <c r="S124" i="10"/>
  <c r="AK124" i="10"/>
  <c r="X124" i="10"/>
  <c r="AL123" i="10"/>
  <c r="AB123" i="10"/>
  <c r="N122" i="10"/>
  <c r="L122" i="10"/>
  <c r="AQ121" i="10"/>
  <c r="W121" i="10"/>
  <c r="O123" i="10"/>
  <c r="AT119" i="10"/>
  <c r="AP120" i="10"/>
  <c r="K133" i="10"/>
  <c r="AI119" i="10"/>
  <c r="T117" i="10"/>
  <c r="U117" i="10"/>
  <c r="AA116" i="10"/>
  <c r="AO116" i="10"/>
  <c r="AL126" i="10"/>
  <c r="AV123" i="10"/>
  <c r="AU128" i="10"/>
  <c r="AJ127" i="10"/>
  <c r="AI128" i="10"/>
  <c r="T124" i="10"/>
  <c r="U121" i="10"/>
  <c r="U133" i="10"/>
  <c r="Q119" i="10"/>
  <c r="AO117" i="10"/>
  <c r="R117" i="10"/>
  <c r="K114" i="10"/>
  <c r="P116" i="10"/>
  <c r="C128" i="10"/>
  <c r="L127" i="10"/>
  <c r="AV122" i="10"/>
  <c r="J125" i="10"/>
  <c r="AP123" i="10"/>
  <c r="Z127" i="10"/>
  <c r="AT128" i="10"/>
  <c r="O127" i="10"/>
  <c r="W127" i="10"/>
  <c r="L123" i="10"/>
  <c r="G122" i="10"/>
  <c r="AQ122" i="10"/>
  <c r="I121" i="10"/>
  <c r="V121" i="10"/>
  <c r="V123" i="10"/>
  <c r="AP119" i="10"/>
  <c r="AN120" i="10"/>
  <c r="F128" i="10"/>
  <c r="D127" i="10"/>
  <c r="AG127" i="10"/>
  <c r="G125" i="10"/>
  <c r="AL125" i="10"/>
  <c r="AV124" i="10"/>
  <c r="AI124" i="10"/>
  <c r="AJ137" i="10"/>
  <c r="AU123" i="10"/>
  <c r="AT123" i="10"/>
  <c r="T122" i="10"/>
  <c r="AC122" i="10"/>
  <c r="P121" i="10"/>
  <c r="AU121" i="10"/>
  <c r="K123" i="10"/>
  <c r="AJ119" i="10"/>
  <c r="F120" i="10"/>
  <c r="I133" i="10"/>
  <c r="AM119" i="10"/>
  <c r="N117" i="10"/>
  <c r="F117" i="10"/>
  <c r="AW114" i="10"/>
  <c r="AM116" i="10"/>
  <c r="AH126" i="10"/>
  <c r="AU125" i="10"/>
  <c r="AA127" i="10"/>
  <c r="AL117" i="10"/>
  <c r="AD117" i="10"/>
  <c r="AT114" i="10"/>
  <c r="P113" i="10"/>
  <c r="R124" i="10"/>
  <c r="AF124" i="10"/>
  <c r="AM123" i="10"/>
  <c r="AN128" i="10"/>
  <c r="AB127" i="10"/>
  <c r="W125" i="10"/>
  <c r="AR127" i="10"/>
  <c r="C125" i="10"/>
  <c r="C124" i="10"/>
  <c r="AA124" i="10"/>
  <c r="AA137" i="10"/>
  <c r="P123" i="10"/>
  <c r="AC126" i="10"/>
  <c r="AB122" i="10"/>
  <c r="AL122" i="10"/>
  <c r="AB121" i="10"/>
  <c r="T121" i="10"/>
  <c r="AH123" i="10"/>
  <c r="L119" i="10"/>
  <c r="Z120" i="10"/>
  <c r="AA119" i="10"/>
  <c r="U119" i="10"/>
  <c r="AU127" i="10"/>
  <c r="AP127" i="10"/>
  <c r="AC125" i="10"/>
  <c r="AD126" i="10"/>
  <c r="AQ125" i="10"/>
  <c r="V124" i="10"/>
  <c r="AP124" i="10"/>
  <c r="AT137" i="10"/>
  <c r="C123" i="10"/>
  <c r="AN123" i="10"/>
  <c r="AR122" i="10"/>
  <c r="V122" i="10"/>
  <c r="AV121" i="10"/>
  <c r="AR121" i="10"/>
  <c r="AG123" i="10"/>
  <c r="AD119" i="10"/>
  <c r="AU120" i="10"/>
  <c r="AG119" i="10"/>
  <c r="AQ118" i="10"/>
  <c r="AA118" i="10"/>
  <c r="AG117" i="10"/>
  <c r="AN114" i="10"/>
  <c r="J113" i="10"/>
  <c r="AQ123" i="10"/>
  <c r="J122" i="10"/>
  <c r="AA125" i="10"/>
  <c r="AW123" i="10"/>
  <c r="K122" i="10"/>
  <c r="G127" i="10"/>
  <c r="K127" i="10"/>
  <c r="G128" i="10"/>
  <c r="X127" i="10"/>
  <c r="AO127" i="10"/>
  <c r="AB125" i="10"/>
  <c r="T126" i="10"/>
  <c r="AH125" i="10"/>
  <c r="AH124" i="10"/>
  <c r="Y124" i="10"/>
  <c r="AB137" i="10"/>
  <c r="F123" i="10"/>
  <c r="AV126" i="10"/>
  <c r="AG122" i="10"/>
  <c r="E122" i="10"/>
  <c r="AT121" i="10"/>
  <c r="X121" i="10"/>
  <c r="I123" i="10"/>
  <c r="AN119" i="10"/>
  <c r="Q121" i="10"/>
  <c r="W119" i="10"/>
  <c r="W118" i="10"/>
  <c r="M118" i="10"/>
  <c r="AW117" i="10"/>
  <c r="AD114" i="10"/>
  <c r="Y114" i="10"/>
  <c r="AV137" i="10"/>
  <c r="Z123" i="10"/>
  <c r="AC123" i="10"/>
  <c r="I122" i="10"/>
  <c r="X122" i="10"/>
  <c r="AL121" i="10"/>
  <c r="S121" i="10"/>
  <c r="O121" i="10"/>
  <c r="AR120" i="10"/>
  <c r="AS120" i="10"/>
  <c r="AH119" i="10"/>
  <c r="O118" i="10"/>
  <c r="S117" i="10"/>
  <c r="F114" i="10"/>
  <c r="AO114" i="10"/>
  <c r="N124" i="10"/>
  <c r="AC128" i="10"/>
  <c r="Y126" i="10"/>
  <c r="AP122" i="10"/>
  <c r="AL127" i="10"/>
  <c r="R125" i="10"/>
  <c r="P124" i="10"/>
  <c r="AS128" i="10"/>
  <c r="C127" i="10"/>
  <c r="N128" i="10"/>
  <c r="D124" i="10"/>
  <c r="AR124" i="10"/>
  <c r="AB119" i="10"/>
  <c r="AT118" i="10"/>
  <c r="F118" i="10"/>
  <c r="AQ117" i="10"/>
  <c r="T114" i="10"/>
  <c r="AC114" i="10"/>
  <c r="P127" i="10"/>
  <c r="N127" i="10"/>
  <c r="U128" i="10"/>
  <c r="U125" i="10"/>
  <c r="AJ126" i="10"/>
  <c r="S127" i="10"/>
  <c r="S128" i="10"/>
  <c r="T127" i="10"/>
  <c r="AH127" i="10"/>
  <c r="AJ125" i="10"/>
  <c r="S126" i="10"/>
  <c r="AG128" i="10"/>
  <c r="AL124" i="10"/>
  <c r="AJ124" i="10"/>
  <c r="AS137" i="10"/>
  <c r="AO123" i="10"/>
  <c r="E123" i="10"/>
  <c r="AT122" i="10"/>
  <c r="AI122" i="10"/>
  <c r="R121" i="10"/>
  <c r="AW125" i="10"/>
  <c r="AS121" i="10"/>
  <c r="AM120" i="10"/>
  <c r="M120" i="10"/>
  <c r="V127" i="10"/>
  <c r="M127" i="10"/>
  <c r="P128" i="10"/>
  <c r="AF126" i="10"/>
  <c r="AN125" i="10"/>
  <c r="D126" i="10"/>
  <c r="T128" i="10"/>
  <c r="AK125" i="10"/>
  <c r="AQ124" i="10"/>
  <c r="O137" i="10"/>
  <c r="X123" i="10"/>
  <c r="AO126" i="10"/>
  <c r="P122" i="10"/>
  <c r="H122" i="10"/>
  <c r="AJ121" i="10"/>
  <c r="AR125" i="10"/>
  <c r="AP121" i="10"/>
  <c r="P120" i="10"/>
  <c r="AF120" i="10"/>
  <c r="P119" i="10"/>
  <c r="AG118" i="10"/>
  <c r="N118" i="10"/>
  <c r="T130" i="10"/>
  <c r="M116" i="10"/>
  <c r="AV114" i="10"/>
  <c r="AO120" i="10"/>
  <c r="AU119" i="10"/>
  <c r="AS118" i="10"/>
  <c r="AN118" i="10"/>
  <c r="AK130" i="10"/>
  <c r="AU116" i="10"/>
  <c r="Y113" i="10"/>
  <c r="U137" i="10"/>
  <c r="AM121" i="10"/>
  <c r="I127" i="10"/>
  <c r="O124" i="10"/>
  <c r="O126" i="10"/>
  <c r="Z122" i="10"/>
  <c r="O122" i="10"/>
  <c r="G121" i="10"/>
  <c r="Z125" i="10"/>
  <c r="Z121" i="10"/>
  <c r="AT120" i="10"/>
  <c r="C117" i="10"/>
  <c r="AV118" i="10"/>
  <c r="AJ116" i="10"/>
  <c r="X114" i="10"/>
  <c r="S112" i="10"/>
  <c r="T123" i="10"/>
  <c r="AM128" i="10"/>
  <c r="AQ120" i="10"/>
  <c r="AS119" i="10"/>
  <c r="R127" i="10"/>
  <c r="U127" i="10"/>
  <c r="AJ128" i="10"/>
  <c r="I126" i="10"/>
  <c r="AQ126" i="10"/>
  <c r="E126" i="10"/>
  <c r="AH128" i="10"/>
  <c r="Q125" i="10"/>
  <c r="J124" i="10"/>
  <c r="H124" i="10"/>
  <c r="AK123" i="10"/>
  <c r="AI126" i="10"/>
  <c r="AO122" i="10"/>
  <c r="AF122" i="10"/>
  <c r="AG121" i="10"/>
  <c r="AG125" i="10"/>
  <c r="H121" i="10"/>
  <c r="AC120" i="10"/>
  <c r="X120" i="10"/>
  <c r="H119" i="10"/>
  <c r="H118" i="10"/>
  <c r="P118" i="10"/>
  <c r="AI116" i="10"/>
  <c r="AI114" i="10"/>
  <c r="AK112" i="10"/>
  <c r="P125" i="10"/>
  <c r="AW127" i="10"/>
  <c r="AI125" i="10"/>
  <c r="F127" i="10"/>
  <c r="L128" i="10"/>
  <c r="F124" i="10"/>
  <c r="N123" i="10"/>
  <c r="F126" i="10"/>
  <c r="S122" i="10"/>
  <c r="AK122" i="10"/>
  <c r="AA121" i="10"/>
  <c r="AV125" i="10"/>
  <c r="AF121" i="10"/>
  <c r="C120" i="10"/>
  <c r="N121" i="10"/>
  <c r="N119" i="10"/>
  <c r="T118" i="10"/>
  <c r="D118" i="10"/>
  <c r="AR116" i="10"/>
  <c r="H114" i="10"/>
  <c r="AQ113" i="10"/>
  <c r="AM127" i="10"/>
  <c r="Y127" i="10"/>
  <c r="Y125" i="10"/>
  <c r="AB128" i="10"/>
  <c r="I125" i="10"/>
  <c r="Z128" i="10"/>
  <c r="AP125" i="10"/>
  <c r="O120" i="10"/>
  <c r="Y119" i="10"/>
  <c r="AH117" i="10"/>
  <c r="Z118" i="10"/>
  <c r="K116" i="10"/>
  <c r="V112" i="10"/>
  <c r="K128" i="10"/>
  <c r="J127" i="10"/>
  <c r="AO124" i="10"/>
  <c r="AD127" i="10"/>
  <c r="U124" i="10"/>
  <c r="AN124" i="10"/>
  <c r="W124" i="10"/>
  <c r="F122" i="10"/>
  <c r="AB126" i="10"/>
  <c r="J126" i="10"/>
  <c r="Y121" i="10"/>
  <c r="G119" i="10"/>
  <c r="AF118" i="10"/>
  <c r="F125" i="10"/>
  <c r="AL116" i="10"/>
  <c r="AJ114" i="10"/>
  <c r="AN112" i="10"/>
  <c r="Y128" i="10"/>
  <c r="AM126" i="10"/>
  <c r="AV127" i="10"/>
  <c r="V126" i="10"/>
  <c r="J123" i="10"/>
  <c r="AU126" i="10"/>
  <c r="AM122" i="10"/>
  <c r="F121" i="10"/>
  <c r="S125" i="10"/>
  <c r="I120" i="10"/>
  <c r="AI121" i="10"/>
  <c r="AA128" i="10"/>
  <c r="AF127" i="10"/>
  <c r="AC124" i="10"/>
  <c r="T125" i="10"/>
  <c r="AW120" i="10"/>
  <c r="I128" i="10"/>
  <c r="AR128" i="10"/>
  <c r="AO125" i="10"/>
  <c r="AT124" i="10"/>
  <c r="Z124" i="10"/>
  <c r="AB124" i="10"/>
  <c r="U123" i="10"/>
  <c r="AS123" i="10"/>
  <c r="AD122" i="10"/>
  <c r="AN122" i="10"/>
  <c r="E121" i="10"/>
  <c r="AK120" i="10"/>
  <c r="AA120" i="10"/>
  <c r="AV120" i="10"/>
  <c r="AN121" i="10"/>
  <c r="D119" i="10"/>
  <c r="AN117" i="10"/>
  <c r="E125" i="10"/>
  <c r="F116" i="10"/>
  <c r="Z114" i="10"/>
  <c r="H111" i="10"/>
  <c r="AH118" i="10"/>
  <c r="AU117" i="10"/>
  <c r="S114" i="10"/>
  <c r="U116" i="10"/>
  <c r="AG114" i="10"/>
  <c r="G116" i="10"/>
  <c r="D113" i="10"/>
  <c r="J114" i="10"/>
  <c r="L113" i="10"/>
  <c r="AK113" i="10"/>
  <c r="AU112" i="10"/>
  <c r="AH113" i="10"/>
  <c r="AQ112" i="10"/>
  <c r="AA111" i="10"/>
  <c r="T110" i="10"/>
  <c r="L111" i="10"/>
  <c r="AQ109" i="10"/>
  <c r="AI110" i="10"/>
  <c r="AJ117" i="10"/>
  <c r="AQ114" i="10"/>
  <c r="AD118" i="10"/>
  <c r="AV112" i="10"/>
  <c r="AB113" i="10"/>
  <c r="AG112" i="10"/>
  <c r="AC110" i="10"/>
  <c r="G112" i="10"/>
  <c r="AF112" i="10"/>
  <c r="AA112" i="10"/>
  <c r="AI111" i="10"/>
  <c r="AO111" i="10"/>
  <c r="AU110" i="10"/>
  <c r="R113" i="10"/>
  <c r="AF113" i="10"/>
  <c r="T113" i="10"/>
  <c r="AC112" i="10"/>
  <c r="E111" i="10"/>
  <c r="AT109" i="10"/>
  <c r="D110" i="10"/>
  <c r="AM113" i="10"/>
  <c r="S113" i="10"/>
  <c r="AM112" i="10"/>
  <c r="N113" i="10"/>
  <c r="P112" i="10"/>
  <c r="AD111" i="10"/>
  <c r="AV111" i="10"/>
  <c r="F109" i="10"/>
  <c r="AR110" i="10"/>
  <c r="AW110" i="10"/>
  <c r="M112" i="10"/>
  <c r="X112" i="10"/>
  <c r="K112" i="10"/>
  <c r="G111" i="10"/>
  <c r="S120" i="10"/>
  <c r="Z119" i="10"/>
  <c r="F119" i="10"/>
  <c r="X118" i="10"/>
  <c r="AI118" i="10"/>
  <c r="AP117" i="10"/>
  <c r="U118" i="10"/>
  <c r="AF125" i="10"/>
  <c r="E117" i="10"/>
  <c r="C116" i="10"/>
  <c r="V116" i="10"/>
  <c r="AC117" i="10"/>
  <c r="Q114" i="10"/>
  <c r="E114" i="10"/>
  <c r="V114" i="10"/>
  <c r="D114" i="10"/>
  <c r="T119" i="10"/>
  <c r="AG116" i="10"/>
  <c r="AD113" i="10"/>
  <c r="L114" i="10"/>
  <c r="E113" i="10"/>
  <c r="T112" i="10"/>
  <c r="R112" i="10"/>
  <c r="N112" i="10"/>
  <c r="AL112" i="10"/>
  <c r="AT113" i="10"/>
  <c r="W111" i="10"/>
  <c r="AH112" i="10"/>
  <c r="K111" i="10"/>
  <c r="P111" i="10"/>
  <c r="AJ111" i="10"/>
  <c r="AK109" i="10"/>
  <c r="AV110" i="10"/>
  <c r="AP110" i="10"/>
  <c r="AH122" i="10"/>
  <c r="AS122" i="10"/>
  <c r="AJ122" i="10"/>
  <c r="L121" i="10"/>
  <c r="D121" i="10"/>
  <c r="H120" i="10"/>
  <c r="AJ123" i="10"/>
  <c r="E120" i="10"/>
  <c r="J119" i="10"/>
  <c r="T120" i="10"/>
  <c r="D120" i="10"/>
  <c r="Y133" i="10"/>
  <c r="AS125" i="10"/>
  <c r="C113" i="10"/>
  <c r="U112" i="10"/>
  <c r="J112" i="10"/>
  <c r="H112" i="10"/>
  <c r="AW113" i="10"/>
  <c r="U111" i="10"/>
  <c r="AW112" i="10"/>
  <c r="I110" i="10"/>
  <c r="S111" i="10"/>
  <c r="M111" i="10"/>
  <c r="AD109" i="10"/>
  <c r="H110" i="10"/>
  <c r="AS110" i="10"/>
  <c r="W114" i="10"/>
  <c r="AK114" i="10"/>
  <c r="V119" i="10"/>
  <c r="AN116" i="10"/>
  <c r="P114" i="10"/>
  <c r="I114" i="10"/>
  <c r="AT112" i="10"/>
  <c r="AO112" i="10"/>
  <c r="E112" i="10"/>
  <c r="F112" i="10"/>
  <c r="Q113" i="10"/>
  <c r="V111" i="10"/>
  <c r="Z112" i="10"/>
  <c r="AT110" i="10"/>
  <c r="Z111" i="10"/>
  <c r="AJ109" i="10"/>
  <c r="O109" i="10"/>
  <c r="AL110" i="10"/>
  <c r="W110" i="10"/>
  <c r="AJ130" i="10"/>
  <c r="AC116" i="10"/>
  <c r="R116" i="10"/>
  <c r="AD116" i="10"/>
  <c r="AA114" i="10"/>
  <c r="M114" i="10"/>
  <c r="AS114" i="10"/>
  <c r="C118" i="10"/>
  <c r="AL113" i="10"/>
  <c r="AA109" i="10"/>
  <c r="X109" i="10"/>
  <c r="F110" i="10"/>
  <c r="Z110" i="10"/>
  <c r="AS112" i="10"/>
  <c r="AJ110" i="10"/>
  <c r="F111" i="10"/>
  <c r="O119" i="10"/>
  <c r="X119" i="10"/>
  <c r="Q118" i="10"/>
  <c r="AJ118" i="10"/>
  <c r="X117" i="10"/>
  <c r="P117" i="10"/>
  <c r="AB118" i="10"/>
  <c r="AK118" i="10"/>
  <c r="J116" i="10"/>
  <c r="AV117" i="10"/>
  <c r="AF130" i="10"/>
  <c r="AP116" i="10"/>
  <c r="AK117" i="10"/>
  <c r="T116" i="10"/>
  <c r="AU114" i="10"/>
  <c r="AL114" i="10"/>
  <c r="L118" i="10"/>
  <c r="AR119" i="10"/>
  <c r="AN113" i="10"/>
  <c r="O114" i="10"/>
  <c r="AM114" i="10"/>
  <c r="F113" i="10"/>
  <c r="O112" i="10"/>
  <c r="L112" i="10"/>
  <c r="AI113" i="10"/>
  <c r="D112" i="10"/>
  <c r="AP112" i="10"/>
  <c r="N111" i="10"/>
  <c r="AP111" i="10"/>
  <c r="G109" i="10"/>
  <c r="AC109" i="10"/>
  <c r="M110" i="10"/>
  <c r="J110" i="10"/>
  <c r="S116" i="10"/>
  <c r="S119" i="10"/>
  <c r="AF117" i="10"/>
  <c r="W117" i="10"/>
  <c r="J117" i="10"/>
  <c r="K118" i="10"/>
  <c r="M117" i="10"/>
  <c r="AT116" i="10"/>
  <c r="H117" i="10"/>
  <c r="X130" i="10"/>
  <c r="AB116" i="10"/>
  <c r="AR117" i="10"/>
  <c r="Q116" i="10"/>
  <c r="N114" i="10"/>
  <c r="W116" i="10"/>
  <c r="AB114" i="10"/>
  <c r="K119" i="10"/>
  <c r="Z113" i="10"/>
  <c r="AH114" i="10"/>
  <c r="R114" i="10"/>
  <c r="AR113" i="10"/>
  <c r="C112" i="10"/>
  <c r="U113" i="10"/>
  <c r="AG113" i="10"/>
  <c r="AR112" i="10"/>
  <c r="Q112" i="10"/>
  <c r="AH111" i="10"/>
  <c r="Q111" i="10"/>
  <c r="X110" i="10"/>
  <c r="AW111" i="10"/>
  <c r="AW109" i="10"/>
  <c r="AM110" i="10"/>
  <c r="AB110" i="10"/>
  <c r="AH110" i="10"/>
  <c r="R119" i="10"/>
  <c r="AO119" i="10"/>
  <c r="AU118" i="10"/>
  <c r="AC118" i="10"/>
  <c r="R118" i="10"/>
  <c r="AT117" i="10"/>
  <c r="Z117" i="10"/>
  <c r="S118" i="10"/>
  <c r="AD125" i="10"/>
  <c r="Y116" i="10"/>
  <c r="AA117" i="10"/>
  <c r="K130" i="10"/>
  <c r="L116" i="10"/>
  <c r="AM117" i="10"/>
  <c r="AF116" i="10"/>
  <c r="AF114" i="10"/>
  <c r="O116" i="10"/>
  <c r="AO118" i="10"/>
  <c r="C119" i="10"/>
  <c r="AP113" i="10"/>
  <c r="U114" i="10"/>
  <c r="AU113" i="10"/>
  <c r="AA113" i="10"/>
  <c r="AJ112" i="10"/>
  <c r="Y112" i="10"/>
  <c r="AJ113" i="10"/>
  <c r="W112" i="10"/>
  <c r="AB112" i="10"/>
  <c r="D111" i="10"/>
  <c r="AK111" i="10"/>
  <c r="L110" i="10"/>
  <c r="AG111" i="10"/>
  <c r="J109" i="10"/>
  <c r="AO110" i="10"/>
  <c r="AG110" i="10"/>
  <c r="AP114" i="10"/>
  <c r="V117" i="10"/>
  <c r="O117" i="10"/>
  <c r="AL118" i="10"/>
  <c r="X125" i="10"/>
  <c r="D116" i="10"/>
  <c r="Y117" i="10"/>
  <c r="AC130" i="10"/>
  <c r="X116" i="10"/>
  <c r="L117" i="10"/>
  <c r="AS116" i="10"/>
  <c r="AR114" i="10"/>
  <c r="C114" i="10"/>
  <c r="G118" i="10"/>
  <c r="Z116" i="10"/>
  <c r="X113" i="10"/>
  <c r="G114" i="10"/>
  <c r="AO113" i="10"/>
  <c r="W113" i="10"/>
  <c r="AD112" i="10"/>
  <c r="I112" i="10"/>
  <c r="H113" i="10"/>
  <c r="G113" i="10"/>
  <c r="AI112" i="10"/>
  <c r="AQ111" i="10"/>
  <c r="J111" i="10"/>
  <c r="N110" i="10"/>
  <c r="AR111" i="10"/>
  <c r="M109" i="10"/>
  <c r="AB109" i="10"/>
  <c r="Q110" i="10"/>
  <c r="AF110" i="10"/>
  <c r="K134" i="10"/>
  <c r="O133" i="10"/>
  <c r="AF132" i="10"/>
  <c r="T132" i="10"/>
  <c r="Y137" i="10"/>
  <c r="C136" i="10"/>
  <c r="V144" i="10"/>
  <c r="G144" i="10"/>
  <c r="R141" i="10"/>
  <c r="AQ140" i="10"/>
  <c r="AH139" i="10"/>
  <c r="D139" i="10"/>
  <c r="H138" i="10"/>
  <c r="K132" i="10"/>
  <c r="E128" i="10"/>
  <c r="V133" i="10"/>
  <c r="V134" i="10"/>
  <c r="AI144" i="10"/>
  <c r="H144" i="10"/>
  <c r="C143" i="10"/>
  <c r="AJ142" i="10"/>
  <c r="AF142" i="10"/>
  <c r="I137" i="10"/>
  <c r="T143" i="10"/>
  <c r="AK136" i="10"/>
  <c r="R136" i="10"/>
  <c r="S135" i="10"/>
  <c r="AC134" i="10"/>
  <c r="AV134" i="10"/>
  <c r="Z133" i="10"/>
  <c r="AV132" i="10"/>
  <c r="AK132" i="10"/>
  <c r="C134" i="10"/>
  <c r="AT146" i="10"/>
  <c r="J144" i="10"/>
  <c r="AC145" i="10"/>
  <c r="F143" i="10"/>
  <c r="C142" i="10"/>
  <c r="J137" i="10"/>
  <c r="N135" i="10"/>
  <c r="AH133" i="10"/>
  <c r="J130" i="10"/>
  <c r="W146" i="10"/>
  <c r="Y145" i="10"/>
  <c r="AM144" i="10"/>
  <c r="AB142" i="10"/>
  <c r="AK142" i="10"/>
  <c r="AH141" i="10"/>
  <c r="AJ139" i="10"/>
  <c r="AO138" i="10"/>
  <c r="C147" i="10"/>
  <c r="D145" i="10"/>
  <c r="O144" i="10"/>
  <c r="AA143" i="10"/>
  <c r="W142" i="10"/>
  <c r="T142" i="10"/>
  <c r="M141" i="10"/>
  <c r="Y140" i="10"/>
  <c r="C140" i="10"/>
  <c r="S140" i="10"/>
  <c r="V141" i="10"/>
  <c r="AC133" i="10"/>
  <c r="G134" i="10"/>
  <c r="I131" i="10"/>
  <c r="O130" i="10"/>
  <c r="D128" i="10"/>
  <c r="N146" i="10"/>
  <c r="AD144" i="10"/>
  <c r="AO143" i="10"/>
  <c r="W141" i="10"/>
  <c r="AA142" i="10"/>
  <c r="K141" i="10"/>
  <c r="R139" i="10"/>
  <c r="C139" i="10"/>
  <c r="AN140" i="10"/>
  <c r="L139" i="10"/>
  <c r="U138" i="10"/>
  <c r="Q140" i="10"/>
  <c r="D137" i="10"/>
  <c r="AC142" i="10"/>
  <c r="AO142" i="10"/>
  <c r="F140" i="10"/>
  <c r="AR140" i="10"/>
  <c r="AK139" i="10"/>
  <c r="N139" i="10"/>
  <c r="R137" i="10"/>
  <c r="AQ138" i="10"/>
  <c r="E135" i="10"/>
  <c r="AW135" i="10"/>
  <c r="AO146" i="10"/>
  <c r="AP143" i="10"/>
  <c r="N144" i="10"/>
  <c r="AQ145" i="10"/>
  <c r="AR144" i="10"/>
  <c r="E144" i="10"/>
  <c r="AW142" i="10"/>
  <c r="L142" i="10"/>
  <c r="AG142" i="10"/>
  <c r="AT142" i="10"/>
  <c r="N142" i="10"/>
  <c r="AJ141" i="10"/>
  <c r="AW139" i="10"/>
  <c r="L140" i="10"/>
  <c r="AT139" i="10"/>
  <c r="AV143" i="10"/>
  <c r="AS136" i="10"/>
  <c r="AQ134" i="10"/>
  <c r="L136" i="10"/>
  <c r="AL133" i="10"/>
  <c r="G132" i="10"/>
  <c r="N132" i="10"/>
  <c r="I142" i="10"/>
  <c r="H147" i="10"/>
  <c r="AV145" i="10"/>
  <c r="Q143" i="10"/>
  <c r="M144" i="10"/>
  <c r="N143" i="10"/>
  <c r="AI142" i="10"/>
  <c r="AQ142" i="10"/>
  <c r="G140" i="10"/>
  <c r="AG141" i="10"/>
  <c r="D140" i="10"/>
  <c r="AA140" i="10"/>
  <c r="AR139" i="10"/>
  <c r="AQ137" i="10"/>
  <c r="Z138" i="10"/>
  <c r="AV136" i="10"/>
  <c r="AQ135" i="10"/>
  <c r="C135" i="10"/>
  <c r="S136" i="10"/>
  <c r="AU134" i="10"/>
  <c r="AW131" i="10"/>
  <c r="E130" i="10"/>
  <c r="AD128" i="10"/>
  <c r="AM142" i="10"/>
  <c r="AJ140" i="10"/>
  <c r="N140" i="10"/>
  <c r="AF140" i="10"/>
  <c r="E141" i="10"/>
  <c r="AL143" i="10"/>
  <c r="AS135" i="10"/>
  <c r="AL136" i="10"/>
  <c r="X136" i="10"/>
  <c r="AO133" i="10"/>
  <c r="I132" i="10"/>
  <c r="AJ129" i="10"/>
  <c r="AV144" i="10"/>
  <c r="AT131" i="10"/>
  <c r="AS130" i="10"/>
  <c r="Q129" i="10"/>
  <c r="O140" i="10"/>
  <c r="AB139" i="10"/>
  <c r="AG143" i="10"/>
  <c r="O134" i="10"/>
  <c r="I144" i="10"/>
  <c r="AR142" i="10"/>
  <c r="AI139" i="10"/>
  <c r="J139" i="10"/>
  <c r="AF135" i="10"/>
  <c r="AG133" i="10"/>
  <c r="Y132" i="10"/>
  <c r="AG129" i="10"/>
  <c r="X131" i="10"/>
  <c r="U144" i="10"/>
  <c r="G143" i="10"/>
  <c r="K136" i="10"/>
  <c r="T139" i="10"/>
  <c r="AT136" i="10"/>
  <c r="E133" i="10"/>
  <c r="AC131" i="10"/>
  <c r="AT129" i="10"/>
  <c r="O129" i="10"/>
  <c r="AS144" i="10"/>
  <c r="F135" i="10"/>
  <c r="R145" i="10"/>
  <c r="L143" i="10"/>
  <c r="AL142" i="10"/>
  <c r="AS140" i="10"/>
  <c r="AT140" i="10"/>
  <c r="AC139" i="10"/>
  <c r="AP147" i="10"/>
  <c r="Z145" i="10"/>
  <c r="AN145" i="10"/>
  <c r="AJ143" i="10"/>
  <c r="Z144" i="10"/>
  <c r="AQ143" i="10"/>
  <c r="V142" i="10"/>
  <c r="AD141" i="10"/>
  <c r="AK141" i="10"/>
  <c r="P140" i="10"/>
  <c r="P141" i="10"/>
  <c r="X140" i="10"/>
  <c r="AU138" i="10"/>
  <c r="AS139" i="10"/>
  <c r="M138" i="10"/>
  <c r="AG137" i="10"/>
  <c r="D138" i="10"/>
  <c r="M136" i="10"/>
  <c r="E136" i="10"/>
  <c r="L135" i="10"/>
  <c r="AA135" i="10"/>
  <c r="Y135" i="10"/>
  <c r="AJ134" i="10"/>
  <c r="AL131" i="10"/>
  <c r="AP131" i="10"/>
  <c r="O131" i="10"/>
  <c r="AQ136" i="10"/>
  <c r="AU143" i="10"/>
  <c r="AR143" i="10"/>
  <c r="AP141" i="10"/>
  <c r="G141" i="10"/>
  <c r="AB140" i="10"/>
  <c r="AC138" i="10"/>
  <c r="AI138" i="10"/>
  <c r="AI137" i="10"/>
  <c r="L138" i="10"/>
  <c r="AM136" i="10"/>
  <c r="AG135" i="10"/>
  <c r="AP146" i="10"/>
  <c r="AJ147" i="10"/>
  <c r="F145" i="10"/>
  <c r="AK144" i="10"/>
  <c r="S143" i="10"/>
  <c r="AN142" i="10"/>
  <c r="E142" i="10"/>
  <c r="D142" i="10"/>
  <c r="H140" i="10"/>
  <c r="J140" i="10"/>
  <c r="AC144" i="10"/>
  <c r="AG145" i="10"/>
  <c r="Q144" i="10"/>
  <c r="R144" i="10"/>
  <c r="AW143" i="10"/>
  <c r="AD142" i="10"/>
  <c r="AV140" i="10"/>
  <c r="Z141" i="10"/>
  <c r="S139" i="10"/>
  <c r="M140" i="10"/>
  <c r="AM139" i="10"/>
  <c r="J138" i="10"/>
  <c r="AM140" i="10"/>
  <c r="AK138" i="10"/>
  <c r="AD136" i="10"/>
  <c r="K139" i="10"/>
  <c r="P135" i="10"/>
  <c r="AK135" i="10"/>
  <c r="R133" i="10"/>
  <c r="E131" i="10"/>
  <c r="V129" i="10"/>
  <c r="F129" i="10"/>
  <c r="E143" i="10"/>
  <c r="X141" i="10"/>
  <c r="G142" i="10"/>
  <c r="AW141" i="10"/>
  <c r="AA138" i="10"/>
  <c r="D136" i="10"/>
  <c r="AP144" i="10"/>
  <c r="G147" i="10"/>
  <c r="H145" i="10"/>
  <c r="P144" i="10"/>
  <c r="AK143" i="10"/>
  <c r="AS143" i="10"/>
  <c r="U142" i="10"/>
  <c r="K142" i="10"/>
  <c r="AQ141" i="10"/>
  <c r="AO141" i="10"/>
  <c r="Z140" i="10"/>
  <c r="AI140" i="10"/>
  <c r="AC140" i="10"/>
  <c r="S138" i="10"/>
  <c r="AQ139" i="10"/>
  <c r="AS138" i="10"/>
  <c r="I138" i="10"/>
  <c r="AN138" i="10"/>
  <c r="AA136" i="10"/>
  <c r="Z136" i="10"/>
  <c r="AU139" i="10"/>
  <c r="AM135" i="10"/>
  <c r="H135" i="10"/>
  <c r="S134" i="10"/>
  <c r="AW132" i="10"/>
  <c r="U130" i="10"/>
  <c r="AU131" i="10"/>
  <c r="X144" i="10"/>
  <c r="AU146" i="10"/>
  <c r="AJ145" i="10"/>
  <c r="Y142" i="10"/>
  <c r="R140" i="10"/>
  <c r="P145" i="10"/>
  <c r="AO144" i="10"/>
  <c r="D144" i="10"/>
  <c r="AW144" i="10"/>
  <c r="L141" i="10"/>
  <c r="AS141" i="10"/>
  <c r="Q141" i="10"/>
  <c r="T140" i="10"/>
  <c r="U140" i="10"/>
  <c r="AP140" i="10"/>
  <c r="AD138" i="10"/>
  <c r="W140" i="10"/>
  <c r="AV138" i="10"/>
  <c r="AC135" i="10"/>
  <c r="Q135" i="10"/>
  <c r="M137" i="10"/>
  <c r="H129" i="10"/>
  <c r="AP129" i="10"/>
  <c r="W143" i="10"/>
  <c r="AV141" i="10"/>
  <c r="T141" i="10"/>
  <c r="F138" i="10"/>
  <c r="R138" i="10"/>
  <c r="AB138" i="10"/>
  <c r="Q136" i="10"/>
  <c r="T136" i="10"/>
  <c r="W139" i="10"/>
  <c r="AB135" i="10"/>
  <c r="P134" i="10"/>
  <c r="R134" i="10"/>
  <c r="AH132" i="10"/>
  <c r="AB130" i="10"/>
  <c r="AD131" i="10"/>
  <c r="Y144" i="10"/>
  <c r="AG144" i="10"/>
  <c r="AA141" i="10"/>
  <c r="Z142" i="10"/>
  <c r="AB141" i="10"/>
  <c r="U141" i="10"/>
  <c r="G137" i="10"/>
  <c r="T135" i="10"/>
  <c r="J134" i="10"/>
  <c r="AO137" i="10"/>
  <c r="M129" i="10"/>
  <c r="M131" i="10"/>
  <c r="N129" i="10"/>
  <c r="C144" i="10"/>
  <c r="AD143" i="10"/>
  <c r="K143" i="10"/>
  <c r="U147" i="10"/>
  <c r="AU145" i="10"/>
  <c r="AU142" i="10"/>
  <c r="N137" i="10"/>
  <c r="K145" i="10"/>
  <c r="X139" i="10"/>
  <c r="AD140" i="10"/>
  <c r="AG140" i="10"/>
  <c r="D141" i="10"/>
  <c r="AA139" i="10"/>
  <c r="N138" i="10"/>
  <c r="G138" i="10"/>
  <c r="AL138" i="10"/>
  <c r="AH136" i="10"/>
  <c r="AR137" i="10"/>
  <c r="M135" i="10"/>
  <c r="F134" i="10"/>
  <c r="X133" i="10"/>
  <c r="AB132" i="10"/>
  <c r="F130" i="10"/>
  <c r="K131" i="10"/>
  <c r="Z139" i="10"/>
  <c r="AD139" i="10"/>
  <c r="AK140" i="10"/>
  <c r="E139" i="10"/>
  <c r="AP142" i="10"/>
  <c r="R142" i="10"/>
  <c r="Y139" i="10"/>
  <c r="O139" i="10"/>
  <c r="AG138" i="10"/>
  <c r="M139" i="10"/>
  <c r="AV139" i="10"/>
  <c r="C137" i="10"/>
  <c r="AB136" i="10"/>
  <c r="D135" i="10"/>
  <c r="AF133" i="10"/>
  <c r="AP137" i="10"/>
  <c r="R130" i="10"/>
  <c r="AT130" i="10"/>
  <c r="P143" i="10"/>
  <c r="M142" i="10"/>
  <c r="V145" i="10"/>
  <c r="AF138" i="10"/>
  <c r="AG139" i="10"/>
  <c r="P136" i="10"/>
  <c r="T144" i="10"/>
  <c r="M143" i="10"/>
  <c r="H141" i="10"/>
  <c r="U145" i="10"/>
  <c r="AT145" i="10"/>
  <c r="AU144" i="10"/>
  <c r="X142" i="10"/>
  <c r="AS142" i="10"/>
  <c r="AM141" i="10"/>
  <c r="F139" i="10"/>
  <c r="Q137" i="10"/>
  <c r="X134" i="10"/>
  <c r="S133" i="10"/>
  <c r="AP133" i="10"/>
  <c r="AS132" i="10"/>
  <c r="Z137" i="10"/>
  <c r="AF131" i="10"/>
  <c r="G130" i="10"/>
  <c r="AI141" i="10"/>
  <c r="T145" i="10"/>
  <c r="AL144" i="10"/>
  <c r="K140" i="10"/>
  <c r="V138" i="10"/>
  <c r="H143" i="10"/>
  <c r="O145" i="10"/>
  <c r="R143" i="10"/>
  <c r="AT144" i="10"/>
  <c r="O143" i="10"/>
  <c r="AU141" i="10"/>
  <c r="J141" i="10"/>
  <c r="W144" i="10"/>
  <c r="J145" i="10"/>
  <c r="AN143" i="10"/>
  <c r="Y143" i="10"/>
  <c r="F141" i="10"/>
  <c r="C141" i="10"/>
  <c r="I141" i="10"/>
  <c r="C138" i="10"/>
  <c r="Q138" i="10"/>
  <c r="F137" i="10"/>
  <c r="AF144" i="10"/>
  <c r="AB144" i="10"/>
  <c r="D143" i="10"/>
  <c r="AC143" i="10"/>
  <c r="J143" i="10"/>
  <c r="AF139" i="10"/>
  <c r="AH140" i="10"/>
  <c r="O141" i="10"/>
  <c r="AP139" i="10"/>
  <c r="AF136" i="10"/>
  <c r="AO130" i="10"/>
  <c r="AL139" i="10"/>
  <c r="AB143" i="10"/>
  <c r="AI143" i="10"/>
  <c r="Q142" i="10"/>
  <c r="AJ144" i="10"/>
  <c r="J136" i="10"/>
  <c r="S142" i="10"/>
  <c r="O142" i="10"/>
  <c r="Y141" i="10"/>
  <c r="AO140" i="10"/>
  <c r="K138" i="10"/>
  <c r="AM138" i="10"/>
  <c r="L137" i="10"/>
  <c r="AL137" i="10"/>
  <c r="I135" i="10"/>
  <c r="AR134" i="10"/>
  <c r="AM132" i="10"/>
  <c r="AR130" i="10"/>
  <c r="S144" i="10"/>
  <c r="AA144" i="10"/>
  <c r="AH144" i="10"/>
  <c r="U143" i="10"/>
  <c r="Z143" i="10"/>
  <c r="AT141" i="10"/>
  <c r="AH142" i="10"/>
  <c r="AR141" i="10"/>
  <c r="P142" i="10"/>
  <c r="U139" i="10"/>
  <c r="I139" i="10"/>
  <c r="N141" i="10"/>
  <c r="H139" i="10"/>
  <c r="AF137" i="10"/>
  <c r="U136" i="10"/>
  <c r="X137" i="10"/>
  <c r="H134" i="10"/>
  <c r="AJ133" i="10"/>
  <c r="G133" i="10"/>
  <c r="P132" i="10"/>
  <c r="Y131" i="10"/>
  <c r="W130" i="10"/>
  <c r="K144" i="10"/>
  <c r="H142" i="10"/>
  <c r="AH143" i="10"/>
  <c r="AT143" i="10"/>
  <c r="AK147" i="10"/>
  <c r="AL141" i="10"/>
  <c r="S141" i="10"/>
  <c r="F144" i="10"/>
  <c r="AF143" i="10"/>
  <c r="V143" i="10"/>
  <c r="S146" i="10"/>
  <c r="AQ144" i="10"/>
  <c r="AB145" i="10"/>
  <c r="L144" i="10"/>
  <c r="AN144" i="10"/>
  <c r="AM143" i="10"/>
  <c r="AV142" i="10"/>
  <c r="F142" i="10"/>
  <c r="J142" i="10"/>
  <c r="AC141" i="10"/>
  <c r="AL140" i="10"/>
  <c r="AW140" i="10"/>
  <c r="AF141" i="10"/>
  <c r="G139" i="10"/>
  <c r="AR138" i="10"/>
  <c r="I140" i="10"/>
  <c r="E137" i="10"/>
  <c r="AM137" i="10"/>
  <c r="AJ135" i="10"/>
  <c r="AF134" i="10"/>
  <c r="AW133" i="10"/>
  <c r="AN134" i="10"/>
  <c r="AI130" i="10"/>
  <c r="C130" i="10"/>
  <c r="R132" i="10"/>
  <c r="AH134" i="10"/>
  <c r="S132" i="10"/>
  <c r="AM131" i="10"/>
  <c r="AT132" i="10"/>
  <c r="P131" i="10"/>
  <c r="AA130" i="10"/>
  <c r="AV130" i="10"/>
  <c r="AC129" i="10"/>
  <c r="U129" i="10"/>
  <c r="AH131" i="10"/>
  <c r="AN130" i="10"/>
  <c r="C131" i="10"/>
  <c r="AW130" i="10"/>
  <c r="Q128" i="10"/>
  <c r="AM129" i="10"/>
  <c r="AF129" i="10"/>
  <c r="AU130" i="10"/>
  <c r="P129" i="10"/>
  <c r="AU129" i="10"/>
  <c r="D132" i="10"/>
  <c r="Q131" i="10"/>
  <c r="AU137" i="10"/>
  <c r="AJ132" i="10"/>
  <c r="AV131" i="10"/>
  <c r="L130" i="10"/>
  <c r="U132" i="10"/>
  <c r="G129" i="10"/>
  <c r="AL129" i="10"/>
  <c r="AP132" i="10"/>
  <c r="Z130" i="10"/>
  <c r="AJ131" i="10"/>
  <c r="D130" i="10"/>
  <c r="AV128" i="10"/>
  <c r="X129" i="10"/>
  <c r="C129" i="10"/>
  <c r="AD137" i="10"/>
  <c r="K137" i="10"/>
  <c r="AU136" i="10"/>
  <c r="H136" i="10"/>
  <c r="AP135" i="10"/>
  <c r="Q139" i="10"/>
  <c r="R135" i="10"/>
  <c r="AN135" i="10"/>
  <c r="E134" i="10"/>
  <c r="W136" i="10"/>
  <c r="O135" i="10"/>
  <c r="I134" i="10"/>
  <c r="P133" i="10"/>
  <c r="AV133" i="10"/>
  <c r="V136" i="10"/>
  <c r="N133" i="10"/>
  <c r="F133" i="10"/>
  <c r="AA133" i="10"/>
  <c r="AK134" i="10"/>
  <c r="V140" i="10"/>
  <c r="AV135" i="10"/>
  <c r="AO135" i="10"/>
  <c r="AA134" i="10"/>
  <c r="AB134" i="10"/>
  <c r="AK133" i="10"/>
  <c r="AR133" i="10"/>
  <c r="AP136" i="10"/>
  <c r="D133" i="10"/>
  <c r="W133" i="10"/>
  <c r="E132" i="10"/>
  <c r="F132" i="10"/>
  <c r="U134" i="10"/>
  <c r="H131" i="10"/>
  <c r="P137" i="10"/>
  <c r="AR131" i="10"/>
  <c r="AS131" i="10"/>
  <c r="N130" i="10"/>
  <c r="H132" i="10"/>
  <c r="AV129" i="10"/>
  <c r="I129" i="10"/>
  <c r="Z132" i="10"/>
  <c r="H130" i="10"/>
  <c r="AN131" i="10"/>
  <c r="AP130" i="10"/>
  <c r="R128" i="10"/>
  <c r="R129" i="10"/>
  <c r="Y129" i="10"/>
  <c r="AR129" i="10"/>
  <c r="T138" i="10"/>
  <c r="AJ138" i="10"/>
  <c r="O138" i="10"/>
  <c r="AH138" i="10"/>
  <c r="W137" i="10"/>
  <c r="F136" i="10"/>
  <c r="H137" i="10"/>
  <c r="Y136" i="10"/>
  <c r="AN136" i="10"/>
  <c r="AO139" i="10"/>
  <c r="AL135" i="10"/>
  <c r="AR135" i="10"/>
  <c r="AJ136" i="10"/>
  <c r="N134" i="10"/>
  <c r="AI134" i="10"/>
  <c r="O136" i="10"/>
  <c r="AD134" i="10"/>
  <c r="AW134" i="10"/>
  <c r="L134" i="10"/>
  <c r="AB133" i="10"/>
  <c r="C133" i="10"/>
  <c r="Y134" i="10"/>
  <c r="J133" i="10"/>
  <c r="AU133" i="10"/>
  <c r="AC132" i="10"/>
  <c r="V132" i="10"/>
  <c r="Q132" i="10"/>
  <c r="R131" i="10"/>
  <c r="AW137" i="10"/>
  <c r="U131" i="10"/>
  <c r="AQ131" i="10"/>
  <c r="V130" i="10"/>
  <c r="AG132" i="10"/>
  <c r="Z129" i="10"/>
  <c r="D131" i="10"/>
  <c r="AL132" i="10"/>
  <c r="AG130" i="10"/>
  <c r="AQ130" i="10"/>
  <c r="AN129" i="10"/>
  <c r="AO129" i="10"/>
  <c r="D129" i="10"/>
  <c r="W129" i="10"/>
  <c r="AU135" i="10"/>
  <c r="AN137" i="10"/>
  <c r="X135" i="10"/>
  <c r="U135" i="10"/>
  <c r="AD129" i="10"/>
  <c r="AK129" i="10"/>
  <c r="AH129" i="10"/>
  <c r="Q130" i="10"/>
  <c r="AL130" i="10"/>
  <c r="X138" i="10"/>
  <c r="AH137" i="10"/>
  <c r="E138" i="10"/>
  <c r="AW138" i="10"/>
  <c r="AT138" i="10"/>
  <c r="X143" i="10"/>
  <c r="AK137" i="10"/>
  <c r="I136" i="10"/>
  <c r="S137" i="10"/>
  <c r="W135" i="10"/>
  <c r="AS134" i="10"/>
  <c r="AO136" i="10"/>
  <c r="M134" i="10"/>
  <c r="Z134" i="10"/>
  <c r="AN133" i="10"/>
  <c r="H133" i="10"/>
  <c r="T134" i="10"/>
  <c r="Q133" i="10"/>
  <c r="AQ133" i="10"/>
  <c r="M132" i="10"/>
  <c r="AD132" i="10"/>
  <c r="N131" i="10"/>
  <c r="AU132" i="10"/>
  <c r="S131" i="10"/>
  <c r="L131" i="10"/>
  <c r="I130" i="10"/>
  <c r="AQ132" i="10"/>
  <c r="E129" i="10"/>
  <c r="AO131" i="10"/>
  <c r="AA132" i="10"/>
  <c r="AA131" i="10"/>
  <c r="T131" i="10"/>
  <c r="S130" i="10"/>
  <c r="AI129" i="10"/>
  <c r="AA129" i="10"/>
  <c r="AH130" i="10"/>
  <c r="AW129" i="10"/>
  <c r="AI136" i="10"/>
  <c r="AR136" i="10"/>
  <c r="K135" i="10"/>
  <c r="G135" i="10"/>
  <c r="AH135" i="10"/>
  <c r="W132" i="10"/>
  <c r="E140" i="10"/>
  <c r="AN141" i="10"/>
  <c r="AU140" i="10"/>
  <c r="Y138" i="10"/>
  <c r="T137" i="10"/>
  <c r="AW136" i="10"/>
  <c r="V137" i="10"/>
  <c r="Z135" i="10"/>
  <c r="AT134" i="10"/>
  <c r="V135" i="10"/>
  <c r="N136" i="10"/>
  <c r="AO134" i="10"/>
  <c r="L133" i="10"/>
  <c r="AD133" i="10"/>
  <c r="X132" i="10"/>
  <c r="C132" i="10"/>
  <c r="AI131" i="10"/>
  <c r="J132" i="10"/>
  <c r="AB131" i="10"/>
  <c r="G131" i="10"/>
  <c r="M130" i="10"/>
  <c r="AI132" i="10"/>
  <c r="F131" i="10"/>
  <c r="AR132" i="10"/>
  <c r="AK131" i="10"/>
  <c r="Z131" i="10"/>
  <c r="M128" i="10"/>
  <c r="K129" i="10"/>
  <c r="AQ129" i="10"/>
  <c r="Y130" i="10"/>
  <c r="T129" i="10"/>
  <c r="P138" i="10"/>
  <c r="P139" i="10"/>
  <c r="V139" i="10"/>
  <c r="AP138" i="10"/>
  <c r="W138" i="10"/>
  <c r="I143" i="10"/>
  <c r="G136" i="10"/>
  <c r="AC136" i="10"/>
  <c r="AN139" i="10"/>
  <c r="AD135" i="10"/>
  <c r="AM134" i="10"/>
  <c r="AP134" i="10"/>
  <c r="AT135" i="10"/>
  <c r="AM133" i="10"/>
  <c r="O132" i="10"/>
  <c r="AS129" i="10"/>
  <c r="AL134" i="10"/>
  <c r="J135" i="10"/>
  <c r="D134" i="10"/>
  <c r="AG134" i="10"/>
  <c r="AI135" i="10"/>
  <c r="AG136" i="10"/>
  <c r="W134" i="10"/>
  <c r="AI133" i="10"/>
  <c r="T133" i="10"/>
  <c r="AN132" i="10"/>
  <c r="Q134" i="10"/>
  <c r="AO132" i="10"/>
  <c r="AC137" i="10"/>
  <c r="W131" i="10"/>
  <c r="AM130" i="10"/>
  <c r="L132" i="10"/>
  <c r="J129" i="10"/>
  <c r="AG131" i="10"/>
  <c r="AD130" i="10"/>
  <c r="V131" i="10"/>
  <c r="J131" i="10"/>
  <c r="AQ128" i="10"/>
  <c r="AB129" i="10"/>
  <c r="S129" i="10"/>
  <c r="P130" i="10"/>
  <c r="L129" i="10"/>
  <c r="Y154" i="10"/>
  <c r="AB153" i="10"/>
  <c r="AS157" i="10"/>
  <c r="M156" i="10"/>
  <c r="AC159" i="10"/>
  <c r="F155" i="10"/>
  <c r="G151" i="10"/>
  <c r="AR152" i="10"/>
  <c r="K159" i="10"/>
  <c r="AO153" i="10"/>
  <c r="AM148" i="10"/>
  <c r="F158" i="10"/>
  <c r="AG158" i="10"/>
  <c r="D155" i="10"/>
  <c r="U154" i="10"/>
  <c r="AJ153" i="10"/>
  <c r="E151" i="10"/>
  <c r="AV152" i="10"/>
  <c r="L157" i="10"/>
  <c r="R156" i="10"/>
  <c r="AJ154" i="10"/>
  <c r="P152" i="10"/>
  <c r="W156" i="10"/>
  <c r="D153" i="10"/>
  <c r="I156" i="10"/>
  <c r="K155" i="10"/>
  <c r="AT153" i="10"/>
  <c r="X151" i="10"/>
  <c r="U148" i="10"/>
  <c r="AR158" i="10"/>
  <c r="AP156" i="10"/>
  <c r="AJ155" i="10"/>
  <c r="T154" i="10"/>
  <c r="AP151" i="10"/>
  <c r="K151" i="10"/>
  <c r="M151" i="10"/>
  <c r="AJ157" i="10"/>
  <c r="AV158" i="10"/>
  <c r="AH154" i="10"/>
  <c r="AN152" i="10"/>
  <c r="AK151" i="10"/>
  <c r="AU147" i="10"/>
  <c r="AH157" i="10"/>
  <c r="G156" i="10"/>
  <c r="K158" i="10"/>
  <c r="I154" i="10"/>
  <c r="AA153" i="10"/>
  <c r="AA156" i="10"/>
  <c r="I149" i="10"/>
  <c r="Q156" i="10"/>
  <c r="AM150" i="10"/>
  <c r="N157" i="10"/>
  <c r="E158" i="10"/>
  <c r="K154" i="10"/>
  <c r="P154" i="10"/>
  <c r="F153" i="10"/>
  <c r="AF151" i="10"/>
  <c r="AK150" i="10"/>
  <c r="AB147" i="10"/>
  <c r="G153" i="10"/>
  <c r="Y151" i="10"/>
  <c r="K157" i="10"/>
  <c r="X156" i="10"/>
  <c r="C152" i="10"/>
  <c r="AU157" i="10"/>
  <c r="Z156" i="10"/>
  <c r="AQ154" i="10"/>
  <c r="K153" i="10"/>
  <c r="W151" i="10"/>
  <c r="H150" i="10"/>
  <c r="I147" i="10"/>
  <c r="AD158" i="10"/>
  <c r="AW155" i="10"/>
  <c r="AP155" i="10"/>
  <c r="AV154" i="10"/>
  <c r="Z154" i="10"/>
  <c r="R151" i="10"/>
  <c r="AI154" i="10"/>
  <c r="AM156" i="10"/>
  <c r="AN158" i="10"/>
  <c r="T156" i="10"/>
  <c r="AV151" i="10"/>
  <c r="Z152" i="10"/>
  <c r="AC152" i="10"/>
  <c r="AB146" i="10"/>
  <c r="W157" i="10"/>
  <c r="AO155" i="10"/>
  <c r="AL152" i="10"/>
  <c r="Y158" i="10"/>
  <c r="AM153" i="10"/>
  <c r="AK156" i="10"/>
  <c r="G155" i="10"/>
  <c r="P155" i="10"/>
  <c r="AO156" i="10"/>
  <c r="R154" i="10"/>
  <c r="I153" i="10"/>
  <c r="J150" i="10"/>
  <c r="S152" i="10"/>
  <c r="AG153" i="10"/>
  <c r="M150" i="10"/>
  <c r="AL149" i="10"/>
  <c r="AG146" i="10"/>
  <c r="AV155" i="10"/>
  <c r="AN156" i="10"/>
  <c r="O152" i="10"/>
  <c r="K152" i="10"/>
  <c r="E157" i="10"/>
  <c r="Z155" i="10"/>
  <c r="E156" i="10"/>
  <c r="AT155" i="10"/>
  <c r="U157" i="10"/>
  <c r="AU154" i="10"/>
  <c r="F152" i="10"/>
  <c r="V153" i="10"/>
  <c r="AA150" i="10"/>
  <c r="AA149" i="10"/>
  <c r="AQ146" i="10"/>
  <c r="AK154" i="10"/>
  <c r="P157" i="10"/>
  <c r="AR157" i="10"/>
  <c r="N155" i="10"/>
  <c r="X154" i="10"/>
  <c r="R153" i="10"/>
  <c r="R150" i="10"/>
  <c r="D159" i="10"/>
  <c r="AF154" i="10"/>
  <c r="N152" i="10"/>
  <c r="AV153" i="10"/>
  <c r="AN150" i="10"/>
  <c r="Q157" i="10"/>
  <c r="AM155" i="10"/>
  <c r="X157" i="10"/>
  <c r="AI157" i="10"/>
  <c r="AP157" i="10"/>
  <c r="J155" i="10"/>
  <c r="H153" i="10"/>
  <c r="AH153" i="10"/>
  <c r="Y150" i="10"/>
  <c r="AG155" i="10"/>
  <c r="F157" i="10"/>
  <c r="AW158" i="10"/>
  <c r="U155" i="10"/>
  <c r="X155" i="10"/>
  <c r="AV156" i="10"/>
  <c r="AI156" i="10"/>
  <c r="AC155" i="10"/>
  <c r="H155" i="10"/>
  <c r="AM154" i="10"/>
  <c r="AD156" i="10"/>
  <c r="AP154" i="10"/>
  <c r="AD150" i="10"/>
  <c r="K149" i="10"/>
  <c r="I152" i="10"/>
  <c r="D149" i="10"/>
  <c r="C150" i="10"/>
  <c r="P150" i="10"/>
  <c r="AW149" i="10"/>
  <c r="C149" i="10"/>
  <c r="G149" i="10"/>
  <c r="Q150" i="10"/>
  <c r="AQ148" i="10"/>
  <c r="C148" i="10"/>
  <c r="AT148" i="10"/>
  <c r="AS151" i="10"/>
  <c r="AT147" i="10"/>
  <c r="AG147" i="10"/>
  <c r="AH147" i="10"/>
  <c r="D146" i="10"/>
  <c r="E148" i="10"/>
  <c r="Y146" i="10"/>
  <c r="AL145" i="10"/>
  <c r="AL147" i="10"/>
  <c r="L146" i="10"/>
  <c r="AI146" i="10"/>
  <c r="AJ150" i="10"/>
  <c r="AP150" i="10"/>
  <c r="Z149" i="10"/>
  <c r="J149" i="10"/>
  <c r="AD149" i="10"/>
  <c r="K150" i="10"/>
  <c r="AG148" i="10"/>
  <c r="Q148" i="10"/>
  <c r="J148" i="10"/>
  <c r="AS148" i="10"/>
  <c r="T147" i="10"/>
  <c r="AQ147" i="10"/>
  <c r="P147" i="10"/>
  <c r="AF146" i="10"/>
  <c r="F148" i="10"/>
  <c r="E146" i="10"/>
  <c r="V146" i="10"/>
  <c r="AP145" i="10"/>
  <c r="O147" i="10"/>
  <c r="I146" i="10"/>
  <c r="R146" i="10"/>
  <c r="AF156" i="10"/>
  <c r="M155" i="10"/>
  <c r="AG157" i="10"/>
  <c r="AR156" i="10"/>
  <c r="AM158" i="10"/>
  <c r="C158" i="10"/>
  <c r="Y155" i="10"/>
  <c r="AH155" i="10"/>
  <c r="AR155" i="10"/>
  <c r="AW154" i="10"/>
  <c r="AT156" i="10"/>
  <c r="V154" i="10"/>
  <c r="AQ155" i="10"/>
  <c r="W154" i="10"/>
  <c r="Q154" i="10"/>
  <c r="AK152" i="10"/>
  <c r="Y153" i="10"/>
  <c r="AB152" i="10"/>
  <c r="AI153" i="10"/>
  <c r="T153" i="10"/>
  <c r="AC153" i="10"/>
  <c r="Q151" i="10"/>
  <c r="Z151" i="10"/>
  <c r="G152" i="10"/>
  <c r="AT150" i="10"/>
  <c r="Z150" i="10"/>
  <c r="H152" i="10"/>
  <c r="AO152" i="10"/>
  <c r="N149" i="10"/>
  <c r="AF150" i="10"/>
  <c r="W150" i="10"/>
  <c r="J152" i="10"/>
  <c r="O149" i="10"/>
  <c r="AU149" i="10"/>
  <c r="AU150" i="10"/>
  <c r="Z148" i="10"/>
  <c r="AC148" i="10"/>
  <c r="AB148" i="10"/>
  <c r="AW151" i="10"/>
  <c r="AA147" i="10"/>
  <c r="AS147" i="10"/>
  <c r="AV147" i="10"/>
  <c r="AS146" i="10"/>
  <c r="AV148" i="10"/>
  <c r="O146" i="10"/>
  <c r="X146" i="10"/>
  <c r="G145" i="10"/>
  <c r="AC147" i="10"/>
  <c r="AI145" i="10"/>
  <c r="L145" i="10"/>
  <c r="AN147" i="10"/>
  <c r="M145" i="10"/>
  <c r="J157" i="10"/>
  <c r="R157" i="10"/>
  <c r="W158" i="10"/>
  <c r="F159" i="10"/>
  <c r="E154" i="10"/>
  <c r="AT154" i="10"/>
  <c r="F156" i="10"/>
  <c r="G154" i="10"/>
  <c r="AU155" i="10"/>
  <c r="S153" i="10"/>
  <c r="AN153" i="10"/>
  <c r="X152" i="10"/>
  <c r="AW153" i="10"/>
  <c r="AC151" i="10"/>
  <c r="J151" i="10"/>
  <c r="W152" i="10"/>
  <c r="S149" i="10"/>
  <c r="R152" i="10"/>
  <c r="N150" i="10"/>
  <c r="AF152" i="10"/>
  <c r="Y149" i="10"/>
  <c r="V149" i="10"/>
  <c r="S150" i="10"/>
  <c r="Y148" i="10"/>
  <c r="K148" i="10"/>
  <c r="AA148" i="10"/>
  <c r="S147" i="10"/>
  <c r="Z146" i="10"/>
  <c r="AK146" i="10"/>
  <c r="P146" i="10"/>
  <c r="Q146" i="10"/>
  <c r="AA145" i="10"/>
  <c r="V147" i="10"/>
  <c r="AR145" i="10"/>
  <c r="L148" i="10"/>
  <c r="D147" i="10"/>
  <c r="R147" i="10"/>
  <c r="AF155" i="10"/>
  <c r="U152" i="10"/>
  <c r="AL155" i="10"/>
  <c r="AU158" i="10"/>
  <c r="O156" i="10"/>
  <c r="Y157" i="10"/>
  <c r="D156" i="10"/>
  <c r="M158" i="10"/>
  <c r="Q155" i="10"/>
  <c r="M154" i="10"/>
  <c r="AS153" i="10"/>
  <c r="X153" i="10"/>
  <c r="AO151" i="10"/>
  <c r="S151" i="10"/>
  <c r="AG151" i="10"/>
  <c r="H151" i="10"/>
  <c r="L152" i="10"/>
  <c r="T150" i="10"/>
  <c r="X149" i="10"/>
  <c r="AM152" i="10"/>
  <c r="O150" i="10"/>
  <c r="F150" i="10"/>
  <c r="AJ152" i="10"/>
  <c r="AH149" i="10"/>
  <c r="AJ149" i="10"/>
  <c r="AL150" i="10"/>
  <c r="N148" i="10"/>
  <c r="AJ148" i="10"/>
  <c r="T148" i="10"/>
  <c r="AR148" i="10"/>
  <c r="AD147" i="10"/>
  <c r="Q147" i="10"/>
  <c r="C146" i="10"/>
  <c r="AC146" i="10"/>
  <c r="AH146" i="10"/>
  <c r="AM145" i="10"/>
  <c r="AF145" i="10"/>
  <c r="J147" i="10"/>
  <c r="AO145" i="10"/>
  <c r="L155" i="10"/>
  <c r="U158" i="10"/>
  <c r="AD155" i="10"/>
  <c r="H154" i="10"/>
  <c r="D154" i="10"/>
  <c r="AB155" i="10"/>
  <c r="O155" i="10"/>
  <c r="AG154" i="10"/>
  <c r="O153" i="10"/>
  <c r="AI152" i="10"/>
  <c r="E153" i="10"/>
  <c r="Q152" i="10"/>
  <c r="AC154" i="10"/>
  <c r="AL154" i="10"/>
  <c r="I155" i="10"/>
  <c r="AK153" i="10"/>
  <c r="AB154" i="10"/>
  <c r="AQ153" i="10"/>
  <c r="U153" i="10"/>
  <c r="O151" i="10"/>
  <c r="N153" i="10"/>
  <c r="AB151" i="10"/>
  <c r="AD151" i="10"/>
  <c r="AN151" i="10"/>
  <c r="V152" i="10"/>
  <c r="AV150" i="10"/>
  <c r="AR149" i="10"/>
  <c r="AQ152" i="10"/>
  <c r="P149" i="10"/>
  <c r="AB150" i="10"/>
  <c r="AM149" i="10"/>
  <c r="AA152" i="10"/>
  <c r="AV149" i="10"/>
  <c r="AS149" i="10"/>
  <c r="X150" i="10"/>
  <c r="AH148" i="10"/>
  <c r="AF148" i="10"/>
  <c r="AQ151" i="10"/>
  <c r="P148" i="10"/>
  <c r="W147" i="10"/>
  <c r="AW147" i="10"/>
  <c r="Y147" i="10"/>
  <c r="AL146" i="10"/>
  <c r="U146" i="10"/>
  <c r="AW146" i="10"/>
  <c r="C145" i="10"/>
  <c r="N145" i="10"/>
  <c r="T146" i="10"/>
  <c r="W145" i="10"/>
  <c r="U156" i="10"/>
  <c r="F154" i="10"/>
  <c r="D152" i="10"/>
  <c r="AA151" i="10"/>
  <c r="AQ150" i="10"/>
  <c r="V150" i="10"/>
  <c r="AF149" i="10"/>
  <c r="AK157" i="10"/>
  <c r="O157" i="10"/>
  <c r="K156" i="10"/>
  <c r="I157" i="10"/>
  <c r="V157" i="10"/>
  <c r="AI155" i="10"/>
  <c r="AO157" i="10"/>
  <c r="AC157" i="10"/>
  <c r="C155" i="10"/>
  <c r="H156" i="10"/>
  <c r="AB157" i="10"/>
  <c r="AH156" i="10"/>
  <c r="AJ158" i="10"/>
  <c r="AT158" i="10"/>
  <c r="S155" i="10"/>
  <c r="C159" i="10"/>
  <c r="AD154" i="10"/>
  <c r="S154" i="10"/>
  <c r="AN157" i="10"/>
  <c r="Y156" i="10"/>
  <c r="T157" i="10"/>
  <c r="AF158" i="10"/>
  <c r="AQ156" i="10"/>
  <c r="AT157" i="10"/>
  <c r="AR154" i="10"/>
  <c r="Q153" i="10"/>
  <c r="N154" i="10"/>
  <c r="AP153" i="10"/>
  <c r="L153" i="10"/>
  <c r="I151" i="10"/>
  <c r="U150" i="10"/>
  <c r="AI149" i="10"/>
  <c r="M149" i="10"/>
  <c r="AS150" i="10"/>
  <c r="AH150" i="10"/>
  <c r="AB149" i="10"/>
  <c r="AP152" i="10"/>
  <c r="AG149" i="10"/>
  <c r="V148" i="10"/>
  <c r="G148" i="10"/>
  <c r="AI148" i="10"/>
  <c r="D151" i="10"/>
  <c r="O148" i="10"/>
  <c r="M147" i="10"/>
  <c r="F147" i="10"/>
  <c r="AI147" i="10"/>
  <c r="I148" i="10"/>
  <c r="F146" i="10"/>
  <c r="AM146" i="10"/>
  <c r="X145" i="10"/>
  <c r="AS145" i="10"/>
  <c r="M146" i="10"/>
  <c r="AH145" i="10"/>
  <c r="G157" i="10"/>
  <c r="R155" i="10"/>
  <c r="I158" i="10"/>
  <c r="D157" i="10"/>
  <c r="L158" i="10"/>
  <c r="AW156" i="10"/>
  <c r="AC156" i="10"/>
  <c r="AB158" i="10"/>
  <c r="AK155" i="10"/>
  <c r="R159" i="10"/>
  <c r="AM159" i="10"/>
  <c r="AA154" i="10"/>
  <c r="J154" i="10"/>
  <c r="AS154" i="10"/>
  <c r="AN155" i="10"/>
  <c r="AL153" i="10"/>
  <c r="AR153" i="10"/>
  <c r="F151" i="10"/>
  <c r="AR151" i="10"/>
  <c r="U151" i="10"/>
  <c r="AH152" i="10"/>
  <c r="F149" i="10"/>
  <c r="AR146" i="10"/>
  <c r="AD145" i="10"/>
  <c r="Q145" i="10"/>
  <c r="AD146" i="10"/>
  <c r="AW145" i="10"/>
  <c r="P151" i="10"/>
  <c r="AL148" i="10"/>
  <c r="L147" i="10"/>
  <c r="E147" i="10"/>
  <c r="AO147" i="10"/>
  <c r="R148" i="10"/>
  <c r="AV146" i="10"/>
  <c r="T151" i="10"/>
  <c r="AJ151" i="10"/>
  <c r="E152" i="10"/>
  <c r="AW150" i="10"/>
  <c r="E149" i="10"/>
  <c r="AW152" i="10"/>
  <c r="AP149" i="10"/>
  <c r="E150" i="10"/>
  <c r="Y152" i="10"/>
  <c r="L149" i="10"/>
  <c r="AW148" i="10"/>
  <c r="C157" i="10"/>
  <c r="AV157" i="10"/>
  <c r="AA155" i="10"/>
  <c r="V156" i="10"/>
  <c r="AS155" i="10"/>
  <c r="V155" i="10"/>
  <c r="L154" i="10"/>
  <c r="AG152" i="10"/>
  <c r="AI150" i="10"/>
  <c r="T149" i="10"/>
  <c r="AT152" i="10"/>
  <c r="AK149" i="10"/>
  <c r="AO150" i="10"/>
  <c r="U149" i="10"/>
  <c r="AD152" i="10"/>
  <c r="W149" i="10"/>
  <c r="R149" i="10"/>
  <c r="S148" i="10"/>
  <c r="D148" i="10"/>
  <c r="AK148" i="10"/>
  <c r="N151" i="10"/>
  <c r="AO148" i="10"/>
  <c r="AM147" i="10"/>
  <c r="X147" i="10"/>
  <c r="Z147" i="10"/>
  <c r="AP148" i="10"/>
  <c r="K146" i="10"/>
  <c r="AN146" i="10"/>
  <c r="I145" i="10"/>
  <c r="N147" i="10"/>
  <c r="AA146" i="10"/>
  <c r="AK145" i="10"/>
  <c r="J156" i="10"/>
  <c r="O154" i="10"/>
  <c r="T155" i="10"/>
  <c r="C154" i="10"/>
  <c r="AU153" i="10"/>
  <c r="T152" i="10"/>
  <c r="C153" i="10"/>
  <c r="W153" i="10"/>
  <c r="Z153" i="10"/>
  <c r="AH151" i="10"/>
  <c r="M153" i="10"/>
  <c r="V151" i="10"/>
  <c r="C151" i="10"/>
  <c r="AT151" i="10"/>
  <c r="G150" i="10"/>
  <c r="I150" i="10"/>
  <c r="H149" i="10"/>
  <c r="AC149" i="10"/>
  <c r="AN148" i="10"/>
  <c r="X148" i="10"/>
  <c r="AM157" i="10"/>
  <c r="S157" i="10"/>
  <c r="AJ156" i="10"/>
  <c r="AU156" i="10"/>
  <c r="W155" i="10"/>
  <c r="AA157" i="10"/>
  <c r="L156" i="10"/>
  <c r="E155" i="10"/>
  <c r="AK159" i="10"/>
  <c r="AN154" i="10"/>
  <c r="AO154" i="10"/>
  <c r="AF153" i="10"/>
  <c r="AS152" i="10"/>
  <c r="J153" i="10"/>
  <c r="M152" i="10"/>
  <c r="P153" i="10"/>
  <c r="AM151" i="10"/>
  <c r="AD153" i="10"/>
  <c r="AU151" i="10"/>
  <c r="AI151" i="10"/>
  <c r="AL151" i="10"/>
  <c r="AR150" i="10"/>
  <c r="L150" i="10"/>
  <c r="AN149" i="10"/>
  <c r="AU152" i="10"/>
  <c r="Q149" i="10"/>
  <c r="AG150" i="10"/>
  <c r="AC150" i="10"/>
  <c r="AO149" i="10"/>
  <c r="AT149" i="10"/>
  <c r="AQ149" i="10"/>
  <c r="D150" i="10"/>
  <c r="AU148" i="10"/>
  <c r="H148" i="10"/>
  <c r="W148" i="10"/>
  <c r="L151" i="10"/>
  <c r="M148" i="10"/>
  <c r="AR147" i="10"/>
  <c r="AF147" i="10"/>
  <c r="G146" i="10"/>
  <c r="AD148" i="10"/>
  <c r="J146" i="10"/>
  <c r="H146" i="10"/>
  <c r="E145" i="10"/>
  <c r="K147" i="10"/>
  <c r="AJ146" i="10"/>
  <c r="S145" i="10"/>
  <c r="AO166" i="10"/>
  <c r="AA171" i="10"/>
  <c r="AA165" i="10"/>
  <c r="N164" i="10"/>
  <c r="AA163" i="10"/>
  <c r="AF167" i="10"/>
  <c r="U163" i="10"/>
  <c r="L161" i="10"/>
  <c r="P160" i="10"/>
  <c r="J158" i="10"/>
  <c r="AP162" i="10"/>
  <c r="N162" i="10"/>
  <c r="AQ161" i="10"/>
  <c r="W163" i="10"/>
  <c r="K162" i="10"/>
  <c r="K161" i="10"/>
  <c r="E160" i="10"/>
  <c r="W162" i="10"/>
  <c r="G160" i="10"/>
  <c r="Z160" i="10"/>
  <c r="AB160" i="10"/>
  <c r="AA160" i="10"/>
  <c r="AI159" i="10"/>
  <c r="AU159" i="10"/>
  <c r="AP159" i="10"/>
  <c r="AB159" i="10"/>
  <c r="R158" i="10"/>
  <c r="Z158" i="10"/>
  <c r="P156" i="10"/>
  <c r="D166" i="10"/>
  <c r="AG171" i="10"/>
  <c r="R160" i="10"/>
  <c r="L162" i="10"/>
  <c r="AP158" i="10"/>
  <c r="C156" i="10"/>
  <c r="AK166" i="10"/>
  <c r="F166" i="10"/>
  <c r="AL165" i="10"/>
  <c r="H160" i="10"/>
  <c r="AH159" i="10"/>
  <c r="AS164" i="10"/>
  <c r="P163" i="10"/>
  <c r="R161" i="10"/>
  <c r="AV160" i="10"/>
  <c r="AV159" i="10"/>
  <c r="G159" i="10"/>
  <c r="AW157" i="10"/>
  <c r="P166" i="10"/>
  <c r="R168" i="10"/>
  <c r="AS171" i="10"/>
  <c r="F165" i="10"/>
  <c r="L164" i="10"/>
  <c r="AB164" i="10"/>
  <c r="C164" i="10"/>
  <c r="AG163" i="10"/>
  <c r="AF164" i="10"/>
  <c r="AO161" i="10"/>
  <c r="U164" i="10"/>
  <c r="K163" i="10"/>
  <c r="S160" i="10"/>
  <c r="I160" i="10"/>
  <c r="AN159" i="10"/>
  <c r="H158" i="10"/>
  <c r="Q163" i="10"/>
  <c r="R163" i="10"/>
  <c r="AO162" i="10"/>
  <c r="Z161" i="10"/>
  <c r="AJ162" i="10"/>
  <c r="AL161" i="10"/>
  <c r="C160" i="10"/>
  <c r="AK162" i="10"/>
  <c r="U161" i="10"/>
  <c r="AT160" i="10"/>
  <c r="AQ162" i="10"/>
  <c r="AA159" i="10"/>
  <c r="Z163" i="10"/>
  <c r="N159" i="10"/>
  <c r="AG159" i="10"/>
  <c r="AD159" i="10"/>
  <c r="P158" i="10"/>
  <c r="R162" i="10"/>
  <c r="Q158" i="10"/>
  <c r="AS156" i="10"/>
  <c r="AJ159" i="10"/>
  <c r="T158" i="10"/>
  <c r="AW162" i="10"/>
  <c r="AD157" i="10"/>
  <c r="AD168" i="10"/>
  <c r="AD160" i="10"/>
  <c r="AK171" i="10"/>
  <c r="AR160" i="10"/>
  <c r="J161" i="10"/>
  <c r="T162" i="10"/>
  <c r="X161" i="10"/>
  <c r="AJ160" i="10"/>
  <c r="H162" i="10"/>
  <c r="T160" i="10"/>
  <c r="Q159" i="10"/>
  <c r="J160" i="10"/>
  <c r="S159" i="10"/>
  <c r="V159" i="10"/>
  <c r="AA158" i="10"/>
  <c r="AQ166" i="10"/>
  <c r="AI163" i="10"/>
  <c r="V164" i="10"/>
  <c r="Z164" i="10"/>
  <c r="G163" i="10"/>
  <c r="AR163" i="10"/>
  <c r="H161" i="10"/>
  <c r="M159" i="10"/>
  <c r="AO168" i="10"/>
  <c r="AR165" i="10"/>
  <c r="AM162" i="10"/>
  <c r="AK160" i="10"/>
  <c r="AO159" i="10"/>
  <c r="AW163" i="10"/>
  <c r="L159" i="10"/>
  <c r="Z159" i="10"/>
  <c r="AS158" i="10"/>
  <c r="AD162" i="10"/>
  <c r="AG156" i="10"/>
  <c r="X158" i="10"/>
  <c r="Q171" i="10"/>
  <c r="AJ168" i="10"/>
  <c r="AR167" i="10"/>
  <c r="D163" i="10"/>
  <c r="I162" i="10"/>
  <c r="X160" i="10"/>
  <c r="O164" i="10"/>
  <c r="AS162" i="10"/>
  <c r="AM166" i="10"/>
  <c r="J164" i="10"/>
  <c r="AI166" i="10"/>
  <c r="AI162" i="10"/>
  <c r="AS166" i="10"/>
  <c r="X165" i="10"/>
  <c r="W164" i="10"/>
  <c r="AT162" i="10"/>
  <c r="Q164" i="10"/>
  <c r="AC160" i="10"/>
  <c r="AD161" i="10"/>
  <c r="AW161" i="10"/>
  <c r="AO163" i="10"/>
  <c r="Y159" i="10"/>
  <c r="AL159" i="10"/>
  <c r="V158" i="10"/>
  <c r="E162" i="10"/>
  <c r="AQ157" i="10"/>
  <c r="V165" i="10"/>
  <c r="W161" i="10"/>
  <c r="N158" i="10"/>
  <c r="AV167" i="10"/>
  <c r="X162" i="10"/>
  <c r="AK161" i="10"/>
  <c r="AV161" i="10"/>
  <c r="AW160" i="10"/>
  <c r="F160" i="10"/>
  <c r="AT159" i="10"/>
  <c r="AK158" i="10"/>
  <c r="R166" i="10"/>
  <c r="AC165" i="10"/>
  <c r="AK165" i="10"/>
  <c r="AJ164" i="10"/>
  <c r="AU163" i="10"/>
  <c r="S164" i="10"/>
  <c r="C161" i="10"/>
  <c r="AC161" i="10"/>
  <c r="AH164" i="10"/>
  <c r="AQ163" i="10"/>
  <c r="G164" i="10"/>
  <c r="S163" i="10"/>
  <c r="AA161" i="10"/>
  <c r="J162" i="10"/>
  <c r="K160" i="10"/>
  <c r="AN160" i="10"/>
  <c r="F162" i="10"/>
  <c r="AG160" i="10"/>
  <c r="I159" i="10"/>
  <c r="AQ159" i="10"/>
  <c r="AL156" i="10"/>
  <c r="AA162" i="10"/>
  <c r="D161" i="10"/>
  <c r="Q160" i="10"/>
  <c r="AL163" i="10"/>
  <c r="Z162" i="10"/>
  <c r="I164" i="10"/>
  <c r="AN163" i="10"/>
  <c r="Q166" i="10"/>
  <c r="K167" i="10"/>
  <c r="Q161" i="10"/>
  <c r="I161" i="10"/>
  <c r="AJ161" i="10"/>
  <c r="AH158" i="10"/>
  <c r="G158" i="10"/>
  <c r="AH162" i="10"/>
  <c r="AB156" i="10"/>
  <c r="S156" i="10"/>
  <c r="G162" i="10"/>
  <c r="E165" i="10"/>
  <c r="Y163" i="10"/>
  <c r="AB161" i="10"/>
  <c r="AV162" i="10"/>
  <c r="V162" i="10"/>
  <c r="AT164" i="10"/>
  <c r="AN171" i="10"/>
  <c r="X164" i="10"/>
  <c r="AO164" i="10"/>
  <c r="U162" i="10"/>
  <c r="AP160" i="10"/>
  <c r="V168" i="10"/>
  <c r="AW164" i="10"/>
  <c r="M164" i="10"/>
  <c r="M162" i="10"/>
  <c r="AG161" i="10"/>
  <c r="N171" i="10"/>
  <c r="O159" i="10"/>
  <c r="K164" i="10"/>
  <c r="AA166" i="10"/>
  <c r="AL164" i="10"/>
  <c r="AG162" i="10"/>
  <c r="E164" i="10"/>
  <c r="N163" i="10"/>
  <c r="D164" i="10"/>
  <c r="AI161" i="10"/>
  <c r="AF162" i="10"/>
  <c r="F161" i="10"/>
  <c r="AI160" i="10"/>
  <c r="AN166" i="10"/>
  <c r="AS163" i="10"/>
  <c r="AH163" i="10"/>
  <c r="C165" i="10"/>
  <c r="W165" i="10"/>
  <c r="AQ164" i="10"/>
  <c r="H164" i="10"/>
  <c r="U160" i="10"/>
  <c r="L160" i="10"/>
  <c r="AS159" i="10"/>
  <c r="I166" i="10"/>
  <c r="AH166" i="10"/>
  <c r="N168" i="10"/>
  <c r="L165" i="10"/>
  <c r="Y164" i="10"/>
  <c r="T164" i="10"/>
  <c r="AN164" i="10"/>
  <c r="AC164" i="10"/>
  <c r="G167" i="10"/>
  <c r="O163" i="10"/>
  <c r="M163" i="10"/>
  <c r="AD164" i="10"/>
  <c r="N161" i="10"/>
  <c r="Y162" i="10"/>
  <c r="AA164" i="10"/>
  <c r="V161" i="10"/>
  <c r="L163" i="10"/>
  <c r="AS161" i="10"/>
  <c r="V160" i="10"/>
  <c r="G161" i="10"/>
  <c r="AF160" i="10"/>
  <c r="AT161" i="10"/>
  <c r="AO160" i="10"/>
  <c r="AB162" i="10"/>
  <c r="AM163" i="10"/>
  <c r="H163" i="10"/>
  <c r="AQ160" i="10"/>
  <c r="H159" i="10"/>
  <c r="W159" i="10"/>
  <c r="D158" i="10"/>
  <c r="AI158" i="10"/>
  <c r="AR162" i="10"/>
  <c r="H157" i="10"/>
  <c r="M157" i="10"/>
  <c r="E161" i="10"/>
  <c r="AR166" i="10"/>
  <c r="AQ168" i="10"/>
  <c r="I163" i="10"/>
  <c r="AN162" i="10"/>
  <c r="C162" i="10"/>
  <c r="AG166" i="10"/>
  <c r="S165" i="10"/>
  <c r="AU164" i="10"/>
  <c r="S162" i="10"/>
  <c r="AP164" i="10"/>
  <c r="AC163" i="10"/>
  <c r="P161" i="10"/>
  <c r="AM160" i="10"/>
  <c r="AN161" i="10"/>
  <c r="F163" i="10"/>
  <c r="L166" i="10"/>
  <c r="AI164" i="10"/>
  <c r="AK163" i="10"/>
  <c r="AG164" i="10"/>
  <c r="N160" i="10"/>
  <c r="P159" i="10"/>
  <c r="AD163" i="10"/>
  <c r="AC162" i="10"/>
  <c r="R164" i="10"/>
  <c r="AP163" i="10"/>
  <c r="T161" i="10"/>
  <c r="AJ163" i="10"/>
  <c r="N166" i="10"/>
  <c r="K166" i="10"/>
  <c r="X166" i="10"/>
  <c r="X171" i="10"/>
  <c r="AH165" i="10"/>
  <c r="AW165" i="10"/>
  <c r="F164" i="10"/>
  <c r="AM164" i="10"/>
  <c r="J163" i="10"/>
  <c r="AK167" i="10"/>
  <c r="E163" i="10"/>
  <c r="AB163" i="10"/>
  <c r="AK164" i="10"/>
  <c r="S161" i="10"/>
  <c r="O162" i="10"/>
  <c r="Y161" i="10"/>
  <c r="AH161" i="10"/>
  <c r="X163" i="10"/>
  <c r="AU161" i="10"/>
  <c r="M160" i="10"/>
  <c r="M161" i="10"/>
  <c r="AL160" i="10"/>
  <c r="O161" i="10"/>
  <c r="AH160" i="10"/>
  <c r="D162" i="10"/>
  <c r="AF159" i="10"/>
  <c r="Y160" i="10"/>
  <c r="U159" i="10"/>
  <c r="J159" i="10"/>
  <c r="AW159" i="10"/>
  <c r="AC158" i="10"/>
  <c r="O158" i="10"/>
  <c r="S158" i="10"/>
  <c r="N156" i="10"/>
  <c r="AL157" i="10"/>
  <c r="AM165" i="10"/>
  <c r="AW166" i="10"/>
  <c r="V163" i="10"/>
  <c r="G166" i="10"/>
  <c r="P164" i="10"/>
  <c r="C163" i="10"/>
  <c r="E159" i="10"/>
  <c r="AV164" i="10"/>
  <c r="V167" i="10"/>
  <c r="AF163" i="10"/>
  <c r="P167" i="10"/>
  <c r="AR164" i="10"/>
  <c r="AV163" i="10"/>
  <c r="AU162" i="10"/>
  <c r="AR161" i="10"/>
  <c r="P162" i="10"/>
  <c r="AP161" i="10"/>
  <c r="AF161" i="10"/>
  <c r="AT163" i="10"/>
  <c r="AM161" i="10"/>
  <c r="D160" i="10"/>
  <c r="AL162" i="10"/>
  <c r="O160" i="10"/>
  <c r="W160" i="10"/>
  <c r="AS160" i="10"/>
  <c r="Q162" i="10"/>
  <c r="T163" i="10"/>
  <c r="AU160" i="10"/>
  <c r="AR159" i="10"/>
  <c r="T159" i="10"/>
  <c r="X159" i="10"/>
  <c r="AQ158" i="10"/>
  <c r="AO158" i="10"/>
  <c r="AL158" i="10"/>
  <c r="AF157" i="10"/>
  <c r="Z157" i="10"/>
  <c r="AT166" i="10"/>
  <c r="AM169" i="10"/>
  <c r="AG173" i="10"/>
  <c r="Q170" i="10"/>
  <c r="AG172" i="10"/>
  <c r="V171" i="10"/>
  <c r="AQ167" i="10"/>
  <c r="V166" i="10"/>
  <c r="M167" i="10"/>
  <c r="G165" i="10"/>
  <c r="AS165" i="10"/>
  <c r="AO167" i="10"/>
  <c r="C166" i="10"/>
  <c r="AO172" i="10"/>
  <c r="J172" i="10"/>
  <c r="Z170" i="10"/>
  <c r="T168" i="10"/>
  <c r="AU170" i="10"/>
  <c r="N172" i="10"/>
  <c r="U168" i="10"/>
  <c r="AH167" i="10"/>
  <c r="L167" i="10"/>
  <c r="AG168" i="10"/>
  <c r="L172" i="10"/>
  <c r="R169" i="10"/>
  <c r="AK170" i="10"/>
  <c r="AO170" i="10"/>
  <c r="E167" i="10"/>
  <c r="S168" i="10"/>
  <c r="AP167" i="10"/>
  <c r="T169" i="10"/>
  <c r="AL170" i="10"/>
  <c r="I170" i="10"/>
  <c r="M173" i="10"/>
  <c r="R170" i="10"/>
  <c r="AL168" i="10"/>
  <c r="P168" i="10"/>
  <c r="AJ169" i="10"/>
  <c r="K173" i="10"/>
  <c r="H170" i="10"/>
  <c r="AF170" i="10"/>
  <c r="K171" i="10"/>
  <c r="AP170" i="10"/>
  <c r="AU168" i="10"/>
  <c r="Z168" i="10"/>
  <c r="D167" i="10"/>
  <c r="AK172" i="10"/>
  <c r="M166" i="10"/>
  <c r="L168" i="10"/>
  <c r="M165" i="10"/>
  <c r="C168" i="10"/>
  <c r="U166" i="10"/>
  <c r="T173" i="10"/>
  <c r="AL169" i="10"/>
  <c r="P172" i="10"/>
  <c r="K170" i="10"/>
  <c r="X170" i="10"/>
  <c r="H171" i="10"/>
  <c r="O170" i="10"/>
  <c r="AB168" i="10"/>
  <c r="W168" i="10"/>
  <c r="AR170" i="10"/>
  <c r="Q167" i="10"/>
  <c r="G172" i="10"/>
  <c r="AP166" i="10"/>
  <c r="K168" i="10"/>
  <c r="AO165" i="10"/>
  <c r="T165" i="10"/>
  <c r="AT165" i="10"/>
  <c r="AK168" i="10"/>
  <c r="Z166" i="10"/>
  <c r="AW167" i="10"/>
  <c r="D171" i="10"/>
  <c r="Y173" i="10"/>
  <c r="L170" i="10"/>
  <c r="J169" i="10"/>
  <c r="AS172" i="10"/>
  <c r="AG170" i="10"/>
  <c r="T170" i="10"/>
  <c r="AW171" i="10"/>
  <c r="F170" i="10"/>
  <c r="AH170" i="10"/>
  <c r="AJ165" i="10"/>
  <c r="AP171" i="10"/>
  <c r="Y170" i="10"/>
  <c r="AJ170" i="10"/>
  <c r="Y168" i="10"/>
  <c r="H167" i="10"/>
  <c r="AJ172" i="10"/>
  <c r="AB166" i="10"/>
  <c r="AR168" i="10"/>
  <c r="I167" i="10"/>
  <c r="Y165" i="10"/>
  <c r="Z167" i="10"/>
  <c r="M168" i="10"/>
  <c r="S166" i="10"/>
  <c r="AT169" i="10"/>
  <c r="E166" i="10"/>
  <c r="R165" i="10"/>
  <c r="AN167" i="10"/>
  <c r="I168" i="10"/>
  <c r="O165" i="10"/>
  <c r="AT168" i="10"/>
  <c r="AC168" i="10"/>
  <c r="L171" i="10"/>
  <c r="X168" i="10"/>
  <c r="AL167" i="10"/>
  <c r="Q165" i="10"/>
  <c r="E170" i="10"/>
  <c r="AQ172" i="10"/>
  <c r="AT170" i="10"/>
  <c r="AP172" i="10"/>
  <c r="AF172" i="10"/>
  <c r="AD170" i="10"/>
  <c r="AR171" i="10"/>
  <c r="N170" i="10"/>
  <c r="H168" i="10"/>
  <c r="O167" i="10"/>
  <c r="AD167" i="10"/>
  <c r="D168" i="10"/>
  <c r="AD165" i="10"/>
  <c r="N165" i="10"/>
  <c r="AJ167" i="10"/>
  <c r="AH168" i="10"/>
  <c r="J165" i="10"/>
  <c r="P170" i="10"/>
  <c r="D170" i="10"/>
  <c r="AS168" i="10"/>
  <c r="U167" i="10"/>
  <c r="X167" i="10"/>
  <c r="P169" i="10"/>
  <c r="G168" i="10"/>
  <c r="AV170" i="10"/>
  <c r="Y166" i="10"/>
  <c r="O166" i="10"/>
  <c r="AU165" i="10"/>
  <c r="H165" i="10"/>
  <c r="U165" i="10"/>
  <c r="R167" i="10"/>
  <c r="AQ165" i="10"/>
  <c r="AA168" i="10"/>
  <c r="AP168" i="10"/>
  <c r="AV168" i="10"/>
  <c r="E168" i="10"/>
  <c r="T166" i="10"/>
  <c r="K165" i="10"/>
  <c r="AS167" i="10"/>
  <c r="I165" i="10"/>
  <c r="I173" i="10"/>
  <c r="T167" i="10"/>
  <c r="AJ173" i="10"/>
  <c r="U170" i="10"/>
  <c r="AN170" i="10"/>
  <c r="AN168" i="10"/>
  <c r="AB167" i="10"/>
  <c r="AG167" i="10"/>
  <c r="AL166" i="10"/>
  <c r="Y167" i="10"/>
  <c r="AB165" i="10"/>
  <c r="Z165" i="10"/>
  <c r="Q168" i="10"/>
  <c r="AV166" i="10"/>
  <c r="AJ166" i="10"/>
  <c r="AM167" i="10"/>
  <c r="AF165" i="10"/>
  <c r="AU166" i="10"/>
  <c r="AI167" i="10"/>
  <c r="W167" i="10"/>
  <c r="W166" i="10"/>
  <c r="AG165" i="10"/>
  <c r="W170" i="10"/>
  <c r="AF166" i="10"/>
  <c r="AM168" i="10"/>
  <c r="AW168" i="10"/>
  <c r="AQ170" i="10"/>
  <c r="S167" i="10"/>
  <c r="AB170" i="10"/>
  <c r="AI168" i="10"/>
  <c r="M170" i="10"/>
  <c r="C167" i="10"/>
  <c r="AA167" i="10"/>
  <c r="J166" i="10"/>
  <c r="AD166" i="10"/>
  <c r="F167" i="10"/>
  <c r="D165" i="10"/>
  <c r="N167" i="10"/>
  <c r="AF168" i="10"/>
  <c r="AD172" i="10"/>
  <c r="AV165" i="10"/>
  <c r="P165" i="10"/>
  <c r="AC167" i="10"/>
  <c r="S170" i="10"/>
  <c r="J168" i="10"/>
  <c r="AI170" i="10"/>
  <c r="F168" i="10"/>
  <c r="V170" i="10"/>
  <c r="AC170" i="10"/>
  <c r="I172" i="10"/>
  <c r="H166" i="10"/>
  <c r="O168" i="10"/>
  <c r="AT167" i="10"/>
  <c r="AN165" i="10"/>
  <c r="AI165" i="10"/>
  <c r="AU167" i="10"/>
  <c r="J167" i="10"/>
  <c r="AC166" i="10"/>
  <c r="AP165" i="10"/>
  <c r="H169" i="10" a="1"/>
  <c r="X173" i="10" a="1"/>
  <c r="Z173" i="10" a="1"/>
  <c r="AL172" i="10" a="1"/>
  <c r="F169" i="10" a="1"/>
  <c r="AH173" i="10" a="1"/>
  <c r="J173" i="10" a="1"/>
  <c r="AM173" i="10" a="1"/>
  <c r="X169" i="10" a="1"/>
  <c r="AC173" i="10" a="1"/>
  <c r="AQ173" i="10" a="1"/>
  <c r="AF169" i="10" a="1"/>
  <c r="AV172" i="10" a="1"/>
  <c r="D172" i="10" a="1"/>
  <c r="AD173" i="10" a="1"/>
  <c r="AW172" i="10" a="1"/>
  <c r="AR172" i="10" a="1"/>
  <c r="Q172" i="10" a="1"/>
  <c r="H172" i="10" a="1"/>
  <c r="W172" i="10" a="1"/>
  <c r="U172" i="10" a="1"/>
  <c r="AS169" i="10" a="1"/>
  <c r="AM172" i="10" a="1"/>
  <c r="AA172" i="10" a="1"/>
  <c r="E172" i="10" a="1"/>
  <c r="R172" i="10" a="1"/>
  <c r="C172" i="10" a="1"/>
  <c r="AN169" i="10" a="1"/>
  <c r="AO173" i="10" a="1"/>
  <c r="AH169" i="10" a="1"/>
  <c r="Y172" i="10" a="1"/>
  <c r="AC169" i="10" a="1"/>
  <c r="O172" i="10" a="1"/>
  <c r="O172" i="10" l="1"/>
  <c r="AC169" i="10"/>
  <c r="Y172" i="10"/>
  <c r="AH169" i="10"/>
  <c r="AO173" i="10"/>
  <c r="AN169" i="10"/>
  <c r="C172" i="10"/>
  <c r="R172" i="10"/>
  <c r="E172" i="10"/>
  <c r="AA172" i="10"/>
  <c r="AM172" i="10"/>
  <c r="AS169" i="10"/>
  <c r="U172" i="10"/>
  <c r="W172" i="10"/>
  <c r="H172" i="10"/>
  <c r="Q172" i="10"/>
  <c r="AR172" i="10"/>
  <c r="AW172" i="10"/>
  <c r="AD173" i="10"/>
  <c r="D172" i="10"/>
  <c r="AV172" i="10"/>
  <c r="AF169" i="10"/>
  <c r="AQ173" i="10"/>
  <c r="AC173" i="10"/>
  <c r="X169" i="10"/>
  <c r="AM173" i="10"/>
  <c r="J173" i="10"/>
  <c r="AH173" i="10"/>
  <c r="F169" i="10"/>
  <c r="AL172" i="10"/>
  <c r="Z173" i="10"/>
  <c r="X173" i="10"/>
  <c r="H169" i="10"/>
  <c r="AJ171" i="10" a="1"/>
  <c r="L173" i="10" a="1"/>
  <c r="Z172" i="10" a="1"/>
  <c r="AC171" i="10" a="1"/>
  <c r="E171" i="10" a="1"/>
  <c r="O173" i="10" a="1"/>
  <c r="U171" i="10" a="1"/>
  <c r="V173" i="10" a="1"/>
  <c r="Q169" i="10" a="1"/>
  <c r="F171" i="10" a="1"/>
  <c r="S169" i="10" a="1"/>
  <c r="AS173" i="10" a="1"/>
  <c r="J171" i="10" a="1"/>
  <c r="C169" i="10" a="1"/>
  <c r="I169" i="10" a="1"/>
  <c r="AU171" i="10" a="1"/>
  <c r="AK173" i="10" a="1"/>
  <c r="V169" i="10" a="1"/>
  <c r="AI173" i="10" a="1"/>
  <c r="M171" i="10" a="1"/>
  <c r="G171" i="10" a="1"/>
  <c r="AL173" i="10" a="1"/>
  <c r="AR173" i="10" a="1"/>
  <c r="P173" i="10" a="1"/>
  <c r="E173" i="10" a="1"/>
  <c r="G169" i="10" a="1"/>
  <c r="AB172" i="10" a="1"/>
  <c r="AN173" i="10" a="1"/>
  <c r="S172" i="10" a="1"/>
  <c r="AH171" i="10" a="1"/>
  <c r="H173" i="10" a="1"/>
  <c r="D173" i="10" a="1"/>
  <c r="S173" i="10" a="1"/>
  <c r="AF173" i="10" a="1"/>
  <c r="AM171" i="10" a="1"/>
  <c r="V172" i="10" a="1"/>
  <c r="AP173" i="10" a="1"/>
  <c r="F173" i="10" a="1"/>
  <c r="C173" i="10" a="1"/>
  <c r="AF171" i="10" a="1"/>
  <c r="AT171" i="10" a="1"/>
  <c r="AT173" i="10" a="1"/>
  <c r="AH172" i="10" a="1"/>
  <c r="R171" i="10" a="1"/>
  <c r="R173" i="10" a="1"/>
  <c r="AV173" i="10" a="1"/>
  <c r="K172" i="10" a="1"/>
  <c r="AA173" i="10" a="1"/>
  <c r="AC172" i="10" a="1"/>
  <c r="AC172" i="10" l="1"/>
  <c r="AA173" i="10"/>
  <c r="K172" i="10"/>
  <c r="AV173" i="10"/>
  <c r="R173" i="10"/>
  <c r="R171" i="10"/>
  <c r="AH172" i="10"/>
  <c r="AT173" i="10"/>
  <c r="AT171" i="10"/>
  <c r="AF171" i="10"/>
  <c r="C173" i="10"/>
  <c r="F173" i="10"/>
  <c r="AP173" i="10"/>
  <c r="V172" i="10"/>
  <c r="AM171" i="10"/>
  <c r="AF173" i="10"/>
  <c r="S173" i="10"/>
  <c r="D173" i="10"/>
  <c r="H173" i="10"/>
  <c r="AH171" i="10"/>
  <c r="S172" i="10"/>
  <c r="AN173" i="10"/>
  <c r="AB172" i="10"/>
  <c r="G169" i="10"/>
  <c r="E173" i="10"/>
  <c r="P173" i="10"/>
  <c r="AR173" i="10"/>
  <c r="AL173" i="10"/>
  <c r="G171" i="10"/>
  <c r="M171" i="10"/>
  <c r="AI173" i="10"/>
  <c r="V169" i="10"/>
  <c r="AK173" i="10"/>
  <c r="AU171" i="10"/>
  <c r="I169" i="10"/>
  <c r="C169" i="10"/>
  <c r="J171" i="10"/>
  <c r="AS173" i="10"/>
  <c r="S169" i="10"/>
  <c r="F171" i="10"/>
  <c r="Q169" i="10"/>
  <c r="V173" i="10"/>
  <c r="U171" i="10"/>
  <c r="O173" i="10"/>
  <c r="E171" i="10"/>
  <c r="AC171" i="10"/>
  <c r="Z172" i="10"/>
  <c r="L173" i="10"/>
  <c r="AJ171" i="10"/>
  <c r="AP169" i="10" a="1"/>
  <c r="T172" i="10" a="1"/>
  <c r="AN172" i="10" a="1"/>
  <c r="AW173" i="10" a="1"/>
  <c r="U173" i="10" a="1"/>
  <c r="S171" i="10" a="1"/>
  <c r="J170" i="10" a="1"/>
  <c r="C170" i="10" a="1"/>
  <c r="Q173" i="10" a="1"/>
  <c r="AI172" i="10" a="1"/>
  <c r="W169" i="10" a="1"/>
  <c r="AT172" i="10" a="1"/>
  <c r="AI171" i="10" a="1"/>
  <c r="AA170" i="10" a="1"/>
  <c r="T171" i="10" a="1"/>
  <c r="G173" i="10" a="1"/>
  <c r="X172" i="10" a="1"/>
  <c r="AI169" i="10" a="1"/>
  <c r="M169" i="10" a="1"/>
  <c r="W173" i="10" a="1"/>
  <c r="M172" i="10" a="1"/>
  <c r="AU172" i="10" a="1"/>
  <c r="AS170" i="10" a="1"/>
  <c r="AD171" i="10" a="1"/>
  <c r="O169" i="10" a="1"/>
  <c r="N173" i="10" a="1"/>
  <c r="AL171" i="10" a="1"/>
  <c r="G170" i="10" a="1"/>
  <c r="Z169" i="10" a="1"/>
  <c r="C171" i="10" a="1"/>
  <c r="AB173" i="10" a="1"/>
  <c r="AU173" i="10" a="1"/>
  <c r="F172" i="10" a="1"/>
  <c r="D169" i="10" a="1"/>
  <c r="AW170" i="10" a="1"/>
  <c r="AQ171" i="10" a="1"/>
  <c r="O171" i="10" a="1"/>
  <c r="AO169" i="10" a="1"/>
  <c r="AM170" i="10" a="1"/>
  <c r="AD169" i="10" a="1"/>
  <c r="AD169" i="10" l="1"/>
  <c r="AM170" i="10"/>
  <c r="AO169" i="10"/>
  <c r="O171" i="10"/>
  <c r="AQ171" i="10"/>
  <c r="AW170" i="10"/>
  <c r="D169" i="10"/>
  <c r="F172" i="10"/>
  <c r="AU173" i="10"/>
  <c r="AB173" i="10"/>
  <c r="C171" i="10"/>
  <c r="Z169" i="10"/>
  <c r="G170" i="10"/>
  <c r="AL171" i="10"/>
  <c r="N173" i="10"/>
  <c r="O169" i="10"/>
  <c r="AD171" i="10"/>
  <c r="AS170" i="10"/>
  <c r="AU172" i="10"/>
  <c r="M172" i="10"/>
  <c r="W173" i="10"/>
  <c r="M169" i="10"/>
  <c r="AI169" i="10"/>
  <c r="X172" i="10"/>
  <c r="G173" i="10"/>
  <c r="T171" i="10"/>
  <c r="AA170" i="10"/>
  <c r="AI171" i="10"/>
  <c r="AT172" i="10"/>
  <c r="W169" i="10"/>
  <c r="AI172" i="10"/>
  <c r="Q173" i="10"/>
  <c r="C170" i="10"/>
  <c r="J170" i="10"/>
  <c r="S171" i="10"/>
  <c r="U173" i="10"/>
  <c r="AW173" i="10"/>
  <c r="AN172" i="10"/>
  <c r="T172" i="10"/>
  <c r="AP169" i="10"/>
  <c r="Y169" i="10" a="1"/>
  <c r="AG169" i="10" a="1"/>
  <c r="AV169" i="10" a="1"/>
  <c r="U169" i="10" a="1"/>
  <c r="K169" i="10" a="1"/>
  <c r="AK169" i="10" a="1"/>
  <c r="AK169" i="10" l="1"/>
  <c r="K169" i="10"/>
  <c r="U169" i="10"/>
  <c r="AV169" i="10"/>
  <c r="AG169" i="10"/>
  <c r="Y169" i="10"/>
  <c r="I171" i="10" a="1"/>
  <c r="Y171" i="10" a="1"/>
  <c r="Y171" i="10" l="1"/>
  <c r="I171" i="10"/>
  <c r="AO171" i="10" a="1"/>
  <c r="AO171" i="10" l="1"/>
  <c r="P171" i="10" a="1"/>
  <c r="P171" i="10" l="1"/>
  <c r="AV171" i="10" a="1"/>
  <c r="AB171" i="10" a="1"/>
  <c r="AB171" i="10" l="1"/>
  <c r="AV171" i="10"/>
  <c r="AB169" i="10" a="1"/>
  <c r="N169" i="10" a="1"/>
  <c r="L169" i="10" a="1"/>
  <c r="W171" i="10" a="1"/>
  <c r="AQ169" i="10" a="1"/>
  <c r="AU169" i="10" a="1"/>
  <c r="AA169" i="10" a="1"/>
  <c r="E169" i="10" a="1"/>
  <c r="Z171" i="10" a="1"/>
  <c r="AR169" i="10" a="1"/>
  <c r="AW169" i="10" a="1"/>
  <c r="AW169" i="10" l="1"/>
  <c r="AR169" i="10"/>
  <c r="Z171" i="10"/>
  <c r="E169" i="10"/>
  <c r="AA169" i="10"/>
  <c r="AU169" i="10"/>
  <c r="AQ169" i="10"/>
  <c r="W171" i="10"/>
  <c r="L169" i="10"/>
  <c r="N169" i="10"/>
  <c r="AB169" i="10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J47" i="3"/>
  <c r="D47" i="3"/>
  <c r="J46" i="3"/>
  <c r="D46" i="3"/>
  <c r="J45" i="3"/>
  <c r="D45" i="3"/>
  <c r="J44" i="3"/>
  <c r="F44" i="3"/>
  <c r="D44" i="3"/>
  <c r="J43" i="3"/>
  <c r="D43" i="3"/>
  <c r="J42" i="3"/>
  <c r="D42" i="3"/>
  <c r="J41" i="3"/>
  <c r="F41" i="3"/>
  <c r="D41" i="3"/>
  <c r="J40" i="3"/>
  <c r="D40" i="3"/>
  <c r="J39" i="3"/>
  <c r="F39" i="3"/>
  <c r="D39" i="3"/>
  <c r="J38" i="3"/>
  <c r="D38" i="3"/>
  <c r="J37" i="3"/>
  <c r="D37" i="3"/>
  <c r="J36" i="3"/>
  <c r="D36" i="3"/>
  <c r="J35" i="3"/>
  <c r="D35" i="3"/>
  <c r="J34" i="3"/>
  <c r="F34" i="3"/>
  <c r="D34" i="3"/>
  <c r="J33" i="3"/>
  <c r="D33" i="3"/>
  <c r="J32" i="3"/>
  <c r="D32" i="3"/>
  <c r="J31" i="3"/>
  <c r="D31" i="3"/>
  <c r="J30" i="3"/>
  <c r="F30" i="3"/>
  <c r="D30" i="3"/>
  <c r="J29" i="3"/>
  <c r="D29" i="3"/>
  <c r="J28" i="3"/>
  <c r="D28" i="3"/>
  <c r="J27" i="3"/>
  <c r="D27" i="3"/>
  <c r="J26" i="3"/>
  <c r="D26" i="3"/>
  <c r="J25" i="3"/>
  <c r="D25" i="3"/>
  <c r="J24" i="3"/>
  <c r="D24" i="3"/>
  <c r="J23" i="3"/>
  <c r="D23" i="3"/>
  <c r="J22" i="3"/>
  <c r="D22" i="3"/>
  <c r="J21" i="3"/>
  <c r="D21" i="3"/>
  <c r="J20" i="3"/>
  <c r="D20" i="3"/>
  <c r="J19" i="3"/>
  <c r="D19" i="3"/>
  <c r="J18" i="3"/>
  <c r="D18" i="3"/>
  <c r="J17" i="3"/>
  <c r="D17" i="3"/>
  <c r="J16" i="3"/>
  <c r="D16" i="3"/>
  <c r="J15" i="3"/>
  <c r="D15" i="3"/>
  <c r="J14" i="3"/>
  <c r="D14" i="3"/>
  <c r="J13" i="3"/>
  <c r="D13" i="3"/>
  <c r="J12" i="3"/>
  <c r="D12" i="3"/>
  <c r="J11" i="3"/>
  <c r="D11" i="3"/>
  <c r="J10" i="3"/>
  <c r="D10" i="3"/>
  <c r="J9" i="3"/>
  <c r="D9" i="3"/>
  <c r="J8" i="3"/>
  <c r="D8" i="3"/>
  <c r="J7" i="3"/>
  <c r="D7" i="3"/>
  <c r="J6" i="3"/>
  <c r="D6" i="3"/>
  <c r="J5" i="3"/>
  <c r="D5" i="3"/>
  <c r="J4" i="3"/>
  <c r="D4" i="3"/>
  <c r="J3" i="3"/>
  <c r="D3" i="3"/>
  <c r="J2" i="3"/>
  <c r="D2" i="3"/>
  <c r="N152" i="2"/>
  <c r="L152" i="2"/>
  <c r="I152" i="2"/>
  <c r="G152" i="2"/>
  <c r="F152" i="2" a="1"/>
  <c r="H152" i="2"/>
  <c r="G44" i="3"/>
  <c r="G41" i="3"/>
  <c r="G34" i="3"/>
  <c r="G39" i="3"/>
  <c r="G30" i="3"/>
  <c r="F152" i="2" l="1"/>
  <c r="A152" i="2"/>
  <c r="N151" i="2"/>
  <c r="L151" i="2"/>
  <c r="I151" i="2"/>
  <c r="G151" i="2"/>
  <c r="F151" i="2" a="1"/>
  <c r="H151" i="2"/>
  <c r="F151" i="2" l="1"/>
  <c r="A151" i="2"/>
  <c r="N150" i="2"/>
  <c r="L150" i="2"/>
  <c r="I150" i="2"/>
  <c r="G150" i="2"/>
  <c r="F150" i="2" a="1"/>
  <c r="H150" i="2"/>
  <c r="F150" i="2" l="1"/>
  <c r="A150" i="2"/>
  <c r="N148" i="2"/>
  <c r="L148" i="2"/>
  <c r="I148" i="2"/>
  <c r="G148" i="2"/>
  <c r="H148" i="2"/>
  <c r="F148" i="2" a="1"/>
  <c r="F148" i="2" l="1"/>
  <c r="A148" i="2"/>
  <c r="N147" i="2"/>
  <c r="L147" i="2"/>
  <c r="I147" i="2"/>
  <c r="G147" i="2"/>
  <c r="F48" i="3" s="1"/>
  <c r="G48" i="3"/>
  <c r="F147" i="2" a="1"/>
  <c r="H147" i="2"/>
  <c r="F147" i="2" l="1"/>
  <c r="E48" i="3" s="1"/>
  <c r="F47" i="3"/>
  <c r="F46" i="3"/>
  <c r="F45" i="3"/>
  <c r="F43" i="3"/>
  <c r="A147" i="2"/>
  <c r="N144" i="2"/>
  <c r="L144" i="2"/>
  <c r="I144" i="2"/>
  <c r="G47" i="3"/>
  <c r="G46" i="3"/>
  <c r="G45" i="3"/>
  <c r="G43" i="3"/>
  <c r="E47" i="3" l="1"/>
  <c r="E46" i="3"/>
  <c r="E45" i="3"/>
  <c r="E43" i="3"/>
  <c r="G144" i="2"/>
  <c r="F144" i="2" a="1"/>
  <c r="H144" i="2"/>
  <c r="F144" i="2" l="1"/>
  <c r="A144" i="2"/>
  <c r="N143" i="2"/>
  <c r="L143" i="2"/>
  <c r="I143" i="2"/>
  <c r="G143" i="2"/>
  <c r="H143" i="2"/>
  <c r="F143" i="2" a="1"/>
  <c r="F143" i="2" l="1"/>
  <c r="A143" i="2"/>
  <c r="N146" i="2"/>
  <c r="L146" i="2"/>
  <c r="I146" i="2"/>
  <c r="G146" i="2"/>
  <c r="H146" i="2"/>
  <c r="F146" i="2" a="1"/>
  <c r="F146" i="2" l="1"/>
  <c r="A146" i="2"/>
  <c r="N145" i="2"/>
  <c r="L145" i="2"/>
  <c r="I145" i="2"/>
  <c r="G145" i="2"/>
  <c r="H145" i="2"/>
  <c r="F145" i="2" a="1"/>
  <c r="F145" i="2" l="1"/>
  <c r="A145" i="2"/>
  <c r="N141" i="2"/>
  <c r="L141" i="2"/>
  <c r="I141" i="2"/>
  <c r="G141" i="2"/>
  <c r="H141" i="2"/>
  <c r="F141" i="2" a="1"/>
  <c r="F141" i="2" l="1"/>
  <c r="A141" i="2"/>
  <c r="N142" i="2"/>
  <c r="L142" i="2"/>
  <c r="I142" i="2"/>
  <c r="G142" i="2"/>
  <c r="H142" i="2"/>
  <c r="F142" i="2" a="1"/>
  <c r="F142" i="2" l="1"/>
  <c r="A142" i="2"/>
  <c r="N140" i="2"/>
  <c r="L140" i="2"/>
  <c r="I140" i="2"/>
  <c r="G140" i="2"/>
  <c r="H140" i="2"/>
  <c r="F140" i="2" a="1"/>
  <c r="F140" i="2" l="1"/>
  <c r="A140" i="2"/>
  <c r="N138" i="2"/>
  <c r="L138" i="2"/>
  <c r="I138" i="2"/>
  <c r="G138" i="2"/>
  <c r="H138" i="2"/>
  <c r="F138" i="2" a="1"/>
  <c r="F138" i="2" l="1"/>
  <c r="A138" i="2"/>
  <c r="N137" i="2"/>
  <c r="L137" i="2"/>
  <c r="I137" i="2"/>
  <c r="G137" i="2"/>
  <c r="H137" i="2"/>
  <c r="F137" i="2" a="1"/>
  <c r="F137" i="2" l="1"/>
  <c r="A137" i="2"/>
  <c r="N136" i="2"/>
  <c r="L136" i="2"/>
  <c r="I136" i="2"/>
  <c r="G136" i="2"/>
  <c r="F136" i="2" a="1"/>
  <c r="H136" i="2"/>
  <c r="F136" i="2" l="1"/>
  <c r="A136" i="2"/>
  <c r="N139" i="2"/>
  <c r="L139" i="2"/>
  <c r="I139" i="2"/>
  <c r="G139" i="2"/>
  <c r="F139" i="2" a="1"/>
  <c r="H139" i="2"/>
  <c r="F139" i="2" l="1"/>
  <c r="A139" i="2"/>
  <c r="N135" i="2"/>
  <c r="L135" i="2"/>
  <c r="I135" i="2"/>
  <c r="G135" i="2"/>
  <c r="H135" i="2"/>
  <c r="F135" i="2" a="1"/>
  <c r="F135" i="2" l="1"/>
  <c r="A135" i="2"/>
  <c r="N134" i="2"/>
  <c r="L134" i="2"/>
  <c r="I134" i="2"/>
  <c r="G134" i="2"/>
  <c r="F134" i="2" a="1"/>
  <c r="H134" i="2"/>
  <c r="F134" i="2" l="1"/>
  <c r="A134" i="2"/>
  <c r="N133" i="2"/>
  <c r="L133" i="2"/>
  <c r="I133" i="2"/>
  <c r="G133" i="2"/>
  <c r="F133" i="2" a="1"/>
  <c r="H133" i="2"/>
  <c r="F133" i="2" l="1"/>
  <c r="A133" i="2"/>
  <c r="N131" i="2"/>
  <c r="L131" i="2"/>
  <c r="I131" i="2"/>
  <c r="G131" i="2"/>
  <c r="H131" i="2"/>
  <c r="F131" i="2" a="1"/>
  <c r="F131" i="2" l="1"/>
  <c r="A131" i="2"/>
  <c r="N132" i="2"/>
  <c r="L132" i="2"/>
  <c r="I132" i="2"/>
  <c r="G132" i="2"/>
  <c r="H132" i="2"/>
  <c r="F132" i="2" a="1"/>
  <c r="F132" i="2" l="1"/>
  <c r="A132" i="2"/>
  <c r="N129" i="2"/>
  <c r="L129" i="2"/>
  <c r="I129" i="2"/>
  <c r="G129" i="2"/>
  <c r="F129" i="2" a="1"/>
  <c r="H129" i="2"/>
  <c r="F129" i="2" l="1"/>
  <c r="A129" i="2"/>
  <c r="N130" i="2"/>
  <c r="L130" i="2"/>
  <c r="I130" i="2"/>
  <c r="G130" i="2"/>
  <c r="F130" i="2" a="1"/>
  <c r="H130" i="2"/>
  <c r="F130" i="2" l="1"/>
  <c r="A130" i="2"/>
  <c r="N128" i="2"/>
  <c r="L128" i="2"/>
  <c r="I128" i="2"/>
  <c r="G128" i="2"/>
  <c r="H128" i="2"/>
  <c r="F128" i="2" a="1"/>
  <c r="F128" i="2" l="1"/>
  <c r="A128" i="2"/>
  <c r="N127" i="2"/>
  <c r="L127" i="2"/>
  <c r="I127" i="2"/>
  <c r="G127" i="2"/>
  <c r="F127" i="2" a="1"/>
  <c r="H127" i="2"/>
  <c r="F127" i="2" l="1"/>
  <c r="A127" i="2"/>
  <c r="N126" i="2"/>
  <c r="L126" i="2"/>
  <c r="I126" i="2"/>
  <c r="G126" i="2"/>
  <c r="H126" i="2"/>
  <c r="F126" i="2" a="1"/>
  <c r="F126" i="2" l="1"/>
  <c r="A126" i="2"/>
  <c r="N125" i="2"/>
  <c r="L125" i="2"/>
  <c r="I125" i="2"/>
  <c r="G125" i="2"/>
  <c r="H125" i="2"/>
  <c r="F125" i="2" a="1"/>
  <c r="F125" i="2" l="1"/>
  <c r="A125" i="2"/>
  <c r="N124" i="2"/>
  <c r="L124" i="2"/>
  <c r="I124" i="2"/>
  <c r="G124" i="2"/>
  <c r="H124" i="2"/>
  <c r="F124" i="2" a="1"/>
  <c r="F124" i="2" l="1"/>
  <c r="A124" i="2"/>
  <c r="N123" i="2"/>
  <c r="L123" i="2"/>
  <c r="I123" i="2"/>
  <c r="G123" i="2"/>
  <c r="H123" i="2"/>
  <c r="F123" i="2" a="1"/>
  <c r="F123" i="2" l="1"/>
  <c r="A123" i="2"/>
  <c r="N122" i="2"/>
  <c r="L122" i="2"/>
  <c r="I122" i="2"/>
  <c r="G122" i="2"/>
  <c r="H122" i="2"/>
  <c r="F122" i="2" a="1"/>
  <c r="F122" i="2" l="1"/>
  <c r="A122" i="2"/>
  <c r="N121" i="2"/>
  <c r="L121" i="2"/>
  <c r="I121" i="2"/>
  <c r="G121" i="2"/>
  <c r="H121" i="2"/>
  <c r="F121" i="2" a="1"/>
  <c r="F121" i="2" l="1"/>
  <c r="A121" i="2"/>
  <c r="N120" i="2"/>
  <c r="L120" i="2"/>
  <c r="I120" i="2"/>
  <c r="G120" i="2"/>
  <c r="H120" i="2"/>
  <c r="F120" i="2" a="1"/>
  <c r="F120" i="2" l="1"/>
  <c r="A120" i="2"/>
  <c r="N119" i="2"/>
  <c r="L119" i="2"/>
  <c r="I119" i="2"/>
  <c r="G119" i="2"/>
  <c r="F119" i="2" a="1"/>
  <c r="H119" i="2"/>
  <c r="F119" i="2" l="1"/>
  <c r="A119" i="2"/>
  <c r="N118" i="2"/>
  <c r="L118" i="2"/>
  <c r="I118" i="2"/>
  <c r="G118" i="2"/>
  <c r="H118" i="2"/>
  <c r="F118" i="2" a="1"/>
  <c r="F118" i="2" l="1"/>
  <c r="A118" i="2"/>
  <c r="N117" i="2"/>
  <c r="L117" i="2"/>
  <c r="I117" i="2"/>
  <c r="G117" i="2"/>
  <c r="H117" i="2"/>
  <c r="F117" i="2" a="1"/>
  <c r="F117" i="2" l="1"/>
  <c r="A117" i="2"/>
  <c r="N116" i="2"/>
  <c r="L116" i="2"/>
  <c r="I116" i="2"/>
  <c r="G116" i="2"/>
  <c r="F116" i="2" a="1"/>
  <c r="H116" i="2"/>
  <c r="F116" i="2" l="1"/>
  <c r="A116" i="2"/>
  <c r="N113" i="2"/>
  <c r="L113" i="2"/>
  <c r="I113" i="2"/>
  <c r="G113" i="2"/>
  <c r="F113" i="2" a="1"/>
  <c r="H113" i="2"/>
  <c r="F113" i="2" l="1"/>
  <c r="A113" i="2"/>
  <c r="N112" i="2"/>
  <c r="L112" i="2"/>
  <c r="I112" i="2"/>
  <c r="G112" i="2"/>
  <c r="F112" i="2" a="1"/>
  <c r="H112" i="2"/>
  <c r="F112" i="2" l="1"/>
  <c r="A112" i="2"/>
  <c r="N114" i="2"/>
  <c r="L114" i="2"/>
  <c r="I114" i="2"/>
  <c r="G114" i="2"/>
  <c r="F114" i="2" a="1"/>
  <c r="H114" i="2"/>
  <c r="F114" i="2" l="1"/>
  <c r="A114" i="2"/>
  <c r="N115" i="2"/>
  <c r="L115" i="2"/>
  <c r="I115" i="2"/>
  <c r="G115" i="2"/>
  <c r="H115" i="2"/>
  <c r="F115" i="2" a="1"/>
  <c r="F115" i="2" l="1"/>
  <c r="A115" i="2"/>
  <c r="N111" i="2"/>
  <c r="L111" i="2"/>
  <c r="I111" i="2"/>
  <c r="G111" i="2"/>
  <c r="F111" i="2" a="1"/>
  <c r="H111" i="2"/>
  <c r="F111" i="2" l="1"/>
  <c r="A111" i="2"/>
  <c r="N109" i="2"/>
  <c r="L109" i="2"/>
  <c r="I109" i="2"/>
  <c r="G109" i="2"/>
  <c r="H109" i="2"/>
  <c r="F109" i="2" a="1"/>
  <c r="F109" i="2" l="1"/>
  <c r="A109" i="2"/>
  <c r="N110" i="2"/>
  <c r="L110" i="2"/>
  <c r="I110" i="2"/>
  <c r="G110" i="2"/>
  <c r="H110" i="2"/>
  <c r="F110" i="2" a="1"/>
  <c r="F110" i="2" l="1"/>
  <c r="A110" i="2"/>
  <c r="N108" i="2"/>
  <c r="L108" i="2"/>
  <c r="I108" i="2"/>
  <c r="G108" i="2"/>
  <c r="F108" i="2" a="1"/>
  <c r="H108" i="2"/>
  <c r="F108" i="2" l="1"/>
  <c r="A108" i="2"/>
  <c r="N107" i="2"/>
  <c r="L107" i="2"/>
  <c r="I107" i="2"/>
  <c r="G107" i="2"/>
  <c r="H107" i="2"/>
  <c r="F107" i="2" a="1"/>
  <c r="F107" i="2" l="1"/>
  <c r="E35" i="3"/>
  <c r="F35" i="3"/>
  <c r="A107" i="2"/>
  <c r="N106" i="2"/>
  <c r="L106" i="2"/>
  <c r="I106" i="2"/>
  <c r="G106" i="2"/>
  <c r="F106" i="2" a="1"/>
  <c r="H106" i="2"/>
  <c r="G35" i="3"/>
  <c r="F106" i="2" l="1"/>
  <c r="A106" i="2"/>
  <c r="N105" i="2"/>
  <c r="L105" i="2"/>
  <c r="I105" i="2"/>
  <c r="G105" i="2"/>
  <c r="H105" i="2"/>
  <c r="F105" i="2" a="1"/>
  <c r="F105" i="2" l="1"/>
  <c r="A105" i="2"/>
  <c r="N104" i="2"/>
  <c r="L104" i="2"/>
  <c r="I104" i="2"/>
  <c r="G104" i="2"/>
  <c r="H104" i="2"/>
  <c r="F104" i="2" a="1"/>
  <c r="F104" i="2" l="1"/>
  <c r="A104" i="2"/>
  <c r="N102" i="2"/>
  <c r="L102" i="2"/>
  <c r="I102" i="2"/>
  <c r="A102" i="2" l="1"/>
  <c r="N103" i="2"/>
  <c r="L103" i="2"/>
  <c r="I103" i="2"/>
  <c r="A103" i="2" l="1"/>
  <c r="N101" i="2"/>
  <c r="L101" i="2"/>
  <c r="I101" i="2"/>
  <c r="A101" i="2" l="1"/>
  <c r="N100" i="2"/>
  <c r="L100" i="2"/>
  <c r="I100" i="2"/>
  <c r="A100" i="2" l="1"/>
  <c r="N98" i="2"/>
  <c r="L98" i="2"/>
  <c r="I98" i="2"/>
  <c r="A98" i="2" l="1"/>
  <c r="N99" i="2"/>
  <c r="L99" i="2"/>
  <c r="I99" i="2"/>
  <c r="E44" i="3" l="1"/>
  <c r="E41" i="3"/>
  <c r="E39" i="3"/>
  <c r="E34" i="3"/>
  <c r="E30" i="3"/>
  <c r="A99" i="2" l="1"/>
  <c r="N97" i="2"/>
  <c r="L97" i="2"/>
  <c r="I97" i="2"/>
  <c r="A97" i="2" l="1"/>
  <c r="N96" i="2"/>
  <c r="L96" i="2"/>
  <c r="I96" i="2"/>
  <c r="A96" i="2" l="1"/>
  <c r="N95" i="2"/>
  <c r="L95" i="2"/>
  <c r="I95" i="2"/>
  <c r="G95" i="2"/>
  <c r="H95" i="2"/>
  <c r="F95" i="2" a="1"/>
  <c r="F95" i="2" l="1"/>
  <c r="A95" i="2"/>
  <c r="N94" i="2"/>
  <c r="L94" i="2"/>
  <c r="I94" i="2"/>
  <c r="G94" i="2"/>
  <c r="H94" i="2"/>
  <c r="F94" i="2" a="1"/>
  <c r="F94" i="2" l="1"/>
  <c r="A94" i="2"/>
  <c r="N93" i="2"/>
  <c r="L93" i="2"/>
  <c r="I93" i="2"/>
  <c r="G93" i="2"/>
  <c r="H93" i="2"/>
  <c r="F93" i="2" a="1"/>
  <c r="F93" i="2" l="1"/>
  <c r="A93" i="2"/>
  <c r="N92" i="2"/>
  <c r="L92" i="2"/>
  <c r="I92" i="2"/>
  <c r="G92" i="2"/>
  <c r="H92" i="2"/>
  <c r="F92" i="2" a="1"/>
  <c r="F92" i="2" l="1"/>
  <c r="A92" i="2"/>
  <c r="N91" i="2"/>
  <c r="L91" i="2"/>
  <c r="I91" i="2"/>
  <c r="G91" i="2"/>
  <c r="H91" i="2"/>
  <c r="F91" i="2" a="1"/>
  <c r="F91" i="2" l="1"/>
  <c r="A91" i="2"/>
  <c r="N90" i="2"/>
  <c r="L90" i="2"/>
  <c r="I90" i="2"/>
  <c r="G90" i="2"/>
  <c r="H90" i="2"/>
  <c r="F90" i="2" a="1"/>
  <c r="F90" i="2" l="1"/>
  <c r="A90" i="2"/>
  <c r="N89" i="2"/>
  <c r="L89" i="2"/>
  <c r="I89" i="2"/>
  <c r="G89" i="2"/>
  <c r="F89" i="2" a="1"/>
  <c r="H89" i="2"/>
  <c r="F89" i="2" l="1"/>
  <c r="A89" i="2"/>
  <c r="N88" i="2"/>
  <c r="L88" i="2"/>
  <c r="I88" i="2"/>
  <c r="G88" i="2"/>
  <c r="H88" i="2"/>
  <c r="F88" i="2" a="1"/>
  <c r="F88" i="2" l="1"/>
  <c r="A88" i="2"/>
  <c r="N87" i="2"/>
  <c r="L87" i="2"/>
  <c r="I87" i="2"/>
  <c r="G87" i="2"/>
  <c r="F87" i="2" a="1"/>
  <c r="H87" i="2"/>
  <c r="F87" i="2" l="1"/>
  <c r="A87" i="2"/>
  <c r="N85" i="2"/>
  <c r="L85" i="2"/>
  <c r="I85" i="2"/>
  <c r="G85" i="2"/>
  <c r="H85" i="2"/>
  <c r="F85" i="2" a="1"/>
  <c r="F85" i="2" l="1"/>
  <c r="A85" i="2"/>
  <c r="N86" i="2"/>
  <c r="L86" i="2"/>
  <c r="I86" i="2"/>
  <c r="G86" i="2"/>
  <c r="H86" i="2"/>
  <c r="F86" i="2" a="1"/>
  <c r="F86" i="2" l="1"/>
  <c r="A86" i="2"/>
  <c r="N84" i="2"/>
  <c r="L84" i="2"/>
  <c r="I84" i="2"/>
  <c r="G84" i="2"/>
  <c r="F84" i="2" a="1"/>
  <c r="H84" i="2"/>
  <c r="F84" i="2" l="1"/>
  <c r="I14" i="4"/>
  <c r="J14" i="4" s="1"/>
  <c r="D14" i="4"/>
  <c r="A84" i="2"/>
  <c r="N83" i="2"/>
  <c r="L83" i="2"/>
  <c r="I83" i="2"/>
  <c r="G83" i="2"/>
  <c r="H83" i="2"/>
  <c r="F83" i="2" a="1"/>
  <c r="F83" i="2" l="1"/>
  <c r="I13" i="4"/>
  <c r="J13" i="4" s="1"/>
  <c r="D13" i="4"/>
  <c r="A83" i="2"/>
  <c r="N82" i="2"/>
  <c r="L82" i="2"/>
  <c r="I82" i="2"/>
  <c r="G82" i="2"/>
  <c r="F82" i="2" a="1"/>
  <c r="H82" i="2"/>
  <c r="F82" i="2" l="1"/>
  <c r="A82" i="2"/>
  <c r="N81" i="2"/>
  <c r="L81" i="2"/>
  <c r="I81" i="2"/>
  <c r="G81" i="2"/>
  <c r="F81" i="2" a="1"/>
  <c r="H81" i="2"/>
  <c r="F81" i="2" l="1"/>
  <c r="A81" i="2"/>
  <c r="N80" i="2"/>
  <c r="L80" i="2"/>
  <c r="I80" i="2"/>
  <c r="G80" i="2"/>
  <c r="F80" i="2" a="1"/>
  <c r="H80" i="2"/>
  <c r="F80" i="2" l="1"/>
  <c r="A80" i="2"/>
  <c r="N79" i="2"/>
  <c r="L79" i="2"/>
  <c r="I79" i="2"/>
  <c r="G79" i="2"/>
  <c r="F79" i="2" a="1"/>
  <c r="H79" i="2"/>
  <c r="F79" i="2" l="1"/>
  <c r="I32" i="4"/>
  <c r="J32" i="4" s="1"/>
  <c r="D32" i="4"/>
  <c r="A79" i="2"/>
  <c r="N78" i="2"/>
  <c r="K78" i="2"/>
  <c r="J78" i="2"/>
  <c r="L78" i="2" s="1"/>
  <c r="I78" i="2"/>
  <c r="G78" i="2"/>
  <c r="F78" i="2" a="1"/>
  <c r="H78" i="2"/>
  <c r="F78" i="2" l="1"/>
  <c r="A78" i="2"/>
  <c r="N77" i="2"/>
  <c r="L77" i="2"/>
  <c r="I77" i="2"/>
  <c r="G77" i="2"/>
  <c r="F77" i="2" a="1"/>
  <c r="H77" i="2"/>
  <c r="F77" i="2" l="1"/>
  <c r="A77" i="2"/>
  <c r="N76" i="2"/>
  <c r="L76" i="2"/>
  <c r="I76" i="2"/>
  <c r="G76" i="2"/>
  <c r="H76" i="2"/>
  <c r="F76" i="2" a="1"/>
  <c r="F76" i="2" l="1"/>
  <c r="A76" i="2"/>
  <c r="N75" i="2"/>
  <c r="L75" i="2"/>
  <c r="I75" i="2"/>
  <c r="G75" i="2"/>
  <c r="F75" i="2" a="1"/>
  <c r="H75" i="2"/>
  <c r="F75" i="2" l="1"/>
  <c r="A75" i="2"/>
  <c r="N74" i="2"/>
  <c r="K74" i="2"/>
  <c r="J74" i="2"/>
  <c r="L74" i="2" s="1"/>
  <c r="I74" i="2"/>
  <c r="G74" i="2"/>
  <c r="F74" i="2" a="1"/>
  <c r="H74" i="2"/>
  <c r="F74" i="2" l="1"/>
  <c r="A74" i="2"/>
  <c r="N73" i="2"/>
  <c r="L73" i="2"/>
  <c r="I73" i="2"/>
  <c r="G73" i="2"/>
  <c r="H73" i="2"/>
  <c r="F73" i="2" a="1"/>
  <c r="F73" i="2" l="1"/>
  <c r="I31" i="4"/>
  <c r="J31" i="4" s="1"/>
  <c r="D31" i="4"/>
  <c r="A73" i="2"/>
  <c r="N72" i="2"/>
  <c r="L72" i="2"/>
  <c r="I72" i="2"/>
  <c r="G72" i="2"/>
  <c r="F72" i="2" a="1"/>
  <c r="H72" i="2"/>
  <c r="F72" i="2" l="1"/>
  <c r="A72" i="2"/>
  <c r="N71" i="2"/>
  <c r="L71" i="2"/>
  <c r="I71" i="2"/>
  <c r="G71" i="2"/>
  <c r="F71" i="2" a="1"/>
  <c r="H71" i="2"/>
  <c r="F71" i="2" l="1"/>
  <c r="I19" i="4"/>
  <c r="J19" i="4" s="1"/>
  <c r="D19" i="4"/>
  <c r="A71" i="2"/>
  <c r="N70" i="2"/>
  <c r="L70" i="2"/>
  <c r="I70" i="2"/>
  <c r="G70" i="2"/>
  <c r="F70" i="2" a="1"/>
  <c r="H70" i="2"/>
  <c r="F70" i="2" l="1"/>
  <c r="A70" i="2"/>
  <c r="N69" i="2"/>
  <c r="L69" i="2"/>
  <c r="I69" i="2"/>
  <c r="G69" i="2"/>
  <c r="F69" i="2" a="1"/>
  <c r="H69" i="2"/>
  <c r="F69" i="2" l="1"/>
  <c r="A69" i="2"/>
  <c r="N68" i="2"/>
  <c r="L68" i="2"/>
  <c r="I68" i="2"/>
  <c r="G68" i="2"/>
  <c r="F68" i="2" a="1"/>
  <c r="H68" i="2"/>
  <c r="F68" i="2" l="1"/>
  <c r="A68" i="2"/>
  <c r="N67" i="2"/>
  <c r="L67" i="2"/>
  <c r="I67" i="2"/>
  <c r="G67" i="2"/>
  <c r="F67" i="2" a="1"/>
  <c r="H67" i="2"/>
  <c r="F67" i="2" l="1"/>
  <c r="A67" i="2"/>
  <c r="N66" i="2"/>
  <c r="L66" i="2"/>
  <c r="I66" i="2"/>
  <c r="G66" i="2"/>
  <c r="F66" i="2" a="1"/>
  <c r="H66" i="2"/>
  <c r="F66" i="2" l="1"/>
  <c r="F27" i="3"/>
  <c r="F21" i="3"/>
  <c r="F19" i="3"/>
  <c r="A66" i="2"/>
  <c r="N65" i="2"/>
  <c r="L65" i="2"/>
  <c r="I65" i="2"/>
  <c r="G27" i="3"/>
  <c r="G21" i="3"/>
  <c r="G19" i="3"/>
  <c r="E27" i="3" l="1"/>
  <c r="E21" i="3"/>
  <c r="E19" i="3"/>
  <c r="G65" i="2"/>
  <c r="H65" i="2"/>
  <c r="F65" i="2" a="1"/>
  <c r="F65" i="2" l="1"/>
  <c r="A65" i="2"/>
  <c r="N61" i="2"/>
  <c r="L61" i="2"/>
  <c r="I61" i="2"/>
  <c r="G61" i="2"/>
  <c r="F61" i="2" a="1"/>
  <c r="H61" i="2"/>
  <c r="F61" i="2" l="1"/>
  <c r="A61" i="2"/>
  <c r="N60" i="2"/>
  <c r="L60" i="2"/>
  <c r="I60" i="2"/>
  <c r="G60" i="2"/>
  <c r="H60" i="2"/>
  <c r="F60" i="2" a="1"/>
  <c r="F60" i="2" l="1"/>
  <c r="D17" i="4"/>
  <c r="F29" i="3"/>
  <c r="A60" i="2"/>
  <c r="N64" i="2"/>
  <c r="L64" i="2"/>
  <c r="I64" i="2"/>
  <c r="G29" i="3"/>
  <c r="I17" i="4" l="1"/>
  <c r="J17" i="4" s="1"/>
  <c r="E29" i="3"/>
  <c r="G64" i="2"/>
  <c r="H64" i="2"/>
  <c r="F64" i="2" a="1"/>
  <c r="F64" i="2" l="1"/>
  <c r="A64" i="2"/>
  <c r="N63" i="2"/>
  <c r="L63" i="2"/>
  <c r="I63" i="2"/>
  <c r="G63" i="2"/>
  <c r="H63" i="2"/>
  <c r="F63" i="2" a="1"/>
  <c r="F63" i="2" l="1"/>
  <c r="A63" i="2"/>
  <c r="N62" i="2"/>
  <c r="L62" i="2"/>
  <c r="I62" i="2"/>
  <c r="G62" i="2"/>
  <c r="H62" i="2"/>
  <c r="F62" i="2" a="1"/>
  <c r="F62" i="2" l="1"/>
  <c r="A62" i="2"/>
  <c r="N59" i="2"/>
  <c r="L59" i="2"/>
  <c r="I59" i="2"/>
  <c r="G59" i="2"/>
  <c r="H59" i="2"/>
  <c r="F59" i="2" a="1"/>
  <c r="F59" i="2" l="1"/>
  <c r="A59" i="2"/>
  <c r="N56" i="2"/>
  <c r="L56" i="2"/>
  <c r="I56" i="2"/>
  <c r="G56" i="2"/>
  <c r="F56" i="2" a="1"/>
  <c r="H56" i="2"/>
  <c r="F56" i="2" l="1"/>
  <c r="A56" i="2"/>
  <c r="N58" i="2"/>
  <c r="L58" i="2"/>
  <c r="I58" i="2"/>
  <c r="G58" i="2"/>
  <c r="H58" i="2"/>
  <c r="F58" i="2" a="1"/>
  <c r="F58" i="2" l="1"/>
  <c r="A58" i="2"/>
  <c r="N57" i="2"/>
  <c r="J57" i="2"/>
  <c r="L57" i="2" s="1"/>
  <c r="I57" i="2"/>
  <c r="G57" i="2"/>
  <c r="H57" i="2"/>
  <c r="F57" i="2" a="1"/>
  <c r="F57" i="2" l="1"/>
  <c r="F26" i="3"/>
  <c r="F25" i="3"/>
  <c r="F24" i="3"/>
  <c r="F23" i="3"/>
  <c r="F22" i="3"/>
  <c r="A57" i="2"/>
  <c r="N55" i="2"/>
  <c r="L55" i="2"/>
  <c r="I55" i="2"/>
  <c r="G26" i="3"/>
  <c r="G25" i="3"/>
  <c r="G24" i="3"/>
  <c r="G22" i="3"/>
  <c r="G23" i="3"/>
  <c r="E26" i="3" l="1"/>
  <c r="E25" i="3"/>
  <c r="E24" i="3"/>
  <c r="E23" i="3"/>
  <c r="E22" i="3"/>
  <c r="G55" i="2"/>
  <c r="F55" i="2" a="1"/>
  <c r="H55" i="2"/>
  <c r="F55" i="2" l="1"/>
  <c r="I6" i="4"/>
  <c r="J6" i="4" s="1"/>
  <c r="D6" i="4"/>
  <c r="A55" i="2"/>
  <c r="N54" i="2"/>
  <c r="L54" i="2"/>
  <c r="I54" i="2"/>
  <c r="G54" i="2"/>
  <c r="H54" i="2"/>
  <c r="F54" i="2" a="1"/>
  <c r="F54" i="2" l="1"/>
  <c r="A54" i="2"/>
  <c r="N53" i="2"/>
  <c r="L53" i="2"/>
  <c r="I53" i="2"/>
  <c r="G53" i="2"/>
  <c r="H53" i="2"/>
  <c r="F53" i="2" a="1"/>
  <c r="F53" i="2" l="1"/>
  <c r="A53" i="2"/>
  <c r="N52" i="2"/>
  <c r="L52" i="2"/>
  <c r="I52" i="2"/>
  <c r="G52" i="2"/>
  <c r="F52" i="2" a="1"/>
  <c r="H52" i="2"/>
  <c r="F52" i="2" l="1"/>
  <c r="A52" i="2"/>
  <c r="N51" i="2"/>
  <c r="L51" i="2"/>
  <c r="I51" i="2"/>
  <c r="G51" i="2"/>
  <c r="H51" i="2"/>
  <c r="F51" i="2" a="1"/>
  <c r="F51" i="2" l="1"/>
  <c r="A51" i="2"/>
  <c r="N50" i="2"/>
  <c r="L50" i="2"/>
  <c r="I50" i="2"/>
  <c r="G50" i="2"/>
  <c r="F50" i="2" a="1"/>
  <c r="H50" i="2"/>
  <c r="F50" i="2" l="1"/>
  <c r="A50" i="2"/>
  <c r="N49" i="2"/>
  <c r="L49" i="2"/>
  <c r="I49" i="2"/>
  <c r="G49" i="2"/>
  <c r="F49" i="2" a="1"/>
  <c r="H49" i="2"/>
  <c r="F49" i="2" l="1"/>
  <c r="A49" i="2"/>
  <c r="N48" i="2"/>
  <c r="L48" i="2"/>
  <c r="I48" i="2"/>
  <c r="G48" i="2"/>
  <c r="H48" i="2"/>
  <c r="F48" i="2" a="1"/>
  <c r="F48" i="2" l="1"/>
  <c r="A48" i="2"/>
  <c r="N47" i="2"/>
  <c r="L47" i="2"/>
  <c r="I47" i="2"/>
  <c r="G47" i="2"/>
  <c r="H47" i="2"/>
  <c r="F47" i="2" a="1"/>
  <c r="F47" i="2" l="1"/>
  <c r="A47" i="2"/>
  <c r="N46" i="2"/>
  <c r="L46" i="2"/>
  <c r="I46" i="2"/>
  <c r="G46" i="2"/>
  <c r="H46" i="2"/>
  <c r="F46" i="2" a="1"/>
  <c r="F46" i="2" l="1"/>
  <c r="A46" i="2"/>
  <c r="N45" i="2"/>
  <c r="L45" i="2"/>
  <c r="I45" i="2"/>
  <c r="G45" i="2"/>
  <c r="F45" i="2" a="1"/>
  <c r="H45" i="2"/>
  <c r="F45" i="2" l="1"/>
  <c r="A45" i="2"/>
  <c r="N44" i="2"/>
  <c r="J44" i="2"/>
  <c r="L44" i="2" s="1"/>
  <c r="I44" i="2"/>
  <c r="G44" i="2"/>
  <c r="H44" i="2"/>
  <c r="F44" i="2" a="1"/>
  <c r="F44" i="2" l="1"/>
  <c r="D11" i="4"/>
  <c r="D12" i="4"/>
  <c r="F14" i="3"/>
  <c r="F13" i="3"/>
  <c r="A44" i="2"/>
  <c r="N43" i="2"/>
  <c r="L43" i="2"/>
  <c r="I43" i="2"/>
  <c r="G14" i="3"/>
  <c r="G13" i="3"/>
  <c r="I12" i="4" l="1"/>
  <c r="J12" i="4" s="1"/>
  <c r="I11" i="4"/>
  <c r="J11" i="4" s="1"/>
  <c r="E14" i="3"/>
  <c r="E13" i="3"/>
  <c r="G43" i="2"/>
  <c r="H43" i="2"/>
  <c r="F43" i="2" a="1"/>
  <c r="F43" i="2" l="1"/>
  <c r="A43" i="2"/>
  <c r="N42" i="2"/>
  <c r="L42" i="2"/>
  <c r="I42" i="2"/>
  <c r="G42" i="2"/>
  <c r="H42" i="2"/>
  <c r="F42" i="2" a="1"/>
  <c r="F42" i="2" l="1"/>
  <c r="A42" i="2"/>
  <c r="N41" i="2"/>
  <c r="L41" i="2"/>
  <c r="I41" i="2"/>
  <c r="G41" i="2"/>
  <c r="H41" i="2"/>
  <c r="F41" i="2" a="1"/>
  <c r="F41" i="2" l="1"/>
  <c r="A41" i="2"/>
  <c r="N40" i="2"/>
  <c r="J40" i="2"/>
  <c r="L40" i="2" s="1"/>
  <c r="I40" i="2"/>
  <c r="G40" i="2"/>
  <c r="F40" i="2" a="1"/>
  <c r="H40" i="2"/>
  <c r="F40" i="2" l="1"/>
  <c r="A40" i="2"/>
  <c r="N39" i="2"/>
  <c r="L39" i="2"/>
  <c r="I39" i="2"/>
  <c r="G39" i="2"/>
  <c r="H39" i="2"/>
  <c r="F39" i="2" a="1"/>
  <c r="F39" i="2" l="1"/>
  <c r="A39" i="2"/>
  <c r="N38" i="2"/>
  <c r="L38" i="2"/>
  <c r="I38" i="2"/>
  <c r="G38" i="2"/>
  <c r="H38" i="2"/>
  <c r="F38" i="2" a="1"/>
  <c r="F38" i="2" l="1"/>
  <c r="A38" i="2"/>
  <c r="N37" i="2"/>
  <c r="L37" i="2"/>
  <c r="I37" i="2"/>
  <c r="G37" i="2"/>
  <c r="H37" i="2"/>
  <c r="F37" i="2" a="1"/>
  <c r="F37" i="2" l="1"/>
  <c r="A37" i="2"/>
  <c r="N36" i="2"/>
  <c r="L36" i="2"/>
  <c r="I36" i="2"/>
  <c r="G36" i="2"/>
  <c r="H36" i="2"/>
  <c r="F36" i="2" a="1"/>
  <c r="F36" i="2" l="1"/>
  <c r="A36" i="2"/>
  <c r="N35" i="2"/>
  <c r="L35" i="2"/>
  <c r="I35" i="2"/>
  <c r="G35" i="2"/>
  <c r="F35" i="2" a="1"/>
  <c r="H35" i="2"/>
  <c r="F35" i="2" l="1"/>
  <c r="A35" i="2"/>
  <c r="N34" i="2"/>
  <c r="L34" i="2"/>
  <c r="I34" i="2"/>
  <c r="G34" i="2"/>
  <c r="H34" i="2"/>
  <c r="F34" i="2" a="1"/>
  <c r="F34" i="2" l="1"/>
  <c r="I10" i="4"/>
  <c r="J10" i="4" s="1"/>
  <c r="D10" i="4"/>
  <c r="A34" i="2"/>
  <c r="N31" i="2"/>
  <c r="L31" i="2"/>
  <c r="I31" i="2"/>
  <c r="G31" i="2"/>
  <c r="F31" i="2" a="1"/>
  <c r="H31" i="2"/>
  <c r="F31" i="2" l="1"/>
  <c r="A31" i="2"/>
  <c r="N33" i="2"/>
  <c r="L33" i="2"/>
  <c r="I33" i="2"/>
  <c r="G33" i="2"/>
  <c r="H33" i="2"/>
  <c r="F33" i="2" a="1"/>
  <c r="F33" i="2" l="1"/>
  <c r="I26" i="4"/>
  <c r="J26" i="4" s="1"/>
  <c r="D26" i="4"/>
  <c r="A33" i="2"/>
  <c r="N32" i="2"/>
  <c r="L32" i="2"/>
  <c r="I32" i="2"/>
  <c r="G32" i="2"/>
  <c r="H32" i="2"/>
  <c r="F32" i="2" a="1"/>
  <c r="F32" i="2" l="1"/>
  <c r="I21" i="4"/>
  <c r="J21" i="4" s="1"/>
  <c r="D21" i="4"/>
  <c r="A32" i="2"/>
  <c r="N30" i="2"/>
  <c r="L30" i="2"/>
  <c r="I30" i="2"/>
  <c r="G30" i="2"/>
  <c r="H30" i="2"/>
  <c r="F30" i="2" a="1"/>
  <c r="F30" i="2" l="1"/>
  <c r="A30" i="2"/>
  <c r="N29" i="2"/>
  <c r="L29" i="2"/>
  <c r="I29" i="2"/>
  <c r="G29" i="2"/>
  <c r="F29" i="2" a="1"/>
  <c r="H29" i="2"/>
  <c r="F29" i="2" l="1"/>
  <c r="A29" i="2"/>
  <c r="N28" i="2"/>
  <c r="L28" i="2"/>
  <c r="I28" i="2"/>
  <c r="G28" i="2"/>
  <c r="F28" i="2" a="1"/>
  <c r="H28" i="2"/>
  <c r="F28" i="2" l="1"/>
  <c r="A28" i="2"/>
  <c r="N27" i="2"/>
  <c r="L27" i="2"/>
  <c r="I27" i="2"/>
  <c r="G27" i="2"/>
  <c r="H27" i="2"/>
  <c r="F27" i="2" a="1"/>
  <c r="F27" i="2" l="1"/>
  <c r="A27" i="2"/>
  <c r="N26" i="2"/>
  <c r="L26" i="2"/>
  <c r="I26" i="2"/>
  <c r="G26" i="2"/>
  <c r="F26" i="2" a="1"/>
  <c r="H26" i="2"/>
  <c r="F26" i="2" l="1"/>
  <c r="A26" i="2"/>
  <c r="N25" i="2"/>
  <c r="L25" i="2"/>
  <c r="I25" i="2"/>
  <c r="G25" i="2"/>
  <c r="F25" i="2" a="1"/>
  <c r="H25" i="2"/>
  <c r="F25" i="2" l="1"/>
  <c r="I27" i="4"/>
  <c r="J27" i="4" s="1"/>
  <c r="D27" i="4"/>
  <c r="A25" i="2"/>
  <c r="N24" i="2"/>
  <c r="L24" i="2"/>
  <c r="I24" i="2"/>
  <c r="G24" i="2"/>
  <c r="F24" i="2" a="1"/>
  <c r="H24" i="2"/>
  <c r="F24" i="2" l="1"/>
  <c r="A24" i="2"/>
  <c r="N23" i="2"/>
  <c r="L23" i="2"/>
  <c r="I23" i="2"/>
  <c r="G23" i="2"/>
  <c r="H23" i="2"/>
  <c r="F23" i="2" a="1"/>
  <c r="F23" i="2" l="1"/>
  <c r="A23" i="2"/>
  <c r="N22" i="2"/>
  <c r="L22" i="2"/>
  <c r="I22" i="2"/>
  <c r="G22" i="2"/>
  <c r="F22" i="2" a="1"/>
  <c r="H22" i="2"/>
  <c r="F22" i="2" l="1"/>
  <c r="F9" i="3"/>
  <c r="F8" i="3"/>
  <c r="A22" i="2"/>
  <c r="N21" i="2"/>
  <c r="L21" i="2"/>
  <c r="I21" i="2"/>
  <c r="G9" i="3"/>
  <c r="G8" i="3"/>
  <c r="E9" i="3" l="1"/>
  <c r="E8" i="3"/>
  <c r="G21" i="2"/>
  <c r="H21" i="2"/>
  <c r="F21" i="2" a="1"/>
  <c r="F21" i="2" l="1"/>
  <c r="F40" i="3"/>
  <c r="F38" i="3"/>
  <c r="F33" i="3"/>
  <c r="F7" i="3"/>
  <c r="F6" i="3"/>
  <c r="A21" i="2"/>
  <c r="N20" i="2"/>
  <c r="L20" i="2"/>
  <c r="I20" i="2"/>
  <c r="G40" i="3"/>
  <c r="G38" i="3"/>
  <c r="G33" i="3"/>
  <c r="G7" i="3"/>
  <c r="G6" i="3"/>
  <c r="E40" i="3" l="1"/>
  <c r="E38" i="3"/>
  <c r="E33" i="3"/>
  <c r="E7" i="3"/>
  <c r="E6" i="3"/>
  <c r="G20" i="2"/>
  <c r="H20" i="2"/>
  <c r="F20" i="2" a="1"/>
  <c r="F20" i="2" l="1"/>
  <c r="A20" i="2"/>
  <c r="N19" i="2"/>
  <c r="L19" i="2"/>
  <c r="I19" i="2"/>
  <c r="G19" i="2"/>
  <c r="F19" i="2" a="1"/>
  <c r="H19" i="2"/>
  <c r="F19" i="2" l="1"/>
  <c r="I16" i="4"/>
  <c r="J16" i="4" s="1"/>
  <c r="D16" i="4"/>
  <c r="A19" i="2"/>
  <c r="N18" i="2"/>
  <c r="L18" i="2"/>
  <c r="I18" i="2"/>
  <c r="G18" i="2"/>
  <c r="F18" i="2" a="1"/>
  <c r="H18" i="2"/>
  <c r="F18" i="2" l="1"/>
  <c r="I20" i="4"/>
  <c r="J20" i="4" s="1"/>
  <c r="D20" i="4"/>
  <c r="A18" i="2"/>
  <c r="N17" i="2"/>
  <c r="L17" i="2"/>
  <c r="I17" i="2"/>
  <c r="G17" i="2"/>
  <c r="H17" i="2"/>
  <c r="F17" i="2" a="1"/>
  <c r="F17" i="2" l="1"/>
  <c r="A17" i="2"/>
  <c r="N16" i="2"/>
  <c r="L16" i="2"/>
  <c r="I16" i="2"/>
  <c r="G16" i="2"/>
  <c r="H16" i="2"/>
  <c r="F16" i="2" a="1"/>
  <c r="F16" i="2" l="1"/>
  <c r="I7" i="4"/>
  <c r="J7" i="4" s="1"/>
  <c r="D7" i="4"/>
  <c r="A16" i="2"/>
  <c r="N12" i="2"/>
  <c r="L12" i="2"/>
  <c r="I12" i="2"/>
  <c r="G12" i="2"/>
  <c r="F12" i="2" a="1"/>
  <c r="H12" i="2"/>
  <c r="F12" i="2" l="1"/>
  <c r="A12" i="2"/>
  <c r="N15" i="2"/>
  <c r="L15" i="2"/>
  <c r="I15" i="2"/>
  <c r="G15" i="2"/>
  <c r="H15" i="2"/>
  <c r="F15" i="2" a="1"/>
  <c r="F15" i="2" l="1"/>
  <c r="I15" i="4"/>
  <c r="J15" i="4" s="1"/>
  <c r="D15" i="4"/>
  <c r="A15" i="2"/>
  <c r="N14" i="2"/>
  <c r="L14" i="2"/>
  <c r="I14" i="2"/>
  <c r="G14" i="2"/>
  <c r="H14" i="2"/>
  <c r="F14" i="2" a="1"/>
  <c r="F14" i="2" l="1"/>
  <c r="I28" i="4"/>
  <c r="J28" i="4" s="1"/>
  <c r="D28" i="4"/>
  <c r="A14" i="2"/>
  <c r="N13" i="2"/>
  <c r="L13" i="2"/>
  <c r="I13" i="2"/>
  <c r="G13" i="2"/>
  <c r="F13" i="2" a="1"/>
  <c r="H13" i="2"/>
  <c r="F13" i="2" l="1"/>
  <c r="I8" i="4"/>
  <c r="J8" i="4" s="1"/>
  <c r="D8" i="4"/>
  <c r="A13" i="2"/>
  <c r="N11" i="2"/>
  <c r="L11" i="2"/>
  <c r="I11" i="2"/>
  <c r="G11" i="2"/>
  <c r="F11" i="2" a="1"/>
  <c r="H11" i="2"/>
  <c r="F11" i="2" l="1"/>
  <c r="D18" i="4"/>
  <c r="F28" i="3"/>
  <c r="A11" i="2"/>
  <c r="N10" i="2"/>
  <c r="L10" i="2"/>
  <c r="I10" i="2"/>
  <c r="G28" i="3"/>
  <c r="I18" i="4" l="1"/>
  <c r="J18" i="4" s="1"/>
  <c r="E28" i="3"/>
  <c r="G10" i="2"/>
  <c r="H10" i="2"/>
  <c r="F10" i="2" a="1"/>
  <c r="F10" i="2" l="1"/>
  <c r="F3" i="3"/>
  <c r="F2" i="3"/>
  <c r="A10" i="2"/>
  <c r="N9" i="2"/>
  <c r="L9" i="2"/>
  <c r="I9" i="2"/>
  <c r="G3" i="3"/>
  <c r="G2" i="3"/>
  <c r="E3" i="3" l="1"/>
  <c r="E2" i="3"/>
  <c r="G9" i="2"/>
  <c r="H9" i="2"/>
  <c r="F9" i="2" a="1"/>
  <c r="F9" i="2" l="1"/>
  <c r="I29" i="4"/>
  <c r="J29" i="4" s="1"/>
  <c r="D29" i="4"/>
  <c r="A9" i="2"/>
  <c r="N8" i="2"/>
  <c r="L8" i="2"/>
  <c r="I8" i="2"/>
  <c r="G8" i="2"/>
  <c r="H8" i="2"/>
  <c r="F8" i="2" a="1"/>
  <c r="F8" i="2" l="1"/>
  <c r="F17" i="3"/>
  <c r="F16" i="3"/>
  <c r="F5" i="3"/>
  <c r="A8" i="2"/>
  <c r="N7" i="2"/>
  <c r="L7" i="2"/>
  <c r="I7" i="2"/>
  <c r="G17" i="3"/>
  <c r="G16" i="3"/>
  <c r="G5" i="3"/>
  <c r="E17" i="3" l="1"/>
  <c r="E16" i="3"/>
  <c r="E5" i="3"/>
  <c r="G7" i="2"/>
  <c r="F7" i="2" a="1"/>
  <c r="H7" i="2"/>
  <c r="F7" i="2" l="1"/>
  <c r="F42" i="3"/>
  <c r="F37" i="3"/>
  <c r="F36" i="3"/>
  <c r="F32" i="3"/>
  <c r="F31" i="3"/>
  <c r="F20" i="3"/>
  <c r="F18" i="3"/>
  <c r="F15" i="3"/>
  <c r="F11" i="3"/>
  <c r="F10" i="3"/>
  <c r="F4" i="3"/>
  <c r="A7" i="2"/>
  <c r="N6" i="2"/>
  <c r="K6" i="2"/>
  <c r="J6" i="2"/>
  <c r="L6" i="2" s="1"/>
  <c r="I6" i="2"/>
  <c r="G42" i="3"/>
  <c r="G20" i="3"/>
  <c r="G15" i="3"/>
  <c r="G37" i="3"/>
  <c r="G18" i="3"/>
  <c r="G10" i="3"/>
  <c r="G36" i="3"/>
  <c r="G32" i="3"/>
  <c r="G11" i="3"/>
  <c r="G31" i="3"/>
  <c r="G4" i="3"/>
  <c r="E42" i="3" l="1"/>
  <c r="E37" i="3"/>
  <c r="E36" i="3"/>
  <c r="E32" i="3"/>
  <c r="E31" i="3"/>
  <c r="E20" i="3"/>
  <c r="E18" i="3"/>
  <c r="E15" i="3"/>
  <c r="E11" i="3"/>
  <c r="E10" i="3"/>
  <c r="E4" i="3"/>
  <c r="G6" i="2"/>
  <c r="F6" i="2" a="1"/>
  <c r="H6" i="2"/>
  <c r="F6" i="2" l="1"/>
  <c r="D2" i="4"/>
  <c r="D23" i="4"/>
  <c r="A6" i="2"/>
  <c r="N4" i="2"/>
  <c r="K4" i="2"/>
  <c r="J4" i="2"/>
  <c r="L4" i="2" s="1"/>
  <c r="I4" i="2"/>
  <c r="I2" i="4" l="1"/>
  <c r="J2" i="4" s="1"/>
  <c r="I23" i="4"/>
  <c r="J23" i="4" s="1"/>
  <c r="G4" i="2"/>
  <c r="F4" i="2" a="1"/>
  <c r="H4" i="2"/>
  <c r="F4" i="2" l="1"/>
  <c r="D4" i="4"/>
  <c r="D25" i="4"/>
  <c r="A4" i="2"/>
  <c r="N5" i="2"/>
  <c r="L5" i="2"/>
  <c r="I5" i="2"/>
  <c r="I4" i="4" l="1"/>
  <c r="J4" i="4" s="1"/>
  <c r="I25" i="4"/>
  <c r="J25" i="4" s="1"/>
  <c r="G5" i="2"/>
  <c r="H5" i="2"/>
  <c r="F5" i="2" a="1"/>
  <c r="F5" i="2" l="1"/>
  <c r="D3" i="4"/>
  <c r="D24" i="4"/>
  <c r="A5" i="2"/>
  <c r="N2" i="2"/>
  <c r="L2" i="2"/>
  <c r="I2" i="2"/>
  <c r="I3" i="4" l="1"/>
  <c r="J3" i="4" s="1"/>
  <c r="I24" i="4"/>
  <c r="J24" i="4" s="1"/>
  <c r="G2" i="2"/>
  <c r="F2" i="2" a="1"/>
  <c r="H2" i="2"/>
  <c r="F2" i="2" l="1"/>
  <c r="D5" i="4"/>
  <c r="D9" i="4"/>
  <c r="D30" i="4"/>
  <c r="F12" i="3"/>
  <c r="H58" i="6" s="1"/>
  <c r="A2" i="2"/>
  <c r="N3" i="2"/>
  <c r="L3" i="2"/>
  <c r="I3" i="2"/>
  <c r="L48" i="3" s="1"/>
  <c r="G12" i="3"/>
  <c r="L47" i="3" l="1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I9" i="4"/>
  <c r="J9" i="4" s="1"/>
  <c r="I30" i="4"/>
  <c r="J30" i="4" s="1"/>
  <c r="I5" i="4"/>
  <c r="J5" i="4" s="1"/>
  <c r="E12" i="3"/>
  <c r="G3" i="2"/>
  <c r="H3" i="2"/>
  <c r="F3" i="2" a="1"/>
  <c r="F3" i="2" l="1"/>
  <c r="I22" i="4"/>
  <c r="J22" i="4" s="1"/>
  <c r="D22" i="4"/>
  <c r="I58" i="6" s="1"/>
  <c r="K58" i="6" s="1"/>
  <c r="L58" i="6" s="1"/>
  <c r="A3" i="2"/>
  <c r="A2" i="5" s="1" a="1"/>
  <c r="I9" i="9"/>
  <c r="G9" i="9"/>
  <c r="C7" i="5" l="1" a="1"/>
  <c r="C7" i="5" s="1"/>
  <c r="B14" i="5"/>
  <c r="B3" i="5"/>
  <c r="C6" i="5" a="1"/>
  <c r="C6" i="5" s="1"/>
  <c r="B13" i="5"/>
  <c r="A2" i="5"/>
  <c r="B4" i="5"/>
  <c r="B7" i="5"/>
  <c r="B10" i="5"/>
  <c r="B11" i="5"/>
  <c r="C14" i="5" a="1"/>
  <c r="C14" i="5" s="1"/>
  <c r="C3" i="5" a="1"/>
  <c r="C3" i="5" s="1"/>
  <c r="B6" i="5"/>
  <c r="C10" i="5" a="1"/>
  <c r="C10" i="5" s="1"/>
  <c r="C13" i="5" a="1"/>
  <c r="C13" i="5" s="1"/>
  <c r="C9" i="5" a="1"/>
  <c r="C9" i="5" s="1"/>
  <c r="B9" i="5"/>
  <c r="B5" i="5"/>
  <c r="B15" i="5"/>
  <c r="C5" i="5" a="1"/>
  <c r="C5" i="5" s="1"/>
  <c r="B12" i="5"/>
  <c r="C8" i="5" a="1"/>
  <c r="C8" i="5" s="1"/>
  <c r="C4" i="5" a="1"/>
  <c r="C4" i="5" s="1"/>
  <c r="C11" i="5" a="1"/>
  <c r="C11" i="5" s="1"/>
  <c r="C12" i="5" a="1"/>
  <c r="C12" i="5" s="1"/>
  <c r="B8" i="5"/>
  <c r="C15" i="5" a="1"/>
  <c r="C15" i="5" s="1"/>
  <c r="D14" i="5" a="1"/>
  <c r="D14" i="5" s="1"/>
  <c r="D12" i="5" a="1"/>
  <c r="D12" i="5" s="1"/>
  <c r="D4" i="5" a="1"/>
  <c r="D4" i="5" s="1"/>
  <c r="D3" i="5" a="1"/>
  <c r="D3" i="5" s="1"/>
  <c r="D13" i="5" a="1"/>
  <c r="D13" i="5" s="1"/>
  <c r="D5" i="5" a="1"/>
  <c r="D5" i="5" s="1"/>
  <c r="D8" i="5" a="1"/>
  <c r="D8" i="5" s="1"/>
  <c r="D9" i="5" a="1"/>
  <c r="D9" i="5" s="1"/>
  <c r="D7" i="5" a="1"/>
  <c r="D7" i="5" s="1"/>
  <c r="D6" i="5" a="1"/>
  <c r="D6" i="5" s="1"/>
  <c r="D10" i="5" a="1"/>
  <c r="D10" i="5" s="1"/>
  <c r="D15" i="5" a="1"/>
  <c r="D15" i="5" s="1"/>
  <c r="D11" i="5" a="1"/>
  <c r="D11" i="5" s="1"/>
  <c r="E7" i="5" l="1"/>
  <c r="E10" i="5"/>
  <c r="E15" i="5"/>
  <c r="E8" i="5"/>
  <c r="E6" i="5"/>
  <c r="E5" i="5"/>
  <c r="E13" i="5"/>
  <c r="E4" i="5"/>
  <c r="E12" i="5"/>
  <c r="E9" i="5"/>
  <c r="E3" i="5"/>
  <c r="E14" i="5"/>
  <c r="B2" i="5"/>
  <c r="C2" i="5" a="1"/>
  <c r="C2" i="5" s="1"/>
  <c r="D2" i="5" a="1"/>
  <c r="D2" i="5" s="1"/>
  <c r="E11" i="5"/>
  <c r="E2" i="5" l="1"/>
  <c r="A2" i="1" a="1"/>
  <c r="B41" i="1" a="1"/>
  <c r="H21" i="1" a="1"/>
  <c r="H41" i="1" a="1"/>
  <c r="E21" i="1"/>
  <c r="O41" i="1" a="1"/>
  <c r="I41" i="1" a="1"/>
  <c r="B21" i="1" a="1"/>
  <c r="D41" i="1" a="1"/>
  <c r="O21" i="1" a="1"/>
  <c r="D21" i="1" a="1"/>
  <c r="I21" i="1" a="1"/>
  <c r="E41" i="1"/>
  <c r="B22" i="1" a="1"/>
  <c r="O34" i="1" a="1"/>
  <c r="B43" i="1" a="1"/>
  <c r="H22" i="1" a="1"/>
  <c r="O36" i="1" a="1"/>
  <c r="O22" i="1" a="1"/>
  <c r="D43" i="1" a="1"/>
  <c r="D36" i="1" a="1"/>
  <c r="E22" i="1"/>
  <c r="I36" i="1" a="1"/>
  <c r="B36" i="1" a="1"/>
  <c r="D38" i="1" a="1"/>
  <c r="I34" i="1" a="1"/>
  <c r="H43" i="1" a="1"/>
  <c r="O43" i="1" a="1"/>
  <c r="E36" i="1"/>
  <c r="O38" i="1" a="1"/>
  <c r="B38" i="1" a="1"/>
  <c r="D34" i="1" a="1"/>
  <c r="E43" i="1"/>
  <c r="D22" i="1" a="1"/>
  <c r="H36" i="1" a="1"/>
  <c r="I22" i="1" a="1"/>
  <c r="H38" i="1" a="1"/>
  <c r="E34" i="1"/>
  <c r="I43" i="1" a="1"/>
  <c r="B34" i="1" a="1"/>
  <c r="H34" i="1" a="1"/>
  <c r="I38" i="1" a="1"/>
  <c r="E38" i="1"/>
  <c r="E33" i="1"/>
  <c r="B27" i="1" a="1"/>
  <c r="H18" i="1" a="1"/>
  <c r="D33" i="1" a="1"/>
  <c r="E7" i="1"/>
  <c r="D45" i="1" a="1"/>
  <c r="O42" i="1" a="1"/>
  <c r="I20" i="1" a="1"/>
  <c r="H42" i="1" a="1"/>
  <c r="O9" i="1" a="1"/>
  <c r="E18" i="1"/>
  <c r="I18" i="1" a="1"/>
  <c r="O20" i="1" a="1"/>
  <c r="D20" i="1" a="1"/>
  <c r="I9" i="1" a="1"/>
  <c r="B15" i="1" a="1"/>
  <c r="E42" i="1"/>
  <c r="B7" i="1" a="1"/>
  <c r="E45" i="1"/>
  <c r="H7" i="1" a="1"/>
  <c r="D7" i="1" a="1"/>
  <c r="D27" i="1" a="1"/>
  <c r="E27" i="1"/>
  <c r="E20" i="1"/>
  <c r="D9" i="1" a="1"/>
  <c r="O7" i="1" a="1"/>
  <c r="I39" i="1" a="1"/>
  <c r="D18" i="1" a="1"/>
  <c r="B33" i="1" a="1"/>
  <c r="D42" i="1" a="1"/>
  <c r="I7" i="1" a="1"/>
  <c r="D15" i="1" a="1"/>
  <c r="H33" i="1" a="1"/>
  <c r="H9" i="1" a="1"/>
  <c r="O15" i="1" a="1"/>
  <c r="B45" i="1" a="1"/>
  <c r="B39" i="1" a="1"/>
  <c r="I45" i="1" a="1"/>
  <c r="E9" i="1"/>
  <c r="H39" i="1" a="1"/>
  <c r="B18" i="1" a="1"/>
  <c r="E39" i="1"/>
  <c r="H20" i="1" a="1"/>
  <c r="B42" i="1" a="1"/>
  <c r="H15" i="1" a="1"/>
  <c r="O18" i="1" a="1"/>
  <c r="O39" i="1" a="1"/>
  <c r="O45" i="1" a="1"/>
  <c r="B20" i="1" a="1"/>
  <c r="E15" i="1"/>
  <c r="I27" i="1" a="1"/>
  <c r="H27" i="1" a="1"/>
  <c r="I33" i="1" a="1"/>
  <c r="H45" i="1" a="1"/>
  <c r="O27" i="1" a="1"/>
  <c r="D39" i="1" a="1"/>
  <c r="I42" i="1" a="1"/>
  <c r="B9" i="1" a="1"/>
  <c r="I15" i="1" a="1"/>
  <c r="O33" i="1" a="1"/>
  <c r="I14" i="1" a="1"/>
  <c r="I40" i="1" a="1"/>
  <c r="H23" i="1" a="1"/>
  <c r="D11" i="1" a="1"/>
  <c r="H6" i="1" a="1"/>
  <c r="H17" i="1" a="1"/>
  <c r="E24" i="1"/>
  <c r="O23" i="1" a="1"/>
  <c r="D6" i="1" a="1"/>
  <c r="E31" i="1"/>
  <c r="E25" i="1"/>
  <c r="O14" i="1" a="1"/>
  <c r="E17" i="1"/>
  <c r="H11" i="1" a="1"/>
  <c r="H25" i="1" a="1"/>
  <c r="H24" i="1" a="1"/>
  <c r="O35" i="1" a="1"/>
  <c r="D35" i="1" a="1"/>
  <c r="B35" i="1" a="1"/>
  <c r="E6" i="1"/>
  <c r="B24" i="1" a="1"/>
  <c r="I23" i="1" a="1"/>
  <c r="I25" i="1" a="1"/>
  <c r="B40" i="1" a="1"/>
  <c r="O6" i="1" a="1"/>
  <c r="B14" i="1" a="1"/>
  <c r="E14" i="1"/>
  <c r="O17" i="1" a="1"/>
  <c r="D14" i="1" a="1"/>
  <c r="D24" i="1" a="1"/>
  <c r="I35" i="1" a="1"/>
  <c r="B23" i="1" a="1"/>
  <c r="O31" i="1" a="1"/>
  <c r="O25" i="1" a="1"/>
  <c r="D25" i="1" a="1"/>
  <c r="D17" i="1" a="1"/>
  <c r="B17" i="1" a="1"/>
  <c r="D23" i="1" a="1"/>
  <c r="O40" i="1" a="1"/>
  <c r="I6" i="1" a="1"/>
  <c r="B11" i="1" a="1"/>
  <c r="B25" i="1" a="1"/>
  <c r="D40" i="1" a="1"/>
  <c r="D31" i="1" a="1"/>
  <c r="B6" i="1" a="1"/>
  <c r="H40" i="1" a="1"/>
  <c r="E40" i="1"/>
  <c r="B31" i="1" a="1"/>
  <c r="I31" i="1" a="1"/>
  <c r="H31" i="1" a="1"/>
  <c r="I11" i="1" a="1"/>
  <c r="E11" i="1"/>
  <c r="H35" i="1" a="1"/>
  <c r="O24" i="1" a="1"/>
  <c r="I24" i="1" a="1"/>
  <c r="I17" i="1" a="1"/>
  <c r="O11" i="1" a="1"/>
  <c r="H14" i="1" a="1"/>
  <c r="E35" i="1"/>
  <c r="E23" i="1"/>
  <c r="E47" i="1"/>
  <c r="O16" i="1" a="1"/>
  <c r="B13" i="1" a="1"/>
  <c r="D44" i="1" a="1"/>
  <c r="D37" i="1" a="1"/>
  <c r="I30" i="1" a="1"/>
  <c r="D3" i="1" a="1"/>
  <c r="O37" i="1" a="1"/>
  <c r="D29" i="1" a="1"/>
  <c r="B32" i="1" a="1"/>
  <c r="I26" i="1" a="1"/>
  <c r="B37" i="1" a="1"/>
  <c r="D13" i="1" a="1"/>
  <c r="I37" i="1" a="1"/>
  <c r="B16" i="1" a="1"/>
  <c r="E37" i="1"/>
  <c r="O3" i="1" a="1"/>
  <c r="E16" i="1"/>
  <c r="H13" i="1" a="1"/>
  <c r="B26" i="1" a="1"/>
  <c r="B44" i="1" a="1"/>
  <c r="H30" i="1" a="1"/>
  <c r="H16" i="1" a="1"/>
  <c r="D30" i="1" a="1"/>
  <c r="I3" i="1" a="1"/>
  <c r="E26" i="1"/>
  <c r="I13" i="1" a="1"/>
  <c r="H32" i="1" a="1"/>
  <c r="E3" i="1"/>
  <c r="D26" i="1" a="1"/>
  <c r="I47" i="1" a="1"/>
  <c r="O29" i="1" a="1"/>
  <c r="D47" i="1" a="1"/>
  <c r="E29" i="1"/>
  <c r="E30" i="1"/>
  <c r="O30" i="1" a="1"/>
  <c r="D32" i="1" a="1"/>
  <c r="O44" i="1" a="1"/>
  <c r="E13" i="1"/>
  <c r="O32" i="1" a="1"/>
  <c r="E32" i="1"/>
  <c r="H44" i="1" a="1"/>
  <c r="I16" i="1" a="1"/>
  <c r="I44" i="1" a="1"/>
  <c r="B29" i="1" a="1"/>
  <c r="H3" i="1" a="1"/>
  <c r="B30" i="1" a="1"/>
  <c r="O26" i="1" a="1"/>
  <c r="H26" i="1" a="1"/>
  <c r="H29" i="1" a="1"/>
  <c r="B3" i="1" a="1"/>
  <c r="H37" i="1" a="1"/>
  <c r="O47" i="1" a="1"/>
  <c r="E44" i="1"/>
  <c r="D16" i="1" a="1"/>
  <c r="I32" i="1" a="1"/>
  <c r="H47" i="1" a="1"/>
  <c r="O13" i="1" a="1"/>
  <c r="B47" i="1" a="1"/>
  <c r="I29" i="1" a="1"/>
  <c r="O28" i="1" a="1"/>
  <c r="O4" i="1" a="1"/>
  <c r="O5" i="1" a="1"/>
  <c r="O48" i="1" a="1"/>
  <c r="E46" i="1"/>
  <c r="I8" i="1" a="1"/>
  <c r="H10" i="1" a="1"/>
  <c r="B12" i="1" a="1"/>
  <c r="B48" i="1" a="1"/>
  <c r="D8" i="1" a="1"/>
  <c r="E19" i="1"/>
  <c r="D46" i="1" a="1"/>
  <c r="E5" i="1"/>
  <c r="I48" i="1" a="1"/>
  <c r="D19" i="1" a="1"/>
  <c r="O46" i="1" a="1"/>
  <c r="I46" i="1" a="1"/>
  <c r="O19" i="1" a="1"/>
  <c r="E4" i="1"/>
  <c r="I19" i="1" a="1"/>
  <c r="E12" i="1"/>
  <c r="E10" i="1"/>
  <c r="H12" i="1" a="1"/>
  <c r="D5" i="1" a="1"/>
  <c r="B10" i="1" a="1"/>
  <c r="I28" i="1" a="1"/>
  <c r="H19" i="1" a="1"/>
  <c r="H5" i="1" a="1"/>
  <c r="I12" i="1" a="1"/>
  <c r="D10" i="1" a="1"/>
  <c r="H28" i="1" a="1"/>
  <c r="B46" i="1" a="1"/>
  <c r="D4" i="1" a="1"/>
  <c r="O8" i="1" a="1"/>
  <c r="E48" i="1"/>
  <c r="I5" i="1" a="1"/>
  <c r="O10" i="1" a="1"/>
  <c r="H8" i="1" a="1"/>
  <c r="D28" i="1" a="1"/>
  <c r="H48" i="1" a="1"/>
  <c r="B19" i="1" a="1"/>
  <c r="B8" i="1" a="1"/>
  <c r="B4" i="1" a="1"/>
  <c r="B28" i="1" a="1"/>
  <c r="I4" i="1" a="1"/>
  <c r="D12" i="1" a="1"/>
  <c r="B5" i="1" a="1"/>
  <c r="E28" i="1"/>
  <c r="D48" i="1" a="1"/>
  <c r="I10" i="1" a="1"/>
  <c r="H4" i="1" a="1"/>
  <c r="H46" i="1" a="1"/>
  <c r="O12" i="1" a="1"/>
  <c r="E8" i="1"/>
  <c r="O12" i="1" l="1"/>
  <c r="H46" i="1"/>
  <c r="H4" i="1"/>
  <c r="I10" i="1"/>
  <c r="D48" i="1"/>
  <c r="B5" i="1"/>
  <c r="D12" i="1"/>
  <c r="I4" i="1"/>
  <c r="B28" i="1"/>
  <c r="B4" i="1"/>
  <c r="B8" i="1"/>
  <c r="B19" i="1"/>
  <c r="H48" i="1"/>
  <c r="D28" i="1"/>
  <c r="H8" i="1"/>
  <c r="O10" i="1"/>
  <c r="I5" i="1"/>
  <c r="O8" i="1"/>
  <c r="D4" i="1"/>
  <c r="B46" i="1"/>
  <c r="H28" i="1"/>
  <c r="D10" i="1"/>
  <c r="I12" i="1"/>
  <c r="H5" i="1"/>
  <c r="H19" i="1"/>
  <c r="I28" i="1"/>
  <c r="B10" i="1"/>
  <c r="D5" i="1"/>
  <c r="H12" i="1"/>
  <c r="I19" i="1"/>
  <c r="O19" i="1"/>
  <c r="I46" i="1"/>
  <c r="O46" i="1"/>
  <c r="D19" i="1"/>
  <c r="I48" i="1"/>
  <c r="D46" i="1"/>
  <c r="D8" i="1"/>
  <c r="B48" i="1"/>
  <c r="B12" i="1"/>
  <c r="H10" i="1"/>
  <c r="I8" i="1"/>
  <c r="O48" i="1"/>
  <c r="O5" i="1"/>
  <c r="O4" i="1"/>
  <c r="O28" i="1"/>
  <c r="I29" i="1"/>
  <c r="B47" i="1"/>
  <c r="O13" i="1"/>
  <c r="H47" i="1"/>
  <c r="I32" i="1"/>
  <c r="D16" i="1"/>
  <c r="O47" i="1"/>
  <c r="H37" i="1"/>
  <c r="B3" i="1"/>
  <c r="H29" i="1"/>
  <c r="H26" i="1"/>
  <c r="O26" i="1"/>
  <c r="B30" i="1"/>
  <c r="H3" i="1"/>
  <c r="B29" i="1"/>
  <c r="I44" i="1"/>
  <c r="I16" i="1"/>
  <c r="H44" i="1"/>
  <c r="O32" i="1"/>
  <c r="O44" i="1"/>
  <c r="D32" i="1"/>
  <c r="O30" i="1"/>
  <c r="D47" i="1"/>
  <c r="O29" i="1"/>
  <c r="I47" i="1"/>
  <c r="D26" i="1"/>
  <c r="H32" i="1"/>
  <c r="I13" i="1"/>
  <c r="I3" i="1"/>
  <c r="D30" i="1"/>
  <c r="H16" i="1"/>
  <c r="H30" i="1"/>
  <c r="B44" i="1"/>
  <c r="B26" i="1"/>
  <c r="H13" i="1"/>
  <c r="O3" i="1"/>
  <c r="B16" i="1"/>
  <c r="I37" i="1"/>
  <c r="D13" i="1"/>
  <c r="B37" i="1"/>
  <c r="I26" i="1"/>
  <c r="B32" i="1"/>
  <c r="D29" i="1"/>
  <c r="O37" i="1"/>
  <c r="D3" i="1"/>
  <c r="I30" i="1"/>
  <c r="D37" i="1"/>
  <c r="D44" i="1"/>
  <c r="B13" i="1"/>
  <c r="O16" i="1"/>
  <c r="H14" i="1"/>
  <c r="O11" i="1"/>
  <c r="I17" i="1"/>
  <c r="I24" i="1"/>
  <c r="O24" i="1"/>
  <c r="H35" i="1"/>
  <c r="I11" i="1"/>
  <c r="H31" i="1"/>
  <c r="I31" i="1"/>
  <c r="B31" i="1"/>
  <c r="H40" i="1"/>
  <c r="B6" i="1"/>
  <c r="D31" i="1"/>
  <c r="D40" i="1"/>
  <c r="B25" i="1"/>
  <c r="B11" i="1"/>
  <c r="I6" i="1"/>
  <c r="O40" i="1"/>
  <c r="D23" i="1"/>
  <c r="B17" i="1"/>
  <c r="D17" i="1"/>
  <c r="D25" i="1"/>
  <c r="O25" i="1"/>
  <c r="O31" i="1"/>
  <c r="B23" i="1"/>
  <c r="I35" i="1"/>
  <c r="D24" i="1"/>
  <c r="D14" i="1"/>
  <c r="O17" i="1"/>
  <c r="B14" i="1"/>
  <c r="O6" i="1"/>
  <c r="B40" i="1"/>
  <c r="I25" i="1"/>
  <c r="I23" i="1"/>
  <c r="B24" i="1"/>
  <c r="B35" i="1"/>
  <c r="D35" i="1"/>
  <c r="O35" i="1"/>
  <c r="H24" i="1"/>
  <c r="H25" i="1"/>
  <c r="H11" i="1"/>
  <c r="O14" i="1"/>
  <c r="D6" i="1"/>
  <c r="O23" i="1"/>
  <c r="H17" i="1"/>
  <c r="H6" i="1"/>
  <c r="D11" i="1"/>
  <c r="H23" i="1"/>
  <c r="I40" i="1"/>
  <c r="I14" i="1"/>
  <c r="O33" i="1"/>
  <c r="I15" i="1"/>
  <c r="B9" i="1"/>
  <c r="I42" i="1"/>
  <c r="D39" i="1"/>
  <c r="O27" i="1"/>
  <c r="H45" i="1"/>
  <c r="I33" i="1"/>
  <c r="H27" i="1"/>
  <c r="I27" i="1"/>
  <c r="B20" i="1"/>
  <c r="O45" i="1"/>
  <c r="O39" i="1"/>
  <c r="O18" i="1"/>
  <c r="H15" i="1"/>
  <c r="B42" i="1"/>
  <c r="H20" i="1"/>
  <c r="B18" i="1"/>
  <c r="H39" i="1"/>
  <c r="I45" i="1"/>
  <c r="B39" i="1"/>
  <c r="B45" i="1"/>
  <c r="O15" i="1"/>
  <c r="H9" i="1"/>
  <c r="H33" i="1"/>
  <c r="D15" i="1"/>
  <c r="I7" i="1"/>
  <c r="D42" i="1"/>
  <c r="B33" i="1"/>
  <c r="D18" i="1"/>
  <c r="I39" i="1"/>
  <c r="O7" i="1"/>
  <c r="D9" i="1"/>
  <c r="D27" i="1"/>
  <c r="D7" i="1"/>
  <c r="H7" i="1"/>
  <c r="B7" i="1"/>
  <c r="B15" i="1"/>
  <c r="I9" i="1"/>
  <c r="D20" i="1"/>
  <c r="O20" i="1"/>
  <c r="I18" i="1"/>
  <c r="O9" i="1"/>
  <c r="H42" i="1"/>
  <c r="I20" i="1"/>
  <c r="O42" i="1"/>
  <c r="D45" i="1"/>
  <c r="D33" i="1"/>
  <c r="H18" i="1"/>
  <c r="B27" i="1"/>
  <c r="I38" i="1"/>
  <c r="H34" i="1"/>
  <c r="B34" i="1"/>
  <c r="I43" i="1"/>
  <c r="H38" i="1"/>
  <c r="I22" i="1"/>
  <c r="H36" i="1"/>
  <c r="D22" i="1"/>
  <c r="D34" i="1"/>
  <c r="B38" i="1"/>
  <c r="O38" i="1"/>
  <c r="O43" i="1"/>
  <c r="H43" i="1"/>
  <c r="I34" i="1"/>
  <c r="D38" i="1"/>
  <c r="B36" i="1"/>
  <c r="I36" i="1"/>
  <c r="D36" i="1"/>
  <c r="D43" i="1"/>
  <c r="O22" i="1"/>
  <c r="O36" i="1"/>
  <c r="H22" i="1"/>
  <c r="B43" i="1"/>
  <c r="O34" i="1"/>
  <c r="B22" i="1"/>
  <c r="I21" i="1"/>
  <c r="D21" i="1"/>
  <c r="O21" i="1"/>
  <c r="D41" i="1"/>
  <c r="B21" i="1"/>
  <c r="I41" i="1"/>
  <c r="O41" i="1"/>
  <c r="H41" i="1"/>
  <c r="H21" i="1"/>
  <c r="B41" i="1"/>
  <c r="F48" i="1"/>
  <c r="G48" i="1" a="1"/>
  <c r="G48" i="1" s="1"/>
  <c r="C48" i="1"/>
  <c r="G47" i="1" a="1"/>
  <c r="G47" i="1" s="1"/>
  <c r="F47" i="1"/>
  <c r="C47" i="1"/>
  <c r="G46" i="1" a="1"/>
  <c r="G46" i="1" s="1"/>
  <c r="F46" i="1"/>
  <c r="C46" i="1"/>
  <c r="G45" i="1" a="1"/>
  <c r="G45" i="1" s="1"/>
  <c r="F45" i="1"/>
  <c r="C45" i="1"/>
  <c r="G44" i="1" a="1"/>
  <c r="G44" i="1" s="1"/>
  <c r="F44" i="1"/>
  <c r="C44" i="1"/>
  <c r="G43" i="1" a="1"/>
  <c r="G43" i="1" s="1"/>
  <c r="F43" i="1"/>
  <c r="C43" i="1"/>
  <c r="G42" i="1" a="1"/>
  <c r="G42" i="1" s="1"/>
  <c r="F42" i="1"/>
  <c r="C42" i="1"/>
  <c r="G41" i="1" a="1"/>
  <c r="G41" i="1" s="1"/>
  <c r="F41" i="1"/>
  <c r="L41" i="1" s="1"/>
  <c r="C41" i="1"/>
  <c r="G40" i="1" a="1"/>
  <c r="G40" i="1" s="1"/>
  <c r="F40" i="1"/>
  <c r="L40" i="1" s="1"/>
  <c r="C40" i="1"/>
  <c r="G39" i="1" a="1"/>
  <c r="G39" i="1" s="1"/>
  <c r="F39" i="1"/>
  <c r="C39" i="1"/>
  <c r="G38" i="1" a="1"/>
  <c r="G38" i="1" s="1"/>
  <c r="F38" i="1"/>
  <c r="C38" i="1"/>
  <c r="G37" i="1" a="1"/>
  <c r="G37" i="1" s="1"/>
  <c r="F37" i="1"/>
  <c r="C37" i="1"/>
  <c r="G36" i="1" a="1"/>
  <c r="G36" i="1" s="1"/>
  <c r="F36" i="1"/>
  <c r="C36" i="1"/>
  <c r="G35" i="1" a="1"/>
  <c r="G35" i="1" s="1"/>
  <c r="F35" i="1"/>
  <c r="C35" i="1"/>
  <c r="G34" i="1" a="1"/>
  <c r="G34" i="1" s="1"/>
  <c r="F34" i="1"/>
  <c r="C34" i="1"/>
  <c r="G33" i="1" a="1"/>
  <c r="G33" i="1" s="1"/>
  <c r="F33" i="1"/>
  <c r="C33" i="1"/>
  <c r="G32" i="1" a="1"/>
  <c r="G32" i="1" s="1"/>
  <c r="F32" i="1"/>
  <c r="C32" i="1"/>
  <c r="G31" i="1" a="1"/>
  <c r="G31" i="1" s="1"/>
  <c r="F31" i="1"/>
  <c r="C31" i="1"/>
  <c r="G30" i="1" a="1"/>
  <c r="G30" i="1" s="1"/>
  <c r="F30" i="1"/>
  <c r="C30" i="1"/>
  <c r="G29" i="1" a="1"/>
  <c r="G29" i="1" s="1"/>
  <c r="F29" i="1"/>
  <c r="C29" i="1"/>
  <c r="G28" i="1" a="1"/>
  <c r="G28" i="1" s="1"/>
  <c r="F28" i="1"/>
  <c r="C28" i="1"/>
  <c r="G27" i="1" a="1"/>
  <c r="G27" i="1" s="1"/>
  <c r="F27" i="1"/>
  <c r="C27" i="1"/>
  <c r="G26" i="1" a="1"/>
  <c r="G26" i="1" s="1"/>
  <c r="F26" i="1"/>
  <c r="C26" i="1"/>
  <c r="G25" i="1" a="1"/>
  <c r="G25" i="1" s="1"/>
  <c r="F25" i="1"/>
  <c r="C25" i="1"/>
  <c r="G24" i="1" a="1"/>
  <c r="G24" i="1" s="1"/>
  <c r="F24" i="1"/>
  <c r="C24" i="1"/>
  <c r="G23" i="1" a="1"/>
  <c r="G23" i="1" s="1"/>
  <c r="F23" i="1"/>
  <c r="C23" i="1"/>
  <c r="G22" i="1" a="1"/>
  <c r="G22" i="1" s="1"/>
  <c r="F22" i="1"/>
  <c r="C22" i="1"/>
  <c r="G21" i="1" a="1"/>
  <c r="G21" i="1" s="1"/>
  <c r="F21" i="1"/>
  <c r="C21" i="1"/>
  <c r="G20" i="1" a="1"/>
  <c r="G20" i="1" s="1"/>
  <c r="F20" i="1"/>
  <c r="C20" i="1"/>
  <c r="G19" i="1" a="1"/>
  <c r="G19" i="1" s="1"/>
  <c r="F19" i="1"/>
  <c r="C19" i="1"/>
  <c r="F18" i="1"/>
  <c r="L18" i="1" s="1"/>
  <c r="G18" i="1" a="1"/>
  <c r="G18" i="1" s="1"/>
  <c r="C18" i="1"/>
  <c r="G17" i="1" a="1"/>
  <c r="G17" i="1" s="1"/>
  <c r="F17" i="1"/>
  <c r="C17" i="1"/>
  <c r="G16" i="1" a="1"/>
  <c r="G16" i="1" s="1"/>
  <c r="F16" i="1"/>
  <c r="C16" i="1"/>
  <c r="G15" i="1" a="1"/>
  <c r="G15" i="1" s="1"/>
  <c r="F15" i="1"/>
  <c r="C15" i="1"/>
  <c r="G14" i="1" a="1"/>
  <c r="G14" i="1" s="1"/>
  <c r="F14" i="1"/>
  <c r="C14" i="1"/>
  <c r="G13" i="1" a="1"/>
  <c r="G13" i="1" s="1"/>
  <c r="F13" i="1"/>
  <c r="C13" i="1"/>
  <c r="G12" i="1" a="1"/>
  <c r="G12" i="1" s="1"/>
  <c r="F12" i="1"/>
  <c r="C12" i="1"/>
  <c r="G11" i="1" a="1"/>
  <c r="G11" i="1" s="1"/>
  <c r="F11" i="1"/>
  <c r="C11" i="1"/>
  <c r="G10" i="1" a="1"/>
  <c r="G10" i="1" s="1"/>
  <c r="F10" i="1"/>
  <c r="C10" i="1"/>
  <c r="G9" i="1" a="1"/>
  <c r="G9" i="1" s="1"/>
  <c r="F9" i="1"/>
  <c r="L9" i="1" s="1"/>
  <c r="C9" i="1"/>
  <c r="G8" i="1" a="1"/>
  <c r="G8" i="1" s="1"/>
  <c r="F8" i="1"/>
  <c r="C8" i="1"/>
  <c r="G7" i="1" a="1"/>
  <c r="G7" i="1" s="1"/>
  <c r="F7" i="1"/>
  <c r="C7" i="1"/>
  <c r="G6" i="1" a="1"/>
  <c r="G6" i="1" s="1"/>
  <c r="F6" i="1"/>
  <c r="C6" i="1"/>
  <c r="G5" i="1" a="1"/>
  <c r="G5" i="1" s="1"/>
  <c r="F5" i="1"/>
  <c r="C5" i="1"/>
  <c r="G4" i="1" a="1"/>
  <c r="G4" i="1" s="1"/>
  <c r="F4" i="1"/>
  <c r="C4" i="1"/>
  <c r="G3" i="1" a="1"/>
  <c r="G3" i="1" s="1"/>
  <c r="F3" i="1"/>
  <c r="C3" i="1"/>
  <c r="A2" i="1"/>
  <c r="D2" i="1" a="1"/>
  <c r="B2" i="1" a="1"/>
  <c r="O2" i="1" a="1"/>
  <c r="H2" i="1" a="1"/>
  <c r="I2" i="1" a="1"/>
  <c r="E2" i="1"/>
  <c r="L14" i="1" l="1"/>
  <c r="L22" i="1"/>
  <c r="L31" i="1"/>
  <c r="L36" i="1"/>
  <c r="I2" i="1"/>
  <c r="H2" i="1"/>
  <c r="O2" i="1"/>
  <c r="B2" i="1"/>
  <c r="D2" i="1"/>
  <c r="J26" i="1"/>
  <c r="J22" i="1"/>
  <c r="J5" i="1"/>
  <c r="J6" i="1"/>
  <c r="L44" i="1"/>
  <c r="J4" i="1"/>
  <c r="J16" i="1"/>
  <c r="J38" i="1"/>
  <c r="J28" i="1"/>
  <c r="J44" i="1"/>
  <c r="J25" i="1"/>
  <c r="J47" i="1"/>
  <c r="J27" i="1"/>
  <c r="J40" i="1"/>
  <c r="N27" i="1"/>
  <c r="K27" i="1"/>
  <c r="J9" i="1"/>
  <c r="J31" i="1"/>
  <c r="L5" i="1"/>
  <c r="N14" i="1"/>
  <c r="K14" i="1"/>
  <c r="L27" i="1"/>
  <c r="N36" i="1"/>
  <c r="K36" i="1"/>
  <c r="N31" i="1"/>
  <c r="K31" i="1"/>
  <c r="N6" i="1"/>
  <c r="K6" i="1"/>
  <c r="L19" i="1"/>
  <c r="N28" i="1"/>
  <c r="K28" i="1"/>
  <c r="J46" i="1"/>
  <c r="N23" i="1"/>
  <c r="K23" i="1"/>
  <c r="N45" i="1"/>
  <c r="K45" i="1"/>
  <c r="G2" i="1" a="1"/>
  <c r="G2" i="1" s="1"/>
  <c r="F2" i="1"/>
  <c r="C2" i="1"/>
  <c r="J32" i="1"/>
  <c r="L6" i="1"/>
  <c r="N15" i="1"/>
  <c r="K15" i="1"/>
  <c r="L28" i="1"/>
  <c r="N37" i="1"/>
  <c r="K37" i="1"/>
  <c r="L10" i="1"/>
  <c r="N19" i="1"/>
  <c r="K19" i="1"/>
  <c r="L32" i="1"/>
  <c r="N41" i="1"/>
  <c r="K41" i="1"/>
  <c r="J11" i="1"/>
  <c r="J18" i="1"/>
  <c r="J33" i="1"/>
  <c r="L15" i="1"/>
  <c r="N24" i="1"/>
  <c r="K24" i="1"/>
  <c r="L37" i="1"/>
  <c r="N46" i="1"/>
  <c r="K46" i="1"/>
  <c r="N5" i="1"/>
  <c r="K5" i="1"/>
  <c r="J39" i="1"/>
  <c r="L45" i="1"/>
  <c r="N11" i="1"/>
  <c r="K11" i="1"/>
  <c r="L24" i="1"/>
  <c r="N33" i="1"/>
  <c r="K33" i="1"/>
  <c r="L46" i="1"/>
  <c r="J3" i="1"/>
  <c r="J19" i="1"/>
  <c r="J41" i="1"/>
  <c r="J48" i="1"/>
  <c r="L11" i="1"/>
  <c r="N20" i="1"/>
  <c r="K20" i="1"/>
  <c r="L33" i="1"/>
  <c r="N42" i="1"/>
  <c r="K42" i="1"/>
  <c r="J12" i="1"/>
  <c r="J34" i="1"/>
  <c r="N7" i="1"/>
  <c r="K7" i="1"/>
  <c r="L20" i="1"/>
  <c r="N29" i="1"/>
  <c r="K29" i="1"/>
  <c r="L42" i="1"/>
  <c r="L23" i="1"/>
  <c r="L7" i="1"/>
  <c r="N16" i="1"/>
  <c r="K16" i="1"/>
  <c r="L29" i="1"/>
  <c r="N38" i="1"/>
  <c r="K38" i="1"/>
  <c r="J8" i="1"/>
  <c r="J23" i="1"/>
  <c r="N18" i="1"/>
  <c r="K18" i="1"/>
  <c r="N40" i="1"/>
  <c r="K40" i="1"/>
  <c r="J17" i="1"/>
  <c r="J20" i="1"/>
  <c r="J42" i="1"/>
  <c r="N3" i="1"/>
  <c r="K3" i="1"/>
  <c r="L16" i="1"/>
  <c r="N25" i="1"/>
  <c r="K25" i="1"/>
  <c r="L38" i="1"/>
  <c r="N47" i="1"/>
  <c r="K47" i="1"/>
  <c r="J13" i="1"/>
  <c r="J35" i="1"/>
  <c r="L3" i="1"/>
  <c r="N12" i="1"/>
  <c r="K12" i="1"/>
  <c r="L25" i="1"/>
  <c r="N34" i="1"/>
  <c r="K34" i="1"/>
  <c r="L47" i="1"/>
  <c r="J45" i="1"/>
  <c r="J24" i="1"/>
  <c r="N10" i="1"/>
  <c r="K10" i="1"/>
  <c r="L12" i="1"/>
  <c r="N21" i="1"/>
  <c r="K21" i="1"/>
  <c r="L34" i="1"/>
  <c r="N43" i="1"/>
  <c r="K43" i="1"/>
  <c r="N32" i="1"/>
  <c r="K32" i="1"/>
  <c r="J21" i="1"/>
  <c r="J43" i="1"/>
  <c r="N8" i="1"/>
  <c r="K8" i="1"/>
  <c r="L21" i="1"/>
  <c r="N30" i="1"/>
  <c r="K30" i="1"/>
  <c r="L43" i="1"/>
  <c r="J14" i="1"/>
  <c r="J36" i="1"/>
  <c r="L8" i="1"/>
  <c r="N17" i="1"/>
  <c r="K17" i="1"/>
  <c r="L30" i="1"/>
  <c r="N39" i="1"/>
  <c r="K39" i="1"/>
  <c r="J10" i="1"/>
  <c r="J7" i="1"/>
  <c r="J29" i="1"/>
  <c r="N4" i="1"/>
  <c r="K4" i="1"/>
  <c r="L17" i="1"/>
  <c r="N26" i="1"/>
  <c r="K26" i="1"/>
  <c r="L39" i="1"/>
  <c r="N48" i="1"/>
  <c r="K48" i="1"/>
  <c r="J30" i="1"/>
  <c r="N9" i="1"/>
  <c r="K9" i="1"/>
  <c r="L4" i="1"/>
  <c r="N13" i="1"/>
  <c r="K13" i="1"/>
  <c r="L26" i="1"/>
  <c r="N35" i="1"/>
  <c r="K35" i="1"/>
  <c r="L48" i="1"/>
  <c r="J15" i="1"/>
  <c r="J37" i="1"/>
  <c r="L13" i="1"/>
  <c r="N22" i="1"/>
  <c r="K22" i="1"/>
  <c r="L35" i="1"/>
  <c r="N44" i="1"/>
  <c r="K44" i="1"/>
  <c r="J2" i="1" l="1"/>
  <c r="N2" i="1"/>
  <c r="K2" i="1"/>
  <c r="M36" i="1" s="1"/>
  <c r="L2" i="1"/>
  <c r="M23" i="1" l="1"/>
  <c r="M30" i="1"/>
  <c r="M43" i="1"/>
  <c r="M20" i="1"/>
  <c r="M21" i="1"/>
  <c r="M12" i="1"/>
  <c r="M34" i="1"/>
  <c r="M46" i="1"/>
  <c r="M44" i="1"/>
  <c r="M42" i="1"/>
  <c r="M37" i="1"/>
  <c r="M39" i="1"/>
  <c r="M40" i="1"/>
  <c r="M33" i="1"/>
  <c r="M28" i="1"/>
  <c r="M7" i="1"/>
  <c r="M11" i="1"/>
  <c r="M10" i="1"/>
  <c r="M45" i="1"/>
  <c r="M29" i="1"/>
  <c r="M41" i="1"/>
  <c r="M15" i="1"/>
  <c r="M26" i="1"/>
  <c r="M19" i="1"/>
  <c r="M47" i="1"/>
  <c r="M14" i="1"/>
  <c r="M35" i="1"/>
  <c r="M22" i="1"/>
  <c r="M5" i="1"/>
  <c r="M2" i="1"/>
  <c r="M8" i="1"/>
  <c r="M18" i="1"/>
  <c r="M3" i="1"/>
  <c r="M4" i="1"/>
  <c r="M6" i="1"/>
  <c r="M32" i="1"/>
  <c r="M27" i="1"/>
  <c r="M24" i="1"/>
  <c r="M25" i="1"/>
  <c r="M48" i="1"/>
  <c r="M13" i="1"/>
  <c r="M17" i="1"/>
  <c r="M9" i="1"/>
  <c r="M38" i="1"/>
  <c r="M31" i="1"/>
  <c r="M16" i="1"/>
  <c r="A2" i="6" a="1"/>
  <c r="C14" i="8"/>
  <c r="C12" i="8"/>
  <c r="E10" i="8"/>
  <c r="C10" i="8"/>
  <c r="E9" i="8"/>
  <c r="C9" i="8"/>
  <c r="C6" i="8"/>
  <c r="C15" i="8" s="1"/>
  <c r="B27" i="6"/>
  <c r="B50" i="6"/>
  <c r="B29" i="6"/>
  <c r="B45" i="6"/>
  <c r="B52" i="6"/>
  <c r="B43" i="6"/>
  <c r="B47" i="6"/>
  <c r="B42" i="6"/>
  <c r="B8" i="6"/>
  <c r="B51" i="6"/>
  <c r="B54" i="6"/>
  <c r="B36" i="6"/>
  <c r="B26" i="6"/>
  <c r="B12" i="6"/>
  <c r="B48" i="6"/>
  <c r="B22" i="6"/>
  <c r="B19" i="6"/>
  <c r="B34" i="6"/>
  <c r="B23" i="6"/>
  <c r="B28" i="6"/>
  <c r="B25" i="6"/>
  <c r="B9" i="6"/>
  <c r="B7" i="6"/>
  <c r="B32" i="6"/>
  <c r="B10" i="6"/>
  <c r="B17" i="6"/>
  <c r="B40" i="6"/>
  <c r="B33" i="6"/>
  <c r="B21" i="6"/>
  <c r="B31" i="6"/>
  <c r="B6" i="6"/>
  <c r="B18" i="6"/>
  <c r="B49" i="6"/>
  <c r="B14" i="6"/>
  <c r="B44" i="6"/>
  <c r="B30" i="6"/>
  <c r="B56" i="6"/>
  <c r="B46" i="6"/>
  <c r="B20" i="6"/>
  <c r="B35" i="6"/>
  <c r="B3" i="6"/>
  <c r="B38" i="6"/>
  <c r="B39" i="6"/>
  <c r="B16" i="6"/>
  <c r="B41" i="6"/>
  <c r="B53" i="6"/>
  <c r="B55" i="6"/>
  <c r="B24" i="6"/>
  <c r="B5" i="6"/>
  <c r="B4" i="6"/>
  <c r="B15" i="6"/>
  <c r="B13" i="6"/>
  <c r="B57" i="6"/>
  <c r="B37" i="6"/>
  <c r="B11" i="6"/>
  <c r="E11" i="8" l="1"/>
  <c r="C11" i="8"/>
  <c r="I57" i="6"/>
  <c r="H57" i="6"/>
  <c r="F57" i="6"/>
  <c r="G57" i="6"/>
  <c r="C57" i="6"/>
  <c r="H56" i="6"/>
  <c r="F56" i="6"/>
  <c r="G56" i="6"/>
  <c r="I56" i="6"/>
  <c r="C56" i="6"/>
  <c r="I55" i="6"/>
  <c r="G55" i="6"/>
  <c r="F55" i="6"/>
  <c r="H55" i="6"/>
  <c r="C55" i="6"/>
  <c r="I54" i="6"/>
  <c r="H54" i="6"/>
  <c r="F54" i="6"/>
  <c r="G54" i="6"/>
  <c r="C54" i="6"/>
  <c r="I53" i="6"/>
  <c r="H53" i="6"/>
  <c r="F53" i="6"/>
  <c r="G53" i="6"/>
  <c r="C53" i="6"/>
  <c r="G52" i="6"/>
  <c r="I52" i="6"/>
  <c r="H52" i="6"/>
  <c r="F52" i="6"/>
  <c r="C52" i="6"/>
  <c r="I51" i="6"/>
  <c r="H51" i="6"/>
  <c r="G51" i="6"/>
  <c r="F51" i="6"/>
  <c r="C51" i="6"/>
  <c r="I50" i="6"/>
  <c r="H50" i="6"/>
  <c r="F50" i="6"/>
  <c r="G50" i="6"/>
  <c r="C50" i="6"/>
  <c r="I49" i="6"/>
  <c r="H49" i="6"/>
  <c r="F49" i="6"/>
  <c r="G49" i="6"/>
  <c r="C49" i="6"/>
  <c r="I48" i="6"/>
  <c r="H48" i="6"/>
  <c r="F48" i="6"/>
  <c r="G48" i="6"/>
  <c r="C48" i="6"/>
  <c r="I47" i="6"/>
  <c r="H47" i="6"/>
  <c r="F47" i="6"/>
  <c r="G47" i="6"/>
  <c r="C47" i="6"/>
  <c r="G46" i="6"/>
  <c r="I46" i="6"/>
  <c r="H46" i="6"/>
  <c r="F46" i="6"/>
  <c r="C46" i="6"/>
  <c r="H45" i="6"/>
  <c r="F45" i="6"/>
  <c r="I45" i="6"/>
  <c r="G45" i="6"/>
  <c r="C45" i="6"/>
  <c r="I44" i="6"/>
  <c r="H44" i="6"/>
  <c r="G44" i="6"/>
  <c r="F44" i="6"/>
  <c r="C44" i="6"/>
  <c r="I43" i="6"/>
  <c r="G43" i="6"/>
  <c r="F43" i="6"/>
  <c r="H43" i="6"/>
  <c r="C43" i="6"/>
  <c r="H42" i="6"/>
  <c r="F42" i="6"/>
  <c r="I42" i="6"/>
  <c r="G42" i="6"/>
  <c r="C42" i="6"/>
  <c r="I41" i="6"/>
  <c r="H41" i="6"/>
  <c r="G41" i="6"/>
  <c r="F41" i="6"/>
  <c r="C41" i="6"/>
  <c r="H40" i="6"/>
  <c r="I40" i="6"/>
  <c r="G40" i="6"/>
  <c r="F40" i="6"/>
  <c r="C40" i="6"/>
  <c r="H39" i="6"/>
  <c r="I39" i="6"/>
  <c r="G39" i="6"/>
  <c r="F39" i="6"/>
  <c r="C39" i="6"/>
  <c r="I38" i="6"/>
  <c r="H38" i="6"/>
  <c r="F38" i="6"/>
  <c r="G38" i="6"/>
  <c r="C38" i="6"/>
  <c r="I37" i="6"/>
  <c r="H37" i="6"/>
  <c r="G37" i="6"/>
  <c r="F37" i="6"/>
  <c r="C37" i="6"/>
  <c r="I36" i="6"/>
  <c r="H36" i="6"/>
  <c r="G36" i="6"/>
  <c r="F36" i="6"/>
  <c r="C36" i="6"/>
  <c r="I35" i="6"/>
  <c r="H35" i="6"/>
  <c r="F35" i="6"/>
  <c r="G35" i="6"/>
  <c r="C35" i="6"/>
  <c r="I34" i="6"/>
  <c r="H34" i="6"/>
  <c r="G34" i="6"/>
  <c r="F34" i="6"/>
  <c r="C34" i="6"/>
  <c r="I33" i="6"/>
  <c r="H33" i="6"/>
  <c r="G33" i="6"/>
  <c r="F33" i="6"/>
  <c r="C33" i="6"/>
  <c r="I32" i="6"/>
  <c r="G32" i="6"/>
  <c r="H32" i="6"/>
  <c r="F32" i="6"/>
  <c r="C32" i="6"/>
  <c r="I31" i="6"/>
  <c r="H31" i="6"/>
  <c r="F31" i="6"/>
  <c r="C31" i="6"/>
  <c r="G31" i="6"/>
  <c r="I30" i="6"/>
  <c r="H30" i="6"/>
  <c r="F30" i="6"/>
  <c r="G30" i="6"/>
  <c r="C30" i="6"/>
  <c r="I29" i="6"/>
  <c r="G29" i="6"/>
  <c r="H29" i="6"/>
  <c r="F29" i="6"/>
  <c r="C29" i="6"/>
  <c r="I28" i="6"/>
  <c r="H28" i="6"/>
  <c r="F28" i="6"/>
  <c r="G28" i="6"/>
  <c r="C28" i="6"/>
  <c r="I27" i="6"/>
  <c r="H27" i="6"/>
  <c r="F27" i="6"/>
  <c r="G27" i="6"/>
  <c r="C27" i="6"/>
  <c r="I26" i="6"/>
  <c r="H26" i="6"/>
  <c r="F26" i="6"/>
  <c r="G26" i="6"/>
  <c r="C26" i="6"/>
  <c r="H25" i="6"/>
  <c r="F25" i="6"/>
  <c r="I25" i="6"/>
  <c r="G25" i="6"/>
  <c r="C25" i="6"/>
  <c r="I24" i="6"/>
  <c r="H24" i="6"/>
  <c r="F24" i="6"/>
  <c r="G24" i="6"/>
  <c r="C24" i="6"/>
  <c r="I23" i="6"/>
  <c r="G23" i="6"/>
  <c r="F23" i="6"/>
  <c r="H23" i="6"/>
  <c r="C23" i="6"/>
  <c r="I22" i="6"/>
  <c r="H22" i="6"/>
  <c r="F22" i="6"/>
  <c r="G22" i="6"/>
  <c r="C22" i="6"/>
  <c r="I21" i="6"/>
  <c r="H21" i="6"/>
  <c r="F21" i="6"/>
  <c r="G21" i="6"/>
  <c r="C21" i="6"/>
  <c r="I20" i="6"/>
  <c r="H20" i="6"/>
  <c r="F20" i="6"/>
  <c r="G20" i="6"/>
  <c r="C20" i="6"/>
  <c r="I19" i="6"/>
  <c r="H19" i="6"/>
  <c r="G19" i="6"/>
  <c r="F19" i="6"/>
  <c r="C19" i="6"/>
  <c r="I18" i="6"/>
  <c r="H18" i="6"/>
  <c r="G18" i="6"/>
  <c r="F18" i="6"/>
  <c r="C18" i="6"/>
  <c r="I17" i="6"/>
  <c r="H17" i="6"/>
  <c r="G17" i="6"/>
  <c r="F17" i="6"/>
  <c r="C17" i="6"/>
  <c r="I16" i="6"/>
  <c r="H16" i="6"/>
  <c r="G16" i="6"/>
  <c r="F16" i="6"/>
  <c r="C16" i="6"/>
  <c r="I15" i="6"/>
  <c r="H15" i="6"/>
  <c r="G15" i="6"/>
  <c r="F15" i="6"/>
  <c r="C15" i="6"/>
  <c r="I14" i="6"/>
  <c r="H14" i="6"/>
  <c r="G14" i="6"/>
  <c r="F14" i="6"/>
  <c r="C14" i="6"/>
  <c r="H13" i="6"/>
  <c r="I13" i="6"/>
  <c r="G13" i="6"/>
  <c r="F13" i="6"/>
  <c r="C13" i="6"/>
  <c r="I12" i="6"/>
  <c r="H12" i="6"/>
  <c r="F12" i="6"/>
  <c r="G12" i="6"/>
  <c r="C12" i="6"/>
  <c r="I11" i="6"/>
  <c r="H11" i="6"/>
  <c r="G11" i="6"/>
  <c r="F11" i="6"/>
  <c r="C11" i="6"/>
  <c r="I10" i="6"/>
  <c r="H10" i="6"/>
  <c r="G10" i="6"/>
  <c r="F10" i="6"/>
  <c r="D10" i="6" s="1" a="1"/>
  <c r="D10" i="6" s="1"/>
  <c r="J10" i="6" s="1"/>
  <c r="C10" i="6"/>
  <c r="I9" i="6"/>
  <c r="H9" i="6"/>
  <c r="G9" i="6"/>
  <c r="F9" i="6"/>
  <c r="C9" i="6"/>
  <c r="I8" i="6"/>
  <c r="H8" i="6"/>
  <c r="G8" i="6"/>
  <c r="F8" i="6"/>
  <c r="C8" i="6"/>
  <c r="I7" i="6"/>
  <c r="H7" i="6"/>
  <c r="G7" i="6"/>
  <c r="C7" i="6"/>
  <c r="F7" i="6"/>
  <c r="D7" i="6" s="1" a="1"/>
  <c r="D7" i="6" s="1"/>
  <c r="J7" i="6" s="1"/>
  <c r="I6" i="6"/>
  <c r="H6" i="6"/>
  <c r="G6" i="6"/>
  <c r="F6" i="6"/>
  <c r="C6" i="6"/>
  <c r="I5" i="6"/>
  <c r="H5" i="6"/>
  <c r="G5" i="6"/>
  <c r="F5" i="6"/>
  <c r="C5" i="6"/>
  <c r="H4" i="6"/>
  <c r="I4" i="6"/>
  <c r="G4" i="6"/>
  <c r="F4" i="6"/>
  <c r="C4" i="6"/>
  <c r="H3" i="6"/>
  <c r="C3" i="6"/>
  <c r="I3" i="6"/>
  <c r="G3" i="6"/>
  <c r="F3" i="6"/>
  <c r="C13" i="8"/>
  <c r="A2" i="6"/>
  <c r="D57" i="6" a="1"/>
  <c r="D34" i="6" a="1"/>
  <c r="D17" i="6" a="1"/>
  <c r="D9" i="6" a="1"/>
  <c r="D28" i="6" a="1"/>
  <c r="D32" i="6" a="1"/>
  <c r="D25" i="6" a="1"/>
  <c r="D23" i="6" a="1"/>
  <c r="D49" i="6" a="1"/>
  <c r="D36" i="6" a="1"/>
  <c r="D27" i="6" a="1"/>
  <c r="D14" i="6" a="1"/>
  <c r="D5" i="6" a="1"/>
  <c r="D3" i="6" a="1"/>
  <c r="D20" i="6" a="1"/>
  <c r="D45" i="6" a="1"/>
  <c r="D12" i="6" a="1"/>
  <c r="D16" i="6" a="1"/>
  <c r="D55" i="6" a="1"/>
  <c r="D24" i="6" a="1"/>
  <c r="D54" i="6" a="1"/>
  <c r="D53" i="6" a="1"/>
  <c r="D40" i="6" a="1"/>
  <c r="D31" i="6" a="1"/>
  <c r="D18" i="6" a="1"/>
  <c r="D22" i="6" a="1"/>
  <c r="D35" i="6" a="1"/>
  <c r="D47" i="6" a="1"/>
  <c r="D38" i="6" a="1"/>
  <c r="D44" i="6" a="1"/>
  <c r="D29" i="6" a="1"/>
  <c r="D48" i="6" a="1"/>
  <c r="D26" i="6" a="1"/>
  <c r="D13" i="6" a="1"/>
  <c r="D4" i="6" a="1"/>
  <c r="D52" i="6" a="1"/>
  <c r="D43" i="6" a="1"/>
  <c r="D39" i="6" a="1"/>
  <c r="D30" i="6" a="1"/>
  <c r="D56" i="6" a="1"/>
  <c r="D21" i="6" a="1"/>
  <c r="D8" i="6" a="1"/>
  <c r="D42" i="6" a="1"/>
  <c r="D51" i="6" a="1"/>
  <c r="D11" i="6" a="1"/>
  <c r="D41" i="6" a="1"/>
  <c r="D19" i="6" a="1"/>
  <c r="B2" i="6"/>
  <c r="D33" i="6" a="1"/>
  <c r="D6" i="6" a="1"/>
  <c r="D46" i="6" a="1"/>
  <c r="D50" i="6" a="1"/>
  <c r="D37" i="6" a="1"/>
  <c r="D15" i="6" a="1"/>
  <c r="D57" i="6" l="1"/>
  <c r="D15" i="6"/>
  <c r="D37" i="6"/>
  <c r="D50" i="6"/>
  <c r="J50" i="6" s="1"/>
  <c r="K50" i="6" s="1"/>
  <c r="L50" i="6" s="1"/>
  <c r="D46" i="6"/>
  <c r="J46" i="6" s="1"/>
  <c r="K46" i="6" s="1"/>
  <c r="L46" i="6" s="1"/>
  <c r="D6" i="6"/>
  <c r="J6" i="6" s="1"/>
  <c r="K6" i="6" s="1"/>
  <c r="L6" i="6" s="1"/>
  <c r="D33" i="6"/>
  <c r="D19" i="6"/>
  <c r="J19" i="6" s="1"/>
  <c r="K19" i="6" s="1"/>
  <c r="L19" i="6" s="1"/>
  <c r="D41" i="6"/>
  <c r="J41" i="6" s="1"/>
  <c r="K41" i="6" s="1"/>
  <c r="L41" i="6" s="1"/>
  <c r="D11" i="6"/>
  <c r="J11" i="6" s="1"/>
  <c r="K11" i="6" s="1"/>
  <c r="L11" i="6" s="1"/>
  <c r="D51" i="6"/>
  <c r="J51" i="6" s="1"/>
  <c r="K51" i="6" s="1"/>
  <c r="L51" i="6" s="1"/>
  <c r="D42" i="6"/>
  <c r="J42" i="6" s="1"/>
  <c r="K42" i="6" s="1"/>
  <c r="L42" i="6" s="1"/>
  <c r="D8" i="6"/>
  <c r="D21" i="6"/>
  <c r="J21" i="6" s="1"/>
  <c r="K21" i="6" s="1"/>
  <c r="L21" i="6" s="1"/>
  <c r="D56" i="6"/>
  <c r="J56" i="6" s="1"/>
  <c r="K56" i="6" s="1"/>
  <c r="L56" i="6" s="1"/>
  <c r="D30" i="6"/>
  <c r="J30" i="6" s="1"/>
  <c r="K30" i="6" s="1"/>
  <c r="L30" i="6" s="1"/>
  <c r="D39" i="6"/>
  <c r="J39" i="6" s="1"/>
  <c r="K39" i="6" s="1"/>
  <c r="L39" i="6" s="1"/>
  <c r="D43" i="6"/>
  <c r="J43" i="6" s="1"/>
  <c r="K43" i="6" s="1"/>
  <c r="L43" i="6" s="1"/>
  <c r="M73" i="2" s="1"/>
  <c r="D52" i="6"/>
  <c r="J52" i="6" s="1"/>
  <c r="K52" i="6" s="1"/>
  <c r="L52" i="6" s="1"/>
  <c r="D4" i="6"/>
  <c r="J4" i="6" s="1"/>
  <c r="K4" i="6" s="1"/>
  <c r="L4" i="6" s="1"/>
  <c r="D13" i="6"/>
  <c r="J13" i="6" s="1"/>
  <c r="K13" i="6" s="1"/>
  <c r="L13" i="6" s="1"/>
  <c r="D26" i="6"/>
  <c r="J26" i="6" s="1"/>
  <c r="K26" i="6" s="1"/>
  <c r="L26" i="6" s="1"/>
  <c r="D48" i="6"/>
  <c r="J48" i="6" s="1"/>
  <c r="K48" i="6" s="1"/>
  <c r="L48" i="6" s="1"/>
  <c r="D29" i="6"/>
  <c r="D44" i="6"/>
  <c r="J57" i="6"/>
  <c r="K57" i="6" s="1"/>
  <c r="L57" i="6" s="1"/>
  <c r="M153" i="2" s="1"/>
  <c r="D38" i="6"/>
  <c r="J38" i="6" s="1"/>
  <c r="K38" i="6" s="1"/>
  <c r="L38" i="6" s="1"/>
  <c r="D47" i="6"/>
  <c r="D35" i="6"/>
  <c r="D22" i="6"/>
  <c r="J22" i="6" s="1"/>
  <c r="K22" i="6" s="1"/>
  <c r="L22" i="6" s="1"/>
  <c r="D18" i="6"/>
  <c r="J18" i="6" s="1"/>
  <c r="K18" i="6" s="1"/>
  <c r="L18" i="6" s="1"/>
  <c r="D31" i="6"/>
  <c r="J31" i="6" s="1"/>
  <c r="K31" i="6" s="1"/>
  <c r="L31" i="6" s="1"/>
  <c r="D40" i="6"/>
  <c r="J40" i="6" s="1"/>
  <c r="K40" i="6" s="1"/>
  <c r="L40" i="6" s="1"/>
  <c r="D53" i="6"/>
  <c r="J53" i="6" s="1"/>
  <c r="K53" i="6" s="1"/>
  <c r="L53" i="6" s="1"/>
  <c r="D54" i="6"/>
  <c r="J54" i="6" s="1"/>
  <c r="K54" i="6" s="1"/>
  <c r="L54" i="6" s="1"/>
  <c r="D24" i="6"/>
  <c r="J24" i="6" s="1"/>
  <c r="K24" i="6" s="1"/>
  <c r="L24" i="6" s="1"/>
  <c r="D55" i="6"/>
  <c r="J55" i="6" s="1"/>
  <c r="K55" i="6" s="1"/>
  <c r="L55" i="6" s="1"/>
  <c r="M103" i="2" s="1"/>
  <c r="D16" i="6"/>
  <c r="J16" i="6" s="1"/>
  <c r="K16" i="6" s="1"/>
  <c r="L16" i="6" s="1"/>
  <c r="M16" i="2" s="1"/>
  <c r="D12" i="6"/>
  <c r="J12" i="6" s="1"/>
  <c r="K12" i="6" s="1"/>
  <c r="L12" i="6" s="1"/>
  <c r="M70" i="2" s="1"/>
  <c r="D45" i="6"/>
  <c r="J45" i="6" s="1"/>
  <c r="K45" i="6" s="1"/>
  <c r="L45" i="6" s="1"/>
  <c r="M32" i="2" s="1"/>
  <c r="D20" i="6"/>
  <c r="J20" i="6" s="1"/>
  <c r="K20" i="6" s="1"/>
  <c r="L20" i="6" s="1"/>
  <c r="D3" i="6"/>
  <c r="J3" i="6" s="1"/>
  <c r="K3" i="6" s="1"/>
  <c r="L3" i="6" s="1"/>
  <c r="D5" i="6"/>
  <c r="J5" i="6" s="1"/>
  <c r="K5" i="6" s="1"/>
  <c r="L5" i="6" s="1"/>
  <c r="M46" i="2" s="1"/>
  <c r="D14" i="6"/>
  <c r="J14" i="6" s="1"/>
  <c r="K14" i="6" s="1"/>
  <c r="L14" i="6" s="1"/>
  <c r="D27" i="6"/>
  <c r="J27" i="6" s="1"/>
  <c r="K27" i="6" s="1"/>
  <c r="L27" i="6" s="1"/>
  <c r="M143" i="2" s="1"/>
  <c r="D36" i="6"/>
  <c r="D49" i="6"/>
  <c r="J49" i="6" s="1"/>
  <c r="K49" i="6" s="1"/>
  <c r="L49" i="6" s="1"/>
  <c r="D23" i="6"/>
  <c r="J23" i="6" s="1"/>
  <c r="K23" i="6" s="1"/>
  <c r="L23" i="6" s="1"/>
  <c r="D32" i="6"/>
  <c r="J29" i="6"/>
  <c r="K29" i="6" s="1"/>
  <c r="L29" i="6" s="1"/>
  <c r="J35" i="6"/>
  <c r="K35" i="6" s="1"/>
  <c r="L35" i="6" s="1"/>
  <c r="J47" i="6"/>
  <c r="K47" i="6" s="1"/>
  <c r="L47" i="6" s="1"/>
  <c r="D17" i="6"/>
  <c r="J17" i="6" s="1"/>
  <c r="K17" i="6" s="1"/>
  <c r="L17" i="6" s="1"/>
  <c r="D9" i="6"/>
  <c r="J9" i="6" s="1"/>
  <c r="K9" i="6" s="1"/>
  <c r="L9" i="6" s="1"/>
  <c r="D28" i="6"/>
  <c r="J28" i="6" s="1"/>
  <c r="K28" i="6" s="1"/>
  <c r="L28" i="6" s="1"/>
  <c r="D34" i="6"/>
  <c r="J34" i="6" s="1"/>
  <c r="K34" i="6" s="1"/>
  <c r="L34" i="6" s="1"/>
  <c r="D25" i="6"/>
  <c r="J25" i="6" s="1"/>
  <c r="K25" i="6" s="1"/>
  <c r="L25" i="6" s="1"/>
  <c r="J37" i="6"/>
  <c r="K37" i="6" s="1"/>
  <c r="L37" i="6" s="1"/>
  <c r="J33" i="6"/>
  <c r="K33" i="6" s="1"/>
  <c r="L33" i="6" s="1"/>
  <c r="J8" i="6"/>
  <c r="K8" i="6" s="1"/>
  <c r="L8" i="6" s="1"/>
  <c r="J36" i="6"/>
  <c r="K36" i="6" s="1"/>
  <c r="L36" i="6" s="1"/>
  <c r="K7" i="6"/>
  <c r="L7" i="6" s="1"/>
  <c r="J32" i="6"/>
  <c r="K32" i="6" s="1"/>
  <c r="L32" i="6" s="1"/>
  <c r="J15" i="6"/>
  <c r="K15" i="6" s="1"/>
  <c r="L15" i="6" s="1"/>
  <c r="J44" i="6"/>
  <c r="K44" i="6" s="1"/>
  <c r="L44" i="6" s="1"/>
  <c r="K10" i="6"/>
  <c r="L10" i="6" s="1"/>
  <c r="I2" i="6"/>
  <c r="H2" i="6"/>
  <c r="F2" i="6"/>
  <c r="G2" i="6"/>
  <c r="C2" i="6"/>
  <c r="D2" i="6" a="1"/>
  <c r="M133" i="2" l="1"/>
  <c r="M27" i="2"/>
  <c r="M24" i="2"/>
  <c r="M149" i="2"/>
  <c r="M139" i="2"/>
  <c r="M31" i="2"/>
  <c r="M44" i="2"/>
  <c r="M68" i="2"/>
  <c r="M135" i="2"/>
  <c r="M100" i="2"/>
  <c r="M136" i="2"/>
  <c r="M11" i="2"/>
  <c r="M52" i="2"/>
  <c r="M45" i="2"/>
  <c r="M76" i="2"/>
  <c r="M8" i="2"/>
  <c r="D2" i="6"/>
  <c r="J2" i="6" s="1"/>
  <c r="K2" i="6" s="1"/>
  <c r="L2" i="6" s="1"/>
  <c r="M67" i="2"/>
  <c r="M119" i="2"/>
  <c r="M128" i="2"/>
  <c r="M99" i="2"/>
  <c r="M10" i="2"/>
  <c r="M142" i="2"/>
  <c r="M7" i="2"/>
  <c r="M85" i="2"/>
  <c r="M94" i="2"/>
  <c r="M125" i="2"/>
  <c r="M51" i="2"/>
  <c r="M20" i="2"/>
  <c r="M18" i="2"/>
  <c r="M86" i="2"/>
  <c r="M88" i="2"/>
  <c r="M12" i="2"/>
  <c r="M109" i="2"/>
  <c r="M13" i="2"/>
  <c r="M79" i="2"/>
  <c r="M132" i="2"/>
  <c r="M71" i="2"/>
  <c r="M37" i="2"/>
  <c r="M131" i="2"/>
  <c r="M30" i="2"/>
  <c r="M23" i="2"/>
  <c r="M83" i="2"/>
  <c r="M84" i="2"/>
  <c r="M116" i="2"/>
  <c r="M60" i="2"/>
  <c r="M130" i="2"/>
  <c r="M107" i="2"/>
  <c r="M89" i="2"/>
  <c r="M78" i="2"/>
  <c r="M6" i="2"/>
  <c r="M5" i="2"/>
  <c r="M115" i="2"/>
  <c r="M77" i="2"/>
  <c r="M87" i="2"/>
  <c r="M108" i="2"/>
  <c r="M66" i="2"/>
  <c r="M90" i="2"/>
  <c r="M29" i="2"/>
  <c r="M19" i="2"/>
  <c r="M101" i="2"/>
  <c r="M106" i="2"/>
  <c r="M22" i="2"/>
  <c r="M69" i="2"/>
  <c r="M111" i="2"/>
  <c r="M152" i="2"/>
  <c r="M102" i="2"/>
  <c r="M134" i="2"/>
  <c r="M43" i="2"/>
  <c r="M91" i="2"/>
  <c r="M114" i="2"/>
  <c r="M97" i="2"/>
  <c r="M144" i="2"/>
  <c r="M53" i="2"/>
  <c r="M55" i="2"/>
  <c r="M56" i="2"/>
  <c r="M65" i="2"/>
  <c r="M47" i="2"/>
  <c r="M15" i="2"/>
  <c r="M104" i="2"/>
  <c r="M61" i="2"/>
  <c r="M72" i="2"/>
  <c r="M118" i="2"/>
  <c r="M75" i="2"/>
  <c r="M127" i="2"/>
  <c r="M96" i="2"/>
  <c r="M48" i="2"/>
  <c r="M34" i="2"/>
  <c r="M35" i="2"/>
  <c r="M138" i="2"/>
  <c r="M129" i="2"/>
  <c r="M95" i="2"/>
  <c r="M41" i="2"/>
  <c r="M98" i="2"/>
  <c r="M141" i="2"/>
  <c r="M105" i="2"/>
  <c r="M74" i="2"/>
  <c r="M126" i="2"/>
  <c r="M49" i="2"/>
  <c r="M50" i="2"/>
  <c r="M113" i="2"/>
  <c r="M110" i="2"/>
  <c r="M58" i="2"/>
  <c r="M33" i="2"/>
  <c r="M117" i="2"/>
  <c r="M4" i="2"/>
  <c r="M92" i="2"/>
  <c r="M120" i="2"/>
  <c r="M26" i="2"/>
  <c r="M57" i="2"/>
  <c r="M62" i="2"/>
  <c r="M42" i="2"/>
  <c r="M121" i="2"/>
  <c r="M112" i="2"/>
  <c r="M59" i="2"/>
  <c r="M63" i="2"/>
  <c r="M64" i="2"/>
  <c r="M122" i="2"/>
  <c r="M123" i="2"/>
  <c r="M124" i="2"/>
  <c r="M25" i="2"/>
  <c r="M28" i="2"/>
  <c r="M137" i="2"/>
  <c r="M140" i="2"/>
  <c r="M145" i="2"/>
  <c r="M146" i="2"/>
  <c r="M14" i="2"/>
  <c r="M147" i="2"/>
  <c r="M38" i="2"/>
  <c r="M82" i="2"/>
  <c r="M148" i="2"/>
  <c r="M150" i="2"/>
  <c r="M80" i="2"/>
  <c r="M81" i="2"/>
  <c r="M39" i="2"/>
  <c r="M40" i="2"/>
  <c r="M151" i="2"/>
  <c r="M93" i="2"/>
  <c r="M21" i="2"/>
  <c r="G10" i="8"/>
  <c r="G9" i="8"/>
  <c r="D9" i="8"/>
  <c r="M36" i="2"/>
  <c r="M9" i="2" l="1"/>
  <c r="M2" i="2"/>
  <c r="D10" i="8"/>
  <c r="H10" i="8" s="1"/>
  <c r="H9" i="8"/>
  <c r="F9" i="8"/>
  <c r="M3" i="2"/>
  <c r="M54" i="2"/>
  <c r="M17" i="2"/>
  <c r="F10" i="8" l="1"/>
  <c r="F11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<sst xmlns="http://schemas.openxmlformats.org/spreadsheetml/2006/main" count="3690" uniqueCount="255">
  <si>
    <t>Grupo Coril</t>
  </si>
  <si>
    <t>Informe de Portafolios en Renta Variable</t>
  </si>
  <si>
    <t>Investment Team:</t>
  </si>
  <si>
    <t>Head of Investments:</t>
  </si>
  <si>
    <t>Victor Mendoza</t>
  </si>
  <si>
    <t>Portfolio Manager</t>
  </si>
  <si>
    <t>vmendoza@grupocoril.com</t>
  </si>
  <si>
    <t>Equity:</t>
  </si>
  <si>
    <t>Nabil Jarufe</t>
  </si>
  <si>
    <t>Analyst</t>
  </si>
  <si>
    <t>njarufe@grupocoril.com</t>
  </si>
  <si>
    <t>Fixed Income:</t>
  </si>
  <si>
    <t>Andru Ortega</t>
  </si>
  <si>
    <t>Assistant</t>
  </si>
  <si>
    <t>jortegar@grupocoril.com</t>
  </si>
  <si>
    <t>Stock</t>
  </si>
  <si>
    <t>Nombre</t>
  </si>
  <si>
    <t>Moneda</t>
  </si>
  <si>
    <t>Market price</t>
  </si>
  <si>
    <t>Stock inicial</t>
  </si>
  <si>
    <t>Stock final</t>
  </si>
  <si>
    <t>Compras</t>
  </si>
  <si>
    <t>Ventas</t>
  </si>
  <si>
    <t>Dividendos</t>
  </si>
  <si>
    <t>Valor stock final</t>
  </si>
  <si>
    <t>P&amp;L Monto</t>
  </si>
  <si>
    <t>P&amp;L %</t>
  </si>
  <si>
    <t>ISIN</t>
  </si>
  <si>
    <t>Security Type</t>
  </si>
  <si>
    <t>Q</t>
  </si>
  <si>
    <t>Precio Promedio C</t>
  </si>
  <si>
    <t>P mercado</t>
  </si>
  <si>
    <t>P Anterior</t>
  </si>
  <si>
    <t>Monto compra</t>
  </si>
  <si>
    <t>Monto actual</t>
  </si>
  <si>
    <t>Monto Anterior</t>
  </si>
  <si>
    <t>% Allocation</t>
  </si>
  <si>
    <t>P&amp;L 1d</t>
  </si>
  <si>
    <t>Fecha de compra</t>
  </si>
  <si>
    <t>Cliente</t>
  </si>
  <si>
    <t>Ticker</t>
  </si>
  <si>
    <t>Identificador</t>
  </si>
  <si>
    <t>Cod_Ope</t>
  </si>
  <si>
    <t>P</t>
  </si>
  <si>
    <t>ITUB</t>
  </si>
  <si>
    <t>US4655621062</t>
  </si>
  <si>
    <t>EEM</t>
  </si>
  <si>
    <t>US4642872349</t>
  </si>
  <si>
    <t>XLI</t>
  </si>
  <si>
    <t>US81369Y7040</t>
  </si>
  <si>
    <t>XLY</t>
  </si>
  <si>
    <t>US81369Y4070</t>
  </si>
  <si>
    <t>XLU</t>
  </si>
  <si>
    <t>US81369Y8865</t>
  </si>
  <si>
    <t>PLTR</t>
  </si>
  <si>
    <t>US69608A1088</t>
  </si>
  <si>
    <t>SPY</t>
  </si>
  <si>
    <t>US78462F1030</t>
  </si>
  <si>
    <t>FDX</t>
  </si>
  <si>
    <t>US31428X1063</t>
  </si>
  <si>
    <t>XPEV</t>
  </si>
  <si>
    <t>US98422D1054</t>
  </si>
  <si>
    <t>PRU</t>
  </si>
  <si>
    <t>US7443201022</t>
  </si>
  <si>
    <t>EWP</t>
  </si>
  <si>
    <t>US4642867646</t>
  </si>
  <si>
    <t>UNH</t>
  </si>
  <si>
    <t>US91324P1021</t>
  </si>
  <si>
    <t>KKR</t>
  </si>
  <si>
    <t>US48251W1045</t>
  </si>
  <si>
    <t>KMB</t>
  </si>
  <si>
    <t>US4943681035</t>
  </si>
  <si>
    <t>NIO</t>
  </si>
  <si>
    <t>US62914V1061</t>
  </si>
  <si>
    <t>EUFN</t>
  </si>
  <si>
    <t>US4642891802</t>
  </si>
  <si>
    <t>EZU</t>
  </si>
  <si>
    <t>US4642866085</t>
  </si>
  <si>
    <t>EWZ</t>
  </si>
  <si>
    <t>US4642864007</t>
  </si>
  <si>
    <t>EWZS</t>
  </si>
  <si>
    <t>US4642891315</t>
  </si>
  <si>
    <t>FERREYC1</t>
  </si>
  <si>
    <t>PEP736001004</t>
  </si>
  <si>
    <t>BIDU</t>
  </si>
  <si>
    <t>US0567521085</t>
  </si>
  <si>
    <t>TCHI</t>
  </si>
  <si>
    <t>US46436E4290</t>
  </si>
  <si>
    <t>CQQQ</t>
  </si>
  <si>
    <t>US46138E8003</t>
  </si>
  <si>
    <t>MINSURI1</t>
  </si>
  <si>
    <t>PEP622005002</t>
  </si>
  <si>
    <t>SIDERC1</t>
  </si>
  <si>
    <t>PEP531001001</t>
  </si>
  <si>
    <t>BVN</t>
  </si>
  <si>
    <t>US2044481040</t>
  </si>
  <si>
    <t>AUNA</t>
  </si>
  <si>
    <t>LU2791994721</t>
  </si>
  <si>
    <t>VOLCABC1</t>
  </si>
  <si>
    <t>PEP648014202</t>
  </si>
  <si>
    <t>PFE</t>
  </si>
  <si>
    <t>US7170811035</t>
  </si>
  <si>
    <t>EWQ</t>
  </si>
  <si>
    <t>US4642867075</t>
  </si>
  <si>
    <t>QQQ</t>
  </si>
  <si>
    <t>US46090E1038</t>
  </si>
  <si>
    <t>BAP</t>
  </si>
  <si>
    <t>BMG2519Y1084</t>
  </si>
  <si>
    <t>TTWO</t>
  </si>
  <si>
    <t>US8740541094</t>
  </si>
  <si>
    <t>DIS</t>
  </si>
  <si>
    <t>US2546871060</t>
  </si>
  <si>
    <t>TAN</t>
  </si>
  <si>
    <t>US46138G7060</t>
  </si>
  <si>
    <t>ICLN</t>
  </si>
  <si>
    <t>US4642882249</t>
  </si>
  <si>
    <t>ORYGENC1</t>
  </si>
  <si>
    <t>PEP700511004</t>
  </si>
  <si>
    <t>JAVA</t>
  </si>
  <si>
    <t>US46641Q1673</t>
  </si>
  <si>
    <t>JDOC</t>
  </si>
  <si>
    <t>US46654Q7658</t>
  </si>
  <si>
    <t>CPACASC1</t>
  </si>
  <si>
    <t>PEP239501005</t>
  </si>
  <si>
    <t>INRETC1</t>
  </si>
  <si>
    <t>PAL1801171A1</t>
  </si>
  <si>
    <t>PLTR US Equity</t>
  </si>
  <si>
    <t>NFLX</t>
  </si>
  <si>
    <t>US64110L1061</t>
  </si>
  <si>
    <t>NFLX US Equity</t>
  </si>
  <si>
    <t>TQQQ</t>
  </si>
  <si>
    <t>US74347X8314</t>
  </si>
  <si>
    <t>TQQQ US Equity</t>
  </si>
  <si>
    <t>NIO US Equity</t>
  </si>
  <si>
    <t>Fecha de Venta</t>
  </si>
  <si>
    <t>Monto_venta</t>
  </si>
  <si>
    <t>Cod_ope</t>
  </si>
  <si>
    <t>P&amp;L</t>
  </si>
  <si>
    <t>45922XPEV1403</t>
  </si>
  <si>
    <t>45939XPEV1097</t>
  </si>
  <si>
    <t>45917PLTR491</t>
  </si>
  <si>
    <t>45917SPY151</t>
  </si>
  <si>
    <t>45932EWZ1994</t>
  </si>
  <si>
    <t>45937EWZ1008</t>
  </si>
  <si>
    <t>45937EWZS2266</t>
  </si>
  <si>
    <t>45932EWZS4422</t>
  </si>
  <si>
    <t>45967PLTR434</t>
  </si>
  <si>
    <t>45968PLTR117</t>
  </si>
  <si>
    <t>45912ITUB5705</t>
  </si>
  <si>
    <t>45951BVN2612</t>
  </si>
  <si>
    <t>45952BVN2000</t>
  </si>
  <si>
    <t>45975PLTR300</t>
  </si>
  <si>
    <t>45968SPY90</t>
  </si>
  <si>
    <t>45975SPY75</t>
  </si>
  <si>
    <t>45974PLTR172</t>
  </si>
  <si>
    <t>45975QQQ83</t>
  </si>
  <si>
    <t>45973PLTR439</t>
  </si>
  <si>
    <t>45968QQQ83</t>
  </si>
  <si>
    <t>45968VOLCABC199560</t>
  </si>
  <si>
    <t>45968VOLCABC1100000</t>
  </si>
  <si>
    <t>45968VOLCABC1440</t>
  </si>
  <si>
    <t>45967VOLCABC1167440</t>
  </si>
  <si>
    <t>45967VOLCABC150</t>
  </si>
  <si>
    <t>46003QQQ325</t>
  </si>
  <si>
    <t>45922EWP1031</t>
  </si>
  <si>
    <t>45968EWQ1839</t>
  </si>
  <si>
    <t>46043TQQQ2929</t>
  </si>
  <si>
    <t>P venta</t>
  </si>
  <si>
    <t>P&amp;L % Realizado</t>
  </si>
  <si>
    <t>Fecha de pago</t>
  </si>
  <si>
    <t xml:space="preserve">Stock </t>
  </si>
  <si>
    <t>Factor</t>
  </si>
  <si>
    <t>Total</t>
  </si>
  <si>
    <t>Moneda DV</t>
  </si>
  <si>
    <t>Moneda Stock</t>
  </si>
  <si>
    <t>Monto_mon_ins</t>
  </si>
  <si>
    <t>2025/09/24</t>
  </si>
  <si>
    <t>USD</t>
  </si>
  <si>
    <t>2025/09/30</t>
  </si>
  <si>
    <t>2025/11/11</t>
  </si>
  <si>
    <t>2025/12/01</t>
  </si>
  <si>
    <t>2025/12/02</t>
  </si>
  <si>
    <t>2025/12/12</t>
  </si>
  <si>
    <t>2025/12/16</t>
  </si>
  <si>
    <t>2025/12/17</t>
  </si>
  <si>
    <t>2025/12/18</t>
  </si>
  <si>
    <t>2025/12/23</t>
  </si>
  <si>
    <t>2025/12/24</t>
  </si>
  <si>
    <t>2025/12/26</t>
  </si>
  <si>
    <t>US4642867497</t>
  </si>
  <si>
    <t>EWL</t>
  </si>
  <si>
    <t>EWL US Equity</t>
  </si>
  <si>
    <t>46043PLTR598</t>
  </si>
  <si>
    <t>Fecha Liquidación</t>
  </si>
  <si>
    <t>Status</t>
  </si>
  <si>
    <t>Liquidado</t>
  </si>
  <si>
    <t>CIB</t>
  </si>
  <si>
    <t>US40090E1064</t>
  </si>
  <si>
    <t>CIB US Equity</t>
  </si>
  <si>
    <t>46051PLTR989</t>
  </si>
  <si>
    <t>46024EWZ2490</t>
  </si>
  <si>
    <t>TC</t>
  </si>
  <si>
    <t xml:space="preserve">  </t>
  </si>
  <si>
    <t>Fecha de Fin</t>
  </si>
  <si>
    <t>Resumen de Rentabilidad en RV</t>
  </si>
  <si>
    <t>PEN</t>
  </si>
  <si>
    <t>Inversión</t>
  </si>
  <si>
    <t>P&amp;L Total</t>
  </si>
  <si>
    <t>P&amp;L Realizado</t>
  </si>
  <si>
    <t>P&amp;L No Realizado</t>
  </si>
  <si>
    <t>CxP PEN</t>
  </si>
  <si>
    <t>CxC PEN</t>
  </si>
  <si>
    <t>CxP USD</t>
  </si>
  <si>
    <t>CxC USD</t>
  </si>
  <si>
    <t>Retorno %</t>
  </si>
  <si>
    <t>SMH</t>
  </si>
  <si>
    <t>US92189F6768</t>
  </si>
  <si>
    <t>Flujo</t>
  </si>
  <si>
    <t>AMZN</t>
  </si>
  <si>
    <t>US0231351067</t>
  </si>
  <si>
    <t>#N/A N/A</t>
  </si>
  <si>
    <t>2026/01/16</t>
  </si>
  <si>
    <t>2026/01/05</t>
  </si>
  <si>
    <t>46051TQQQ1815</t>
  </si>
  <si>
    <t>46058SMH264</t>
  </si>
  <si>
    <t>46058PLTR1104</t>
  </si>
  <si>
    <t>46076PLTR390</t>
  </si>
  <si>
    <t>YINN</t>
  </si>
  <si>
    <t>MSFT</t>
  </si>
  <si>
    <t>EC</t>
  </si>
  <si>
    <t>COLO</t>
  </si>
  <si>
    <t>EWW</t>
  </si>
  <si>
    <t>EWY</t>
  </si>
  <si>
    <t>US4642867729</t>
  </si>
  <si>
    <t>US4642868222</t>
  </si>
  <si>
    <t>EZA</t>
  </si>
  <si>
    <t>US4642867802</t>
  </si>
  <si>
    <t>GLD</t>
  </si>
  <si>
    <t>US78463V1070</t>
  </si>
  <si>
    <t>46083EWZ5270</t>
  </si>
  <si>
    <t>46083TQQQ3165</t>
  </si>
  <si>
    <t>46084EWZ5450</t>
  </si>
  <si>
    <t>46084TQQQ3221</t>
  </si>
  <si>
    <t>46084PLTR687</t>
  </si>
  <si>
    <t>KORU</t>
  </si>
  <si>
    <t>US25461A3876</t>
  </si>
  <si>
    <t>46085KORU185</t>
  </si>
  <si>
    <t>46086TQQQ2015</t>
  </si>
  <si>
    <t>Pendiente</t>
  </si>
  <si>
    <t>46090KORU184</t>
  </si>
  <si>
    <t>46090KORU143</t>
  </si>
  <si>
    <t>46090KORU153</t>
  </si>
  <si>
    <t>46091KORU260</t>
  </si>
  <si>
    <t>EPU</t>
  </si>
  <si>
    <t>US4642898427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</si>
</sst>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0.0000"/>
    <numFmt numFmtId="166" formatCode="_-* #,##0_-;\-* #,##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Gotham Medium"/>
    </font>
    <font>
      <sz val="11"/>
      <color theme="1"/>
      <name val="Gotham Medium"/>
    </font>
    <font>
      <b/>
      <sz val="20"/>
      <color theme="1"/>
      <name val="Gotham Medium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Gotham Medium"/>
    </font>
    <font>
      <u/>
      <sz val="11"/>
      <color theme="0"/>
      <name val="Calibri"/>
      <family val="2"/>
      <scheme val="minor"/>
    </font>
    <font>
      <sz val="8"/>
      <color rgb="FF32313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89">
    <xf numFmtId="0" fontId="0" fillId="0" borderId="0" xfId="0"/>
    <xf numFmtId="0" fontId="0" fillId="2" borderId="0" xfId="0" applyFill="1" applyAlignment="1">
      <alignment horizontal="center"/>
    </xf>
    <xf numFmtId="43" fontId="0" fillId="2" borderId="0" xfId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6" fontId="0" fillId="2" borderId="0" xfId="1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6" fontId="0" fillId="2" borderId="2" xfId="1" applyNumberFormat="1" applyFont="1" applyFill="1" applyBorder="1" applyAlignment="1">
      <alignment horizontal="center"/>
    </xf>
    <xf numFmtId="14" fontId="0" fillId="0" borderId="0" xfId="0" applyNumberFormat="1"/>
    <xf numFmtId="14" fontId="0" fillId="2" borderId="2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43" fontId="0" fillId="0" borderId="0" xfId="1" applyFont="1"/>
    <xf numFmtId="14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6" fontId="0" fillId="2" borderId="5" xfId="1" applyNumberFormat="1" applyFont="1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0" fontId="0" fillId="2" borderId="0" xfId="0" applyFill="1"/>
    <xf numFmtId="9" fontId="0" fillId="0" borderId="0" xfId="2" applyFont="1"/>
    <xf numFmtId="43" fontId="0" fillId="0" borderId="0" xfId="0" applyNumberFormat="1"/>
    <xf numFmtId="164" fontId="0" fillId="0" borderId="0" xfId="2" applyNumberFormat="1" applyFont="1"/>
    <xf numFmtId="2" fontId="0" fillId="0" borderId="0" xfId="0" applyNumberFormat="1"/>
    <xf numFmtId="0" fontId="0" fillId="0" borderId="2" xfId="0" applyBorder="1"/>
    <xf numFmtId="0" fontId="0" fillId="0" borderId="6" xfId="0" applyBorder="1"/>
    <xf numFmtId="0" fontId="0" fillId="0" borderId="7" xfId="0" applyBorder="1"/>
    <xf numFmtId="166" fontId="0" fillId="0" borderId="7" xfId="1" applyNumberFormat="1" applyFont="1" applyBorder="1" applyAlignment="1"/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0" fillId="0" borderId="13" xfId="0" applyBorder="1"/>
    <xf numFmtId="49" fontId="0" fillId="0" borderId="0" xfId="1" applyNumberFormat="1" applyFont="1" applyBorder="1" applyAlignment="1">
      <alignment horizontal="center"/>
    </xf>
    <xf numFmtId="166" fontId="0" fillId="4" borderId="0" xfId="1" applyNumberFormat="1" applyFont="1" applyFill="1" applyBorder="1" applyAlignment="1">
      <alignment horizontal="center"/>
    </xf>
    <xf numFmtId="43" fontId="0" fillId="0" borderId="0" xfId="1" applyFont="1" applyBorder="1" applyAlignment="1">
      <alignment horizontal="center"/>
    </xf>
    <xf numFmtId="164" fontId="0" fillId="0" borderId="6" xfId="2" applyNumberFormat="1" applyFont="1" applyBorder="1" applyAlignment="1">
      <alignment horizontal="center"/>
    </xf>
    <xf numFmtId="0" fontId="0" fillId="0" borderId="14" xfId="0" applyBorder="1"/>
    <xf numFmtId="49" fontId="0" fillId="0" borderId="15" xfId="1" applyNumberFormat="1" applyFont="1" applyBorder="1" applyAlignment="1">
      <alignment horizontal="center"/>
    </xf>
    <xf numFmtId="0" fontId="0" fillId="0" borderId="16" xfId="0" applyBorder="1"/>
    <xf numFmtId="166" fontId="0" fillId="0" borderId="17" xfId="1" applyNumberFormat="1" applyFont="1" applyBorder="1" applyAlignment="1"/>
    <xf numFmtId="166" fontId="0" fillId="4" borderId="15" xfId="1" applyNumberFormat="1" applyFont="1" applyFill="1" applyBorder="1" applyAlignment="1">
      <alignment horizontal="center"/>
    </xf>
    <xf numFmtId="43" fontId="0" fillId="0" borderId="15" xfId="1" applyFont="1" applyBorder="1" applyAlignment="1">
      <alignment horizontal="center"/>
    </xf>
    <xf numFmtId="164" fontId="0" fillId="0" borderId="16" xfId="2" applyNumberFormat="1" applyFont="1" applyBorder="1" applyAlignment="1">
      <alignment horizontal="center"/>
    </xf>
    <xf numFmtId="9" fontId="0" fillId="2" borderId="0" xfId="2" applyFont="1" applyFill="1" applyAlignment="1">
      <alignment horizontal="center"/>
    </xf>
    <xf numFmtId="9" fontId="2" fillId="3" borderId="2" xfId="2" applyFont="1" applyFill="1" applyBorder="1" applyAlignment="1">
      <alignment horizontal="center"/>
    </xf>
    <xf numFmtId="164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15" xfId="0" applyFont="1" applyBorder="1"/>
    <xf numFmtId="0" fontId="8" fillId="0" borderId="15" xfId="0" applyFont="1" applyBorder="1"/>
    <xf numFmtId="0" fontId="7" fillId="0" borderId="15" xfId="0" applyFont="1" applyBorder="1"/>
    <xf numFmtId="0" fontId="7" fillId="0" borderId="15" xfId="0" applyFont="1" applyBorder="1" applyAlignment="1">
      <alignment horizontal="center"/>
    </xf>
    <xf numFmtId="0" fontId="4" fillId="0" borderId="0" xfId="0" applyFont="1"/>
    <xf numFmtId="0" fontId="5" fillId="0" borderId="0" xfId="3"/>
    <xf numFmtId="43" fontId="0" fillId="0" borderId="0" xfId="1" applyFont="1" applyBorder="1"/>
    <xf numFmtId="14" fontId="2" fillId="3" borderId="0" xfId="0" applyNumberFormat="1" applyFont="1" applyFill="1" applyAlignment="1">
      <alignment horizontal="center"/>
    </xf>
    <xf numFmtId="43" fontId="0" fillId="0" borderId="0" xfId="1" applyFont="1" applyAlignment="1">
      <alignment wrapText="1"/>
    </xf>
    <xf numFmtId="0" fontId="10" fillId="0" borderId="0" xfId="0" applyFont="1"/>
    <xf numFmtId="0" fontId="11" fillId="0" borderId="0" xfId="0" applyFont="1"/>
    <xf numFmtId="0" fontId="11" fillId="0" borderId="15" xfId="0" applyFont="1" applyBorder="1"/>
    <xf numFmtId="0" fontId="9" fillId="0" borderId="0" xfId="0" applyFont="1"/>
    <xf numFmtId="0" fontId="4" fillId="0" borderId="18" xfId="0" applyFont="1" applyBorder="1" applyAlignment="1">
      <alignment horizontal="center"/>
    </xf>
    <xf numFmtId="166" fontId="12" fillId="0" borderId="0" xfId="1" applyNumberFormat="1" applyFont="1"/>
    <xf numFmtId="3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left" vertical="center"/>
    </xf>
    <xf numFmtId="166" fontId="9" fillId="0" borderId="0" xfId="1" applyNumberFormat="1" applyFont="1"/>
    <xf numFmtId="0" fontId="0" fillId="0" borderId="0" xfId="0" applyAlignment="1">
      <alignment horizontal="center" vertical="center"/>
    </xf>
    <xf numFmtId="0" fontId="12" fillId="0" borderId="0" xfId="3" applyFont="1"/>
    <xf numFmtId="164" fontId="0" fillId="0" borderId="0" xfId="2" applyNumberFormat="1" applyFont="1" applyAlignment="1">
      <alignment horizontal="center" vertical="center"/>
    </xf>
    <xf numFmtId="10" fontId="0" fillId="0" borderId="0" xfId="2" applyNumberFormat="1" applyFont="1"/>
    <xf numFmtId="4" fontId="0" fillId="2" borderId="0" xfId="0" applyNumberFormat="1" applyFill="1" applyAlignment="1">
      <alignment horizontal="center"/>
    </xf>
    <xf numFmtId="166" fontId="0" fillId="0" borderId="17" xfId="1" applyNumberFormat="1" applyFont="1" applyBorder="1"/>
    <xf numFmtId="14" fontId="0" fillId="0" borderId="0" xfId="0" applyNumberFormat="1" applyAlignment="1">
      <alignment horizontal="left"/>
    </xf>
    <xf numFmtId="0" fontId="0" fillId="2" borderId="0" xfId="0" applyNumberFormat="1" applyFill="1" applyAlignment="1">
      <alignment horizontal="center"/>
    </xf>
    <xf numFmtId="43" fontId="0" fillId="0" borderId="0" xfId="1" applyNumberFormat="1" applyFont="1" applyBorder="1"/>
    <xf numFmtId="14" fontId="0" fillId="2" borderId="5" xfId="0" applyNumberFormat="1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5" fontId="0" fillId="2" borderId="5" xfId="0" applyNumberFormat="1" applyFont="1" applyFill="1" applyBorder="1" applyAlignment="1">
      <alignment horizontal="center"/>
    </xf>
    <xf numFmtId="165" fontId="0" fillId="2" borderId="0" xfId="0" applyNumberFormat="1" applyFont="1" applyFill="1" applyBorder="1" applyAlignment="1">
      <alignment horizontal="center"/>
    </xf>
    <xf numFmtId="0" fontId="0" fillId="0" borderId="0" xfId="0" applyNumberFormat="1" applyBorder="1" applyAlignment="1"/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54"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numFmt numFmtId="35" formatCode="_-* #,##0.00_-;\-* #,##0.00_-;_-* &quot;-&quot;??_-;_-@_-"/>
    </dxf>
    <dxf>
      <numFmt numFmtId="0" formatCode="General"/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9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5" formatCode="0.00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9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9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56082"/>
      <color rgb="FFA6C9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Data...3784470895</v>
        <stp/>
        <stp>BDP|10046091975589414402</stp>
        <tr r="D42" s="1"/>
      </tp>
      <tp t="s">
        <v>#N/A Requesting Data...4252896867</v>
        <stp/>
        <stp>BDP|17435492668296457996</stp>
        <tr r="I39" s="1"/>
      </tp>
      <tp t="s">
        <v>#N/A Requesting Data...4055790457</v>
        <stp/>
        <stp>BDP|10289017616979767287</stp>
        <tr r="D14" s="6"/>
        <tr r="H9" s="1"/>
      </tp>
      <tp t="s">
        <v>#N/A Requesting Data...4261879625</v>
        <stp/>
        <stp>BDP|17571134344799817100</stp>
        <tr r="D8" s="1"/>
      </tp>
      <tp t="s">
        <v>#N/A Requesting Data...4202107336</v>
        <stp/>
        <stp>BDP|15750874410370990641</stp>
        <tr r="B9" s="6"/>
        <tr r="E6" s="1"/>
        <tr r="H9" s="2"/>
      </tp>
      <tp t="s">
        <v>#N/A Requesting Data...4284714008</v>
        <stp/>
        <stp>BDP|12482943261472923551</stp>
        <tr r="F142" s="2"/>
      </tp>
      <tp t="s">
        <v>#N/A Requesting Data...3755671248</v>
        <stp/>
        <stp>BDP|16255080062142547807</stp>
        <tr r="F147" s="2"/>
        <tr r="F150" s="2"/>
        <tr r="F151" s="2"/>
        <tr r="F152" s="2"/>
        <tr r="F153" s="2"/>
      </tp>
      <tp t="s">
        <v>#N/A Requesting Data...4243472056</v>
        <stp/>
        <stp>BDP|12486254609039173360</stp>
        <tr r="G13" s="3"/>
        <tr r="G14" s="3"/>
        <tr r="B27" s="6"/>
        <tr r="H44" s="2"/>
        <tr r="H51" s="2"/>
      </tp>
      <tp t="s">
        <v>#N/A Requesting Data...4240749818</v>
        <stp/>
        <stp>BDP|10866331520278072343</stp>
        <tr r="F91" s="2"/>
        <tr r="F92" s="2"/>
      </tp>
      <tp t="s">
        <v>#N/A Requesting Data...3916782420</v>
        <stp/>
        <stp>BDP|12562943279804401229</stp>
        <tr r="B42" s="1"/>
      </tp>
      <tp t="s">
        <v>#N/A Requesting Data...3794664152</v>
        <stp/>
        <stp>BDP|16625485798731087060</stp>
        <tr r="I41" s="1"/>
      </tp>
      <tp t="s">
        <v>#N/A Requesting Data...3888559358</v>
        <stp/>
        <stp>BDP|13179929055627362216</stp>
        <tr r="B29" s="1"/>
      </tp>
      <tp t="s">
        <v>#N/A Requesting Data...3978236472</v>
        <stp/>
        <stp>BDP|10242776505179132456</stp>
        <tr r="O5" s="1"/>
      </tp>
      <tp t="s">
        <v>#N/A Requesting Data...3667266326</v>
        <stp/>
        <stp>BDP|10018717697323275724</stp>
        <tr r="H112" s="2"/>
        <tr r="H113" s="2"/>
      </tp>
      <tp t="e">
        <v>#N/A</v>
        <stp/>
        <stp>BDH|18413692259942614330</stp>
        <tr r="G128" s="10"/>
      </tp>
      <tp t="e">
        <v>#N/A</v>
        <stp/>
        <stp>BDH|18379424991978959785</stp>
        <tr r="E174" s="10"/>
      </tp>
      <tp t="e">
        <v>#N/A</v>
        <stp/>
        <stp>BDH|11229695017468818458</stp>
        <tr r="R24" s="10"/>
      </tp>
      <tp t="e">
        <v>#N/A</v>
        <stp/>
        <stp>BDH|15580681961719544683</stp>
        <tr r="AG169" s="10"/>
      </tp>
      <tp t="e">
        <v>#N/A</v>
        <stp/>
        <stp>BDH|12558985878754760238</stp>
        <tr r="AD135" s="10"/>
      </tp>
      <tp t="e">
        <v>#N/A</v>
        <stp/>
        <stp>BDH|10578229275666669956</stp>
        <tr r="AF118" s="10"/>
      </tp>
      <tp t="e">
        <v>#N/A</v>
        <stp/>
        <stp>BDH|16759805497739292430</stp>
        <tr r="F87" s="10"/>
      </tp>
      <tp t="e">
        <v>#N/A</v>
        <stp/>
        <stp>BDH|14539976445282220149</stp>
        <tr r="AK140" s="10"/>
      </tp>
      <tp t="e">
        <v>#N/A</v>
        <stp/>
        <stp>BDH|10350349433003688937</stp>
        <tr r="R77" s="10"/>
      </tp>
      <tp t="e">
        <v>#N/A</v>
        <stp/>
        <stp>BDH|15189383251138802119</stp>
        <tr r="Z84" s="10"/>
      </tp>
      <tp t="e">
        <v>#N/A</v>
        <stp/>
        <stp>BDH|14974813966748828872</stp>
        <tr r="C35" s="10"/>
      </tp>
      <tp t="e">
        <v>#N/A</v>
        <stp/>
        <stp>BDH|14580739224499306204</stp>
        <tr r="H138" s="10"/>
      </tp>
      <tp t="e">
        <v>#N/A</v>
        <stp/>
        <stp>BDH|18011050655646766161</stp>
        <tr r="AO42" s="10"/>
      </tp>
      <tp t="e">
        <v>#N/A</v>
        <stp/>
        <stp>BDH|14265560385261616265</stp>
        <tr r="AL107" s="10"/>
      </tp>
      <tp t="e">
        <v>#N/A</v>
        <stp/>
        <stp>BDH|14052091168478014001</stp>
        <tr r="AJ12" s="10"/>
      </tp>
      <tp t="e">
        <v>#N/A</v>
        <stp/>
        <stp>BDH|13177950978222821550</stp>
        <tr r="AV175" s="10"/>
      </tp>
      <tp t="e">
        <v>#N/A</v>
        <stp/>
        <stp>BDH|10217238555464783921</stp>
        <tr r="AW35" s="10"/>
      </tp>
      <tp t="e">
        <v>#N/A</v>
        <stp/>
        <stp>BDH|16370567245004050911</stp>
        <tr r="AN96" s="10"/>
      </tp>
      <tp t="e">
        <v>#N/A</v>
        <stp/>
        <stp>BDH|11223718700054455874</stp>
        <tr r="AN178" s="10"/>
      </tp>
      <tp t="e">
        <v>#N/A</v>
        <stp/>
        <stp>BDH|17197486293475996538</stp>
        <tr r="Z69" s="10"/>
      </tp>
      <tp t="e">
        <v>#N/A</v>
        <stp/>
        <stp>BDH|16786942885624437926</stp>
        <tr r="AA191" s="10"/>
      </tp>
      <tp t="e">
        <v>#N/A</v>
        <stp/>
        <stp>BDH|14021053194533246439</stp>
        <tr r="AL160" s="10"/>
      </tp>
      <tp t="e">
        <v>#N/A</v>
        <stp/>
        <stp>BDH|10512438954409266203</stp>
        <tr r="Q67" s="10"/>
      </tp>
      <tp t="e">
        <v>#N/A</v>
        <stp/>
        <stp>BDH|16655075075669203269</stp>
        <tr r="AF171" s="10"/>
      </tp>
      <tp t="e">
        <v>#N/A</v>
        <stp/>
        <stp>BDH|17789297454288833223</stp>
        <tr r="AK27" s="10"/>
      </tp>
      <tp t="e">
        <v>#N/A</v>
        <stp/>
        <stp>BDH|16010808148598847804</stp>
        <tr r="U132" s="10"/>
      </tp>
      <tp t="e">
        <v>#N/A</v>
        <stp/>
        <stp>BDH|11817691390082255639</stp>
        <tr r="AE97" s="10"/>
      </tp>
      <tp t="e">
        <v>#N/A</v>
        <stp/>
        <stp>BDH|18163209980878998082</stp>
        <tr r="AU171" s="10"/>
      </tp>
      <tp t="e">
        <v>#N/A</v>
        <stp/>
        <stp>BDH|18388566665438219927</stp>
        <tr r="AS135" s="10"/>
      </tp>
      <tp t="e">
        <v>#N/A</v>
        <stp/>
        <stp>BDH|15549900064357169702</stp>
        <tr r="Q117" s="10"/>
      </tp>
      <tp t="e">
        <v>#N/A</v>
        <stp/>
        <stp>BDH|14499020240662292844</stp>
        <tr r="H130" s="10"/>
      </tp>
      <tp t="e">
        <v>#N/A</v>
        <stp/>
        <stp>BDH|15172106050413873890</stp>
        <tr r="L27" s="10"/>
      </tp>
      <tp t="e">
        <v>#N/A</v>
        <stp/>
        <stp>BDH|18293363934814928697</stp>
        <tr r="AP87" s="10"/>
      </tp>
      <tp t="e">
        <v>#N/A</v>
        <stp/>
        <stp>BDH|15151933304664333256</stp>
        <tr r="R148" s="10"/>
      </tp>
      <tp t="e">
        <v>#N/A</v>
        <stp/>
        <stp>BDH|13584851820634754740</stp>
        <tr r="W112" s="10"/>
      </tp>
      <tp t="e">
        <v>#N/A</v>
        <stp/>
        <stp>BDH|13891391774124550936</stp>
        <tr r="AU188" s="10"/>
      </tp>
      <tp t="e">
        <v>#N/A</v>
        <stp/>
        <stp>BDH|15189949792779479609</stp>
        <tr r="M56" s="10"/>
      </tp>
      <tp t="e">
        <v>#N/A</v>
        <stp/>
        <stp>BDH|13331360360605507939</stp>
        <tr r="X43" s="10"/>
      </tp>
      <tp t="e">
        <v>#N/A</v>
        <stp/>
        <stp>BDH|14522105895627002133</stp>
        <tr r="O6" s="10"/>
      </tp>
      <tp t="e">
        <v>#N/A</v>
        <stp/>
        <stp>BDH|15660970433556638371</stp>
        <tr r="V28" s="10"/>
      </tp>
      <tp t="e">
        <v>#N/A</v>
        <stp/>
        <stp>BDH|14239677524022066823</stp>
        <tr r="AF96" s="10"/>
      </tp>
      <tp t="e">
        <v>#N/A</v>
        <stp/>
        <stp>BDH|12253266291015244647</stp>
        <tr r="S182" s="10"/>
      </tp>
      <tp t="e">
        <v>#N/A</v>
        <stp/>
        <stp>BDH|15606635694564513476</stp>
        <tr r="AN100" s="10"/>
      </tp>
      <tp t="e">
        <v>#N/A</v>
        <stp/>
        <stp>BDH|12139726177948131069</stp>
        <tr r="AO151" s="10"/>
      </tp>
      <tp t="e">
        <v>#N/A</v>
        <stp/>
        <stp>BDH|12172520852361780958</stp>
        <tr r="Y131" s="10"/>
      </tp>
      <tp t="e">
        <v>#N/A</v>
        <stp/>
        <stp>BDH|15286319694920458516</stp>
        <tr r="AG78" s="10"/>
      </tp>
      <tp t="e">
        <v>#N/A</v>
        <stp/>
        <stp>BDH|17040649601633538822</stp>
        <tr r="E148" s="10"/>
      </tp>
      <tp t="e">
        <v>#N/A</v>
        <stp/>
        <stp>BDH|15364197311106068999</stp>
        <tr r="AA142" s="10"/>
      </tp>
      <tp t="e">
        <v>#N/A</v>
        <stp/>
        <stp>BDH|12403758414758112661</stp>
        <tr r="AR44" s="10"/>
      </tp>
      <tp t="e">
        <v>#N/A</v>
        <stp/>
        <stp>BDH|13208160091927523625</stp>
        <tr r="AK44" s="10"/>
      </tp>
      <tp t="e">
        <v>#N/A</v>
        <stp/>
        <stp>BDH|16393406984561005157</stp>
        <tr r="AB25" s="10"/>
      </tp>
      <tp t="e">
        <v>#N/A</v>
        <stp/>
        <stp>BDH|15105704240139714547</stp>
        <tr r="Q122" s="10"/>
      </tp>
      <tp t="e">
        <v>#N/A</v>
        <stp/>
        <stp>BDH|14141811529502865634</stp>
        <tr r="K44" s="10"/>
      </tp>
      <tp t="e">
        <v>#N/A</v>
        <stp/>
        <stp>BDH|10105676510329530414</stp>
        <tr r="AH121" s="10"/>
      </tp>
      <tp t="e">
        <v>#N/A</v>
        <stp/>
        <stp>BDH|12877295952249113600</stp>
        <tr r="AN97" s="10"/>
      </tp>
      <tp t="e">
        <v>#N/A</v>
        <stp/>
        <stp>BDH|10112879241814265270</stp>
        <tr r="AK84" s="10"/>
      </tp>
      <tp t="e">
        <v>#N/A</v>
        <stp/>
        <stp>BDH|10195935821084833599</stp>
        <tr r="AN180" s="10"/>
      </tp>
      <tp t="e">
        <v>#N/A</v>
        <stp/>
        <stp>BDH|18177765544354838597</stp>
        <tr r="T96" s="10"/>
      </tp>
      <tp t="e">
        <v>#N/A</v>
        <stp/>
        <stp>BDH|14462406387664025611</stp>
        <tr r="J193" s="10"/>
      </tp>
      <tp t="e">
        <v>#N/A</v>
        <stp/>
        <stp>BDH|12940129325779228293</stp>
        <tr r="H113" s="10"/>
      </tp>
      <tp t="e">
        <v>#N/A</v>
        <stp/>
        <stp>BDH|14211108917488107616</stp>
        <tr r="E52" s="10"/>
      </tp>
      <tp t="e">
        <v>#N/A</v>
        <stp/>
        <stp>BDH|16323302360051633808</stp>
        <tr r="AC83" s="10"/>
      </tp>
      <tp t="e">
        <v>#N/A</v>
        <stp/>
        <stp>BDH|13612137284936212665</stp>
        <tr r="E53" s="10"/>
      </tp>
      <tp t="e">
        <v>#N/A</v>
        <stp/>
        <stp>BDH|17975516955869868405</stp>
        <tr r="C72" s="10"/>
      </tp>
      <tp t="e">
        <v>#N/A</v>
        <stp/>
        <stp>BDH|12970088806128565070</stp>
        <tr r="J67" s="10"/>
      </tp>
      <tp t="e">
        <v>#N/A</v>
        <stp/>
        <stp>BDH|16279977186504657908</stp>
        <tr r="AK119" s="10"/>
      </tp>
      <tp t="e">
        <v>#N/A</v>
        <stp/>
        <stp>BDH|12956873501482846229</stp>
        <tr r="AS59" s="10"/>
      </tp>
      <tp t="e">
        <v>#N/A</v>
        <stp/>
        <stp>BDH|12894490381563107741</stp>
        <tr r="Q84" s="10"/>
      </tp>
      <tp t="e">
        <v>#N/A</v>
        <stp/>
        <stp>BDH|13408274712203664923</stp>
        <tr r="AT4" s="10"/>
      </tp>
      <tp t="e">
        <v>#N/A</v>
        <stp/>
        <stp>BDH|11234009977688199414</stp>
        <tr r="AI118" s="10"/>
      </tp>
      <tp t="e">
        <v>#N/A</v>
        <stp/>
        <stp>BDH|17359826742901624008</stp>
        <tr r="AI88" s="10"/>
      </tp>
      <tp t="e">
        <v>#N/A</v>
        <stp/>
        <stp>BDH|16618709772299993586</stp>
        <tr r="AM138" s="10"/>
      </tp>
      <tp t="e">
        <v>#N/A</v>
        <stp/>
        <stp>BDH|12130446386043488729</stp>
        <tr r="AH158" s="10"/>
      </tp>
      <tp t="e">
        <v>#N/A</v>
        <stp/>
        <stp>BDH|16378156936219258772</stp>
        <tr r="J83" s="10"/>
      </tp>
      <tp t="e">
        <v>#N/A</v>
        <stp/>
        <stp>BDH|17115847205684084143</stp>
        <tr r="M71" s="10"/>
      </tp>
      <tp t="e">
        <v>#N/A</v>
        <stp/>
        <stp>BDH|16569572436093384937</stp>
        <tr r="AS96" s="10"/>
      </tp>
      <tp t="e">
        <v>#N/A</v>
        <stp/>
        <stp>BDH|13599772384607449162</stp>
        <tr r="L14" s="10"/>
      </tp>
      <tp t="e">
        <v>#N/A</v>
        <stp/>
        <stp>BDH|12274478740189659170</stp>
        <tr r="X180" s="10"/>
      </tp>
      <tp t="e">
        <v>#N/A</v>
        <stp/>
        <stp>BDH|14459785387181799087</stp>
        <tr r="W178" s="10"/>
      </tp>
      <tp t="e">
        <v>#N/A</v>
        <stp/>
        <stp>BDH|18166660612886570347</stp>
        <tr r="AD11" s="10"/>
      </tp>
      <tp t="e">
        <v>#N/A</v>
        <stp/>
        <stp>BDH|14045414393255193676</stp>
        <tr r="T120" s="10"/>
      </tp>
      <tp t="e">
        <v>#N/A</v>
        <stp/>
        <stp>BDH|17065473320263188823</stp>
        <tr r="AU7" s="10"/>
      </tp>
      <tp t="e">
        <v>#N/A</v>
        <stp/>
        <stp>BDH|11339166534678152145</stp>
        <tr r="AG38" s="10"/>
      </tp>
      <tp t="e">
        <v>#N/A</v>
        <stp/>
        <stp>BDH|15723861800241324660</stp>
        <tr r="Q34" s="10"/>
      </tp>
      <tp t="e">
        <v>#N/A</v>
        <stp/>
        <stp>BDH|15628821510183760577</stp>
        <tr r="I59" s="10"/>
      </tp>
      <tp t="e">
        <v>#N/A</v>
        <stp/>
        <stp>BDH|14395547523848623167</stp>
        <tr r="AT54" s="10"/>
      </tp>
      <tp t="e">
        <v>#N/A</v>
        <stp/>
        <stp>BDH|17593909870714565743</stp>
        <tr r="P53" s="10"/>
      </tp>
      <tp t="e">
        <v>#N/A</v>
        <stp/>
        <stp>BDH|13292056487184787534</stp>
        <tr r="N60" s="10"/>
      </tp>
      <tp t="e">
        <v>#N/A</v>
        <stp/>
        <stp>BDH|10452514553142533871</stp>
        <tr r="AT136" s="10"/>
      </tp>
      <tp t="e">
        <v>#N/A</v>
        <stp/>
        <stp>BDH|17727922908977906308</stp>
        <tr r="AI23" s="10"/>
      </tp>
      <tp t="e">
        <v>#N/A</v>
        <stp/>
        <stp>BDH|16515966276385025717</stp>
        <tr r="AA74" s="10"/>
      </tp>
      <tp t="e">
        <v>#N/A</v>
        <stp/>
        <stp>BDH|10706198669308635559</stp>
        <tr r="Z109" s="10"/>
      </tp>
      <tp t="e">
        <v>#N/A</v>
        <stp/>
        <stp>BDH|17418850714893310729</stp>
        <tr r="L42" s="10"/>
      </tp>
      <tp t="e">
        <v>#N/A</v>
        <stp/>
        <stp>BDH|17500689128480459958</stp>
        <tr r="W140" s="10"/>
      </tp>
      <tp t="e">
        <v>#N/A</v>
        <stp/>
        <stp>BDH|16373946244057478631</stp>
        <tr r="K136" s="10"/>
      </tp>
      <tp t="e">
        <v>#N/A</v>
        <stp/>
        <stp>BDH|16801203041342558880</stp>
        <tr r="AM144" s="10"/>
      </tp>
      <tp t="e">
        <v>#N/A</v>
        <stp/>
        <stp>BDH|10700476838604547990</stp>
        <tr r="D54" s="10"/>
      </tp>
      <tp t="e">
        <v>#N/A</v>
        <stp/>
        <stp>BDH|16199315627395016805</stp>
        <tr r="L98" s="10"/>
      </tp>
      <tp t="e">
        <v>#N/A</v>
        <stp/>
        <stp>BDH|17894194885793282718</stp>
        <tr r="AF124" s="10"/>
      </tp>
      <tp t="e">
        <v>#N/A</v>
        <stp/>
        <stp>BDH|10364823826838901894</stp>
        <tr r="AD99" s="10"/>
      </tp>
      <tp t="e">
        <v>#N/A</v>
        <stp/>
        <stp>BDH|15056472392924123634</stp>
        <tr r="AH166" s="10"/>
      </tp>
      <tp t="e">
        <v>#N/A</v>
        <stp/>
        <stp>BDH|13445999429046537461</stp>
        <tr r="O131" s="10"/>
      </tp>
      <tp t="e">
        <v>#N/A</v>
        <stp/>
        <stp>BDH|14309322807938032516</stp>
        <tr r="AJ97" s="10"/>
      </tp>
      <tp t="e">
        <v>#N/A</v>
        <stp/>
        <stp>BDH|13078732506107601949</stp>
        <tr r="G78" s="10"/>
      </tp>
      <tp t="e">
        <v>#N/A</v>
        <stp/>
        <stp>BDH|16995482124223709954</stp>
        <tr r="AU10" s="10"/>
      </tp>
      <tp t="e">
        <v>#N/A</v>
        <stp/>
        <stp>BDH|16020617204012680840</stp>
        <tr r="E137" s="10"/>
      </tp>
      <tp t="e">
        <v>#N/A</v>
        <stp/>
        <stp>BDH|18082554373978000819</stp>
        <tr r="I133" s="10"/>
      </tp>
      <tp t="e">
        <v>#N/A</v>
        <stp/>
        <stp>BDH|15551960884568351637</stp>
        <tr r="I172" s="10"/>
      </tp>
      <tp t="e">
        <v>#N/A</v>
        <stp/>
        <stp>BDH|13674069810319657118</stp>
        <tr r="M35" s="10"/>
      </tp>
      <tp t="e">
        <v>#N/A</v>
        <stp/>
        <stp>BDH|17241524183250345076</stp>
        <tr r="W87" s="10"/>
      </tp>
      <tp t="e">
        <v>#N/A</v>
        <stp/>
        <stp>BDH|13838465637099809761</stp>
        <tr r="AT152" s="10"/>
      </tp>
      <tp t="e">
        <v>#N/A</v>
        <stp/>
        <stp>BDH|13642362495940194331</stp>
        <tr r="K75" s="10"/>
      </tp>
      <tp t="e">
        <v>#N/A</v>
        <stp/>
        <stp>BDH|17911299750953466931</stp>
        <tr r="P13" s="10"/>
      </tp>
      <tp t="e">
        <v>#N/A</v>
        <stp/>
        <stp>BDH|10144392852494807854</stp>
        <tr r="AL48" s="10"/>
      </tp>
      <tp t="e">
        <v>#N/A</v>
        <stp/>
        <stp>BDH|10477294888369142931</stp>
        <tr r="E103" s="10"/>
      </tp>
      <tp t="e">
        <v>#N/A</v>
        <stp/>
        <stp>BDH|16069060385361311570</stp>
        <tr r="AW114" s="10"/>
      </tp>
      <tp t="e">
        <v>#N/A</v>
        <stp/>
        <stp>BDH|18178416432415471016</stp>
        <tr r="AD178" s="10"/>
      </tp>
      <tp t="e">
        <v>#N/A</v>
        <stp/>
        <stp>BDH|15144758997774271568</stp>
        <tr r="K55" s="10"/>
      </tp>
      <tp t="e">
        <v>#N/A</v>
        <stp/>
        <stp>BDH|13296879331663115123</stp>
        <tr r="I156" s="10"/>
      </tp>
      <tp t="e">
        <v>#N/A</v>
        <stp/>
        <stp>BDH|17922201321914693997</stp>
        <tr r="AO167" s="10"/>
      </tp>
      <tp t="e">
        <v>#N/A</v>
        <stp/>
        <stp>BDH|14758806716480665718</stp>
        <tr r="Q137" s="10"/>
      </tp>
      <tp t="e">
        <v>#N/A</v>
        <stp/>
        <stp>BDH|15963035446912966933</stp>
        <tr r="L95" s="10"/>
      </tp>
      <tp t="e">
        <v>#N/A</v>
        <stp/>
        <stp>BDH|11710399333142945923</stp>
        <tr r="E91" s="10"/>
      </tp>
      <tp t="e">
        <v>#N/A</v>
        <stp/>
        <stp>BDH|12699304984446020547</stp>
        <tr r="J33" s="10"/>
      </tp>
      <tp t="e">
        <v>#N/A</v>
        <stp/>
        <stp>BDH|12947743517799543797</stp>
        <tr r="Z192" s="10"/>
      </tp>
      <tp t="e">
        <v>#N/A</v>
        <stp/>
        <stp>BDH|13533059282991513011</stp>
        <tr r="AR112" s="10"/>
      </tp>
      <tp t="e">
        <v>#N/A</v>
        <stp/>
        <stp>BDH|14504723394629206977</stp>
        <tr r="AW18" s="10"/>
      </tp>
      <tp t="e">
        <v>#N/A</v>
        <stp/>
        <stp>BDH|15845481276745278924</stp>
        <tr r="G123" s="10"/>
      </tp>
      <tp t="e">
        <v>#N/A</v>
        <stp/>
        <stp>BDH|11099990025832366297</stp>
        <tr r="AD7" s="10"/>
      </tp>
      <tp t="e">
        <v>#N/A</v>
        <stp/>
        <stp>BDH|15667882673941921129</stp>
        <tr r="S115" s="10"/>
      </tp>
      <tp t="e">
        <v>#N/A</v>
        <stp/>
        <stp>BDH|10051916919006656483</stp>
        <tr r="AS103" s="10"/>
      </tp>
      <tp t="e">
        <v>#N/A</v>
        <stp/>
        <stp>BDH|12584095718948691148</stp>
        <tr r="Y30" s="10"/>
      </tp>
      <tp t="e">
        <v>#N/A</v>
        <stp/>
        <stp>BDH|11197884239794490427</stp>
        <tr r="AC57" s="10"/>
      </tp>
      <tp t="e">
        <v>#N/A</v>
        <stp/>
        <stp>BDH|15769632397414635437</stp>
        <tr r="Q112" s="10"/>
      </tp>
      <tp t="e">
        <v>#N/A</v>
        <stp/>
        <stp>BDH|12863220370008936551</stp>
        <tr r="AD144" s="10"/>
      </tp>
      <tp t="e">
        <v>#N/A</v>
        <stp/>
        <stp>BDH|12471058865137825955</stp>
        <tr r="AR83" s="10"/>
      </tp>
      <tp t="e">
        <v>#N/A</v>
        <stp/>
        <stp>BDH|17296291875229179164</stp>
        <tr r="AK132" s="10"/>
      </tp>
      <tp t="e">
        <v>#N/A</v>
        <stp/>
        <stp>BDH|16248883850308484975</stp>
        <tr r="Z11" s="10"/>
      </tp>
      <tp t="e">
        <v>#N/A</v>
        <stp/>
        <stp>BDH|15990851504716344122</stp>
        <tr r="AJ145" s="10"/>
      </tp>
      <tp t="e">
        <v>#N/A</v>
        <stp/>
        <stp>BDH|16809989089505724876</stp>
        <tr r="T68" s="10"/>
      </tp>
      <tp t="e">
        <v>#N/A</v>
        <stp/>
        <stp>BDH|10126049778305239864</stp>
        <tr r="P19" s="10"/>
      </tp>
      <tp t="e">
        <v>#N/A</v>
        <stp/>
        <stp>BDH|11290193341039446770</stp>
        <tr r="G48" s="10"/>
      </tp>
      <tp t="e">
        <v>#N/A</v>
        <stp/>
        <stp>BDH|12122533608468591562</stp>
        <tr r="AA116" s="10"/>
      </tp>
      <tp t="e">
        <v>#N/A</v>
        <stp/>
        <stp>BDH|14397629864367454985</stp>
        <tr r="O157" s="10"/>
      </tp>
      <tp t="e">
        <v>#N/A</v>
        <stp/>
        <stp>BDH|14184173271808628080</stp>
        <tr r="I52" s="10"/>
      </tp>
      <tp t="e">
        <v>#N/A</v>
        <stp/>
        <stp>BDH|11551862806531852246</stp>
        <tr r="C107" s="10"/>
      </tp>
      <tp t="e">
        <v>#N/A</v>
        <stp/>
        <stp>BDH|16811814325416421013</stp>
        <tr r="F44" s="10"/>
      </tp>
      <tp t="e">
        <v>#N/A</v>
        <stp/>
        <stp>BDH|17947930150539660850</stp>
        <tr r="AR30" s="10"/>
      </tp>
      <tp t="e">
        <v>#N/A</v>
        <stp/>
        <stp>BDH|15947568387877425551</stp>
        <tr r="AS27" s="10"/>
      </tp>
      <tp t="e">
        <v>#N/A</v>
        <stp/>
        <stp>BDH|17644999505187316308</stp>
        <tr r="I165" s="10"/>
      </tp>
      <tp t="e">
        <v>#N/A</v>
        <stp/>
        <stp>BDH|11084594914369392672</stp>
        <tr r="AF176" s="10"/>
      </tp>
      <tp t="e">
        <v>#N/A</v>
        <stp/>
        <stp>BDH|11390649278959300342</stp>
        <tr r="I15" s="10"/>
      </tp>
      <tp t="e">
        <v>#N/A</v>
        <stp/>
        <stp>BDH|18390183270005493178</stp>
        <tr r="V10" s="10"/>
      </tp>
      <tp t="e">
        <v>#N/A</v>
        <stp/>
        <stp>BDH|15825529660858504478</stp>
        <tr r="X45" s="10"/>
      </tp>
      <tp t="e">
        <v>#N/A</v>
        <stp/>
        <stp>BDH|16735032527198381680</stp>
        <tr r="AH139" s="10"/>
      </tp>
      <tp t="e">
        <v>#N/A</v>
        <stp/>
        <stp>BDH|13254637298891365723</stp>
        <tr r="U63" s="10"/>
      </tp>
      <tp t="e">
        <v>#N/A</v>
        <stp/>
        <stp>BDH|13728455358140693843</stp>
        <tr r="S137" s="10"/>
      </tp>
      <tp t="e">
        <v>#N/A</v>
        <stp/>
        <stp>BDH|16791359478198150038</stp>
        <tr r="AU110" s="10"/>
      </tp>
      <tp t="e">
        <v>#N/A</v>
        <stp/>
        <stp>BDH|16022550928808270371</stp>
        <tr r="N48" s="10"/>
      </tp>
      <tp t="e">
        <v>#N/A</v>
        <stp/>
        <stp>BDH|11575196827231680958</stp>
        <tr r="AB158" s="10"/>
      </tp>
      <tp t="e">
        <v>#N/A</v>
        <stp/>
        <stp>BDH|13537453519889186502</stp>
        <tr r="C29" s="10"/>
      </tp>
      <tp t="e">
        <v>#N/A</v>
        <stp/>
        <stp>BDH|12836322276749037547</stp>
        <tr r="L144" s="10"/>
      </tp>
      <tp t="e">
        <v>#N/A</v>
        <stp/>
        <stp>BDH|14063051354568046394</stp>
        <tr r="AE83" s="10"/>
      </tp>
      <tp t="e">
        <v>#N/A</v>
        <stp/>
        <stp>BDH|17679504128758103275</stp>
        <tr r="AU140" s="10"/>
      </tp>
      <tp t="e">
        <v>#N/A</v>
        <stp/>
        <stp>BDH|12843786979161014914</stp>
        <tr r="M140" s="10"/>
      </tp>
      <tp t="e">
        <v>#N/A</v>
        <stp/>
        <stp>BDH|14874863347183323123</stp>
        <tr r="AR67" s="10"/>
      </tp>
      <tp t="e">
        <v>#N/A</v>
        <stp/>
        <stp>BDH|13068884485728681139</stp>
        <tr r="AW54" s="10"/>
      </tp>
      <tp t="e">
        <v>#N/A</v>
        <stp/>
        <stp>BDH|14464108302278454790</stp>
        <tr r="AO152" s="10"/>
      </tp>
      <tp t="e">
        <v>#N/A</v>
        <stp/>
        <stp>BDH|15165800075994602497</stp>
        <tr r="AH35" s="10"/>
      </tp>
      <tp t="e">
        <v>#N/A</v>
        <stp/>
        <stp>BDH|13169847623521546288</stp>
        <tr r="AT117" s="10"/>
      </tp>
      <tp t="e">
        <v>#N/A</v>
        <stp/>
        <stp>BDH|10721289163427026975</stp>
        <tr r="G50" s="10"/>
      </tp>
      <tp t="e">
        <v>#N/A</v>
        <stp/>
        <stp>BDH|16890050890693057664</stp>
        <tr r="X56" s="10"/>
      </tp>
      <tp t="e">
        <v>#N/A</v>
        <stp/>
        <stp>BDH|14585767857744648892</stp>
        <tr r="Q21" s="10"/>
      </tp>
      <tp t="e">
        <v>#N/A</v>
        <stp/>
        <stp>BDH|18201379048913345658</stp>
        <tr r="D177" s="10"/>
      </tp>
      <tp t="e">
        <v>#N/A</v>
        <stp/>
        <stp>BDH|11791821235675280594</stp>
        <tr r="AQ141" s="10"/>
      </tp>
      <tp t="e">
        <v>#N/A</v>
        <stp/>
        <stp>BDH|10487696754061073828</stp>
        <tr r="AL100" s="10"/>
      </tp>
      <tp t="e">
        <v>#N/A</v>
        <stp/>
        <stp>BDH|12756417670198510382</stp>
        <tr r="P80" s="10"/>
      </tp>
      <tp t="e">
        <v>#N/A</v>
        <stp/>
        <stp>BDH|15343355984605140185</stp>
        <tr r="AN37" s="10"/>
      </tp>
      <tp t="e">
        <v>#N/A</v>
        <stp/>
        <stp>BDH|12036115028243709851</stp>
        <tr r="E73" s="10"/>
      </tp>
      <tp t="e">
        <v>#N/A</v>
        <stp/>
        <stp>BDH|15898071294961078703</stp>
        <tr r="T113" s="10"/>
      </tp>
      <tp t="e">
        <v>#N/A</v>
        <stp/>
        <stp>BDH|16611300088232624534</stp>
        <tr r="AG112" s="10"/>
      </tp>
      <tp t="e">
        <v>#N/A</v>
        <stp/>
        <stp>BDH|14017884969660393083</stp>
        <tr r="K175" s="10"/>
      </tp>
      <tp t="e">
        <v>#N/A</v>
        <stp/>
        <stp>BDH|16049415084557986765</stp>
        <tr r="Q92" s="10"/>
      </tp>
      <tp t="e">
        <v>#N/A</v>
        <stp/>
        <stp>BDH|15968696288846758754</stp>
        <tr r="J115" s="10"/>
      </tp>
      <tp t="e">
        <v>#N/A</v>
        <stp/>
        <stp>BDH|15957468884132974183</stp>
        <tr r="E96" s="10"/>
      </tp>
      <tp t="e">
        <v>#N/A</v>
        <stp/>
        <stp>BDH|16987855643888094853</stp>
        <tr r="K71" s="10"/>
      </tp>
      <tp t="e">
        <v>#N/A</v>
        <stp/>
        <stp>BDH|17898874678581877350</stp>
        <tr r="AE95" s="10"/>
      </tp>
      <tp t="e">
        <v>#N/A</v>
        <stp/>
        <stp>BDH|11895237152114641855</stp>
        <tr r="O134" s="10"/>
      </tp>
      <tp t="e">
        <v>#N/A</v>
        <stp/>
        <stp>BDH|14255651169029182751</stp>
        <tr r="AN78" s="10"/>
      </tp>
      <tp t="e">
        <v>#N/A</v>
        <stp/>
        <stp>BDH|16342512888011146011</stp>
        <tr r="U10" s="10"/>
      </tp>
      <tp t="e">
        <v>#N/A</v>
        <stp/>
        <stp>BDH|12916751141063026871</stp>
        <tr r="C137" s="10"/>
      </tp>
      <tp t="e">
        <v>#N/A</v>
        <stp/>
        <stp>BDH|10574360529552511954</stp>
        <tr r="AS58" s="10"/>
      </tp>
      <tp t="e">
        <v>#N/A</v>
        <stp/>
        <stp>BDH|11214936339770164131</stp>
        <tr r="Z50" s="10"/>
      </tp>
      <tp t="e">
        <v>#N/A</v>
        <stp/>
        <stp>BDH|11319988636054702572</stp>
        <tr r="W98" s="10"/>
      </tp>
      <tp t="e">
        <v>#N/A</v>
        <stp/>
        <stp>BDH|15703696504921332846</stp>
        <tr r="AR167" s="10"/>
      </tp>
      <tp t="e">
        <v>#N/A</v>
        <stp/>
        <stp>BDH|11430733048040101838</stp>
        <tr r="AK136" s="10"/>
      </tp>
      <tp t="e">
        <v>#N/A</v>
        <stp/>
        <stp>BDH|16910179380101547465</stp>
        <tr r="AF119" s="10"/>
      </tp>
      <tp t="e">
        <v>#N/A</v>
        <stp/>
        <stp>BDH|16293483016738461153</stp>
        <tr r="AE182" s="10"/>
      </tp>
      <tp t="e">
        <v>#N/A</v>
        <stp/>
        <stp>BDH|17771608592877190591</stp>
        <tr r="AS188" s="10"/>
      </tp>
      <tp t="e">
        <v>#N/A</v>
        <stp/>
        <stp>BDH|10952804776821671443</stp>
        <tr r="AJ158" s="10"/>
      </tp>
      <tp t="e">
        <v>#N/A</v>
        <stp/>
        <stp>BDH|15217339298616302373</stp>
        <tr r="Y189" s="10"/>
      </tp>
      <tp t="e">
        <v>#N/A</v>
        <stp/>
        <stp>BDH|14027512933229984166</stp>
        <tr r="AC70" s="10"/>
      </tp>
      <tp t="e">
        <v>#N/A</v>
        <stp/>
        <stp>BDH|13270604096293929500</stp>
        <tr r="AV147" s="10"/>
      </tp>
      <tp t="e">
        <v>#N/A</v>
        <stp/>
        <stp>BDH|14616515338140076823</stp>
        <tr r="AW87" s="10"/>
      </tp>
      <tp t="e">
        <v>#N/A</v>
        <stp/>
        <stp>BDH|12286869343667935333</stp>
        <tr r="AO128" s="10"/>
      </tp>
      <tp t="e">
        <v>#N/A</v>
        <stp/>
        <stp>BDH|11590222147099595486</stp>
        <tr r="T80" s="10"/>
      </tp>
      <tp t="e">
        <v>#N/A</v>
        <stp/>
        <stp>BDH|16818273971880095937</stp>
        <tr r="M8" s="10"/>
      </tp>
      <tp t="e">
        <v>#N/A</v>
        <stp/>
        <stp>BDH|17851511376497621846</stp>
        <tr r="M111" s="10"/>
      </tp>
      <tp t="e">
        <v>#N/A</v>
        <stp/>
        <stp>BDH|10808859431308101911</stp>
        <tr r="AH45" s="10"/>
      </tp>
      <tp t="e">
        <v>#N/A</v>
        <stp/>
        <stp>BDH|17870996759900438100</stp>
        <tr r="AE59" s="10"/>
      </tp>
      <tp t="e">
        <v>#N/A</v>
        <stp/>
        <stp>BDH|15073252396017891377</stp>
        <tr r="Q119" s="10"/>
      </tp>
      <tp t="e">
        <v>#N/A</v>
        <stp/>
        <stp>BDH|12152396525109038018</stp>
        <tr r="F184" s="10"/>
      </tp>
      <tp t="e">
        <v>#N/A</v>
        <stp/>
        <stp>BDH|17240396326819043510</stp>
        <tr r="AV99" s="10"/>
      </tp>
      <tp t="e">
        <v>#N/A</v>
        <stp/>
        <stp>BDH|12260795895897673141</stp>
        <tr r="P57" s="10"/>
      </tp>
      <tp t="e">
        <v>#N/A</v>
        <stp/>
        <stp>BDH|12299691094154558360</stp>
        <tr r="F80" s="10"/>
      </tp>
      <tp t="e">
        <v>#N/A</v>
        <stp/>
        <stp>BDH|14271876935194965155</stp>
        <tr r="I146" s="10"/>
      </tp>
      <tp t="e">
        <v>#N/A</v>
        <stp/>
        <stp>BDH|10857826253117512000</stp>
        <tr r="U190" s="10"/>
      </tp>
      <tp t="e">
        <v>#N/A</v>
        <stp/>
        <stp>BDH|11740202659335269901</stp>
        <tr r="L149" s="10"/>
      </tp>
      <tp t="e">
        <v>#N/A</v>
        <stp/>
        <stp>BDH|12079288903063297957</stp>
        <tr r="AB50" s="10"/>
      </tp>
      <tp t="e">
        <v>#N/A</v>
        <stp/>
        <stp>BDH|12483869960305702392</stp>
        <tr r="AI58" s="10"/>
      </tp>
      <tp t="e">
        <v>#N/A</v>
        <stp/>
        <stp>BDH|17021596984252834292</stp>
        <tr r="R160" s="10"/>
      </tp>
      <tp t="e">
        <v>#N/A</v>
        <stp/>
        <stp>BDH|17900866931864509279</stp>
        <tr r="P44" s="10"/>
      </tp>
      <tp t="e">
        <v>#N/A</v>
        <stp/>
        <stp>BDH|14332190604658343728</stp>
        <tr r="AU48" s="10"/>
      </tp>
      <tp t="e">
        <v>#N/A</v>
        <stp/>
        <stp>BDH|16468131872668899220</stp>
        <tr r="O116" s="10"/>
      </tp>
      <tp t="e">
        <v>#N/A</v>
        <stp/>
        <stp>BDH|15117888017163475551</stp>
        <tr r="V121" s="10"/>
      </tp>
      <tp t="e">
        <v>#N/A</v>
        <stp/>
        <stp>BDH|12956090781510796094</stp>
        <tr r="AC140" s="10"/>
      </tp>
      <tp t="e">
        <v>#N/A</v>
        <stp/>
        <stp>BDH|12401801222183957109</stp>
        <tr r="AI179" s="10"/>
      </tp>
      <tp t="e">
        <v>#N/A</v>
        <stp/>
        <stp>BDH|16425868826842991427</stp>
        <tr r="O165" s="10"/>
      </tp>
      <tp t="e">
        <v>#N/A</v>
        <stp/>
        <stp>BDH|13074862148531440458</stp>
        <tr r="AN187" s="10"/>
      </tp>
      <tp t="e">
        <v>#N/A</v>
        <stp/>
        <stp>BDH|17094990312476094347</stp>
        <tr r="K78" s="10"/>
      </tp>
      <tp t="e">
        <v>#N/A</v>
        <stp/>
        <stp>BDH|17835969157311791010</stp>
        <tr r="E13" s="10"/>
      </tp>
      <tp t="e">
        <v>#N/A</v>
        <stp/>
        <stp>BDH|14947307590072077661</stp>
        <tr r="AV46" s="10"/>
      </tp>
      <tp t="e">
        <v>#N/A</v>
        <stp/>
        <stp>BDH|11342284831783003953</stp>
        <tr r="AU164" s="10"/>
      </tp>
      <tp t="e">
        <v>#N/A</v>
        <stp/>
        <stp>BDH|16395547283068240980</stp>
        <tr r="AN61" s="10"/>
      </tp>
      <tp t="e">
        <v>#N/A</v>
        <stp/>
        <stp>BDH|10820825171971729425</stp>
        <tr r="AQ49" s="10"/>
      </tp>
      <tp t="e">
        <v>#N/A</v>
        <stp/>
        <stp>BDH|17603104960009045389</stp>
        <tr r="Y51" s="10"/>
      </tp>
      <tp t="e">
        <v>#N/A</v>
        <stp/>
        <stp>BDH|13545328718502779967</stp>
        <tr r="U160" s="10"/>
      </tp>
      <tp t="e">
        <v>#N/A</v>
        <stp/>
        <stp>BDH|16583134208128216524</stp>
        <tr r="AA73" s="10"/>
      </tp>
      <tp t="e">
        <v>#N/A</v>
        <stp/>
        <stp>BDH|10568253932872459987</stp>
        <tr r="J173" s="10"/>
      </tp>
      <tp t="e">
        <v>#N/A</v>
        <stp/>
        <stp>BDH|15185315663179842357</stp>
        <tr r="AL53" s="10"/>
      </tp>
      <tp t="e">
        <v>#N/A</v>
        <stp/>
        <stp>BDH|16542632502033990931</stp>
        <tr r="Y14" s="10"/>
      </tp>
      <tp t="e">
        <v>#N/A</v>
        <stp/>
        <stp>BDH|18439209016047864641</stp>
        <tr r="AK147" s="10"/>
      </tp>
      <tp t="e">
        <v>#N/A</v>
        <stp/>
        <stp>BDH|17430681472548407445</stp>
        <tr r="F7" s="10"/>
      </tp>
      <tp t="e">
        <v>#N/A</v>
        <stp/>
        <stp>BDH|10204855242323967522</stp>
        <tr r="AN81" s="10"/>
      </tp>
      <tp t="e">
        <v>#N/A</v>
        <stp/>
        <stp>BDH|11249097881077347470</stp>
        <tr r="X172" s="10"/>
      </tp>
      <tp t="s">
        <v>#N/A Requesting Data...4038649432</v>
        <stp/>
        <stp>BDP|15941715801800384973</stp>
        <tr r="F89" s="2"/>
      </tp>
      <tp t="s">
        <v>#N/A Requesting Data...3929404513</v>
        <stp/>
        <stp>BDP|18443930056977113850</stp>
        <tr r="B41" s="6"/>
        <tr r="E30" s="1"/>
        <tr r="H89" s="2"/>
      </tp>
      <tp t="s">
        <v>#N/A Requesting Data...4155835611</v>
        <stp/>
        <stp>BDP|13058473575242097941</stp>
        <tr r="D36" s="1"/>
      </tp>
      <tp t="e">
        <v>#N/A</v>
        <stp/>
        <stp>BDH|18248238537355514725</stp>
        <tr r="J177" s="10"/>
      </tp>
      <tp t="e">
        <v>#N/A</v>
        <stp/>
        <stp>BDH|11749412743108356279</stp>
        <tr r="Z96" s="10"/>
      </tp>
      <tp t="e">
        <v>#N/A</v>
        <stp/>
        <stp>BDH|18137244830096655429</stp>
        <tr r="AG193" s="10"/>
      </tp>
      <tp t="e">
        <v>#N/A</v>
        <stp/>
        <stp>BDH|18087147567560158436</stp>
        <tr r="J39" s="10"/>
      </tp>
      <tp t="e">
        <v>#N/A</v>
        <stp/>
        <stp>BDH|16884840029580452707</stp>
        <tr r="AP121" s="10"/>
      </tp>
      <tp t="e">
        <v>#N/A</v>
        <stp/>
        <stp>BDH|17824949120432810551</stp>
        <tr r="F167" s="10"/>
      </tp>
      <tp t="e">
        <v>#N/A</v>
        <stp/>
        <stp>BDH|15156318392861132529</stp>
        <tr r="AM57" s="10"/>
      </tp>
      <tp t="e">
        <v>#N/A</v>
        <stp/>
        <stp>BDH|12466544716609515428</stp>
        <tr r="J18" s="10"/>
      </tp>
      <tp t="e">
        <v>#N/A</v>
        <stp/>
        <stp>BDH|12569990305294003489</stp>
        <tr r="H149" s="10"/>
      </tp>
      <tp t="e">
        <v>#N/A</v>
        <stp/>
        <stp>BDH|16137326398652284587</stp>
        <tr r="AN55" s="10"/>
      </tp>
      <tp t="e">
        <v>#N/A</v>
        <stp/>
        <stp>BDH|11314302263347682874</stp>
        <tr r="S168" s="10"/>
      </tp>
      <tp t="e">
        <v>#N/A</v>
        <stp/>
        <stp>BDH|17826428895842932372</stp>
        <tr r="W158" s="10"/>
      </tp>
      <tp t="e">
        <v>#N/A</v>
        <stp/>
        <stp>BDH|12128740273091518820</stp>
        <tr r="AG147" s="10"/>
      </tp>
      <tp t="e">
        <v>#N/A</v>
        <stp/>
        <stp>BDH|12398693631958251485</stp>
        <tr r="P58" s="10"/>
      </tp>
      <tp t="e">
        <v>#N/A</v>
        <stp/>
        <stp>BDH|11863417180213932513</stp>
        <tr r="K52" s="10"/>
      </tp>
      <tp t="e">
        <v>#N/A</v>
        <stp/>
        <stp>BDH|15934457794193813015</stp>
        <tr r="T45" s="10"/>
      </tp>
      <tp t="e">
        <v>#N/A</v>
        <stp/>
        <stp>BDH|18206067440793493418</stp>
        <tr r="Q90" s="10"/>
      </tp>
      <tp t="e">
        <v>#N/A</v>
        <stp/>
        <stp>BDH|15686921075380184012</stp>
        <tr r="E120" s="10"/>
      </tp>
      <tp t="e">
        <v>#N/A</v>
        <stp/>
        <stp>BDH|10806559671018803159</stp>
        <tr r="AH23" s="10"/>
      </tp>
      <tp t="e">
        <v>#N/A</v>
        <stp/>
        <stp>BDH|16931894841094447544</stp>
        <tr r="AN183" s="10"/>
      </tp>
      <tp t="e">
        <v>#N/A</v>
        <stp/>
        <stp>BDH|14225733571588319722</stp>
        <tr r="AT192" s="10"/>
      </tp>
      <tp t="e">
        <v>#N/A</v>
        <stp/>
        <stp>BDH|10980983113073456078</stp>
        <tr r="H31" s="10"/>
      </tp>
      <tp t="e">
        <v>#N/A</v>
        <stp/>
        <stp>BDH|18399285902989904810</stp>
        <tr r="H150" s="10"/>
      </tp>
      <tp t="e">
        <v>#N/A</v>
        <stp/>
        <stp>BDH|10823947493032823962</stp>
        <tr r="AB65" s="10"/>
      </tp>
      <tp t="e">
        <v>#N/A</v>
        <stp/>
        <stp>BDH|15793988468232520335</stp>
        <tr r="AI76" s="10"/>
      </tp>
      <tp t="e">
        <v>#N/A</v>
        <stp/>
        <stp>BDH|10737029015439455340</stp>
        <tr r="I158" s="10"/>
      </tp>
      <tp t="e">
        <v>#N/A</v>
        <stp/>
        <stp>BDH|17776863436841321644</stp>
        <tr r="AB145" s="10"/>
      </tp>
      <tp t="e">
        <v>#N/A</v>
        <stp/>
        <stp>BDH|12123673861698583127</stp>
        <tr r="Q162" s="10"/>
      </tp>
      <tp t="e">
        <v>#N/A</v>
        <stp/>
        <stp>BDH|14120038486741129650</stp>
        <tr r="AC133" s="10"/>
      </tp>
      <tp t="e">
        <v>#N/A</v>
        <stp/>
        <stp>BDH|15885127783771820615</stp>
        <tr r="AQ18" s="10"/>
      </tp>
      <tp t="e">
        <v>#N/A</v>
        <stp/>
        <stp>BDH|13253952027496789574</stp>
        <tr r="P47" s="10"/>
      </tp>
      <tp t="e">
        <v>#N/A</v>
        <stp/>
        <stp>BDH|11551235848904725895</stp>
        <tr r="P111" s="10"/>
      </tp>
      <tp t="e">
        <v>#N/A</v>
        <stp/>
        <stp>BDH|13925209281284977610</stp>
        <tr r="F11" s="10"/>
      </tp>
      <tp t="e">
        <v>#N/A</v>
        <stp/>
        <stp>BDH|16370309310706716946</stp>
        <tr r="Y49" s="10"/>
      </tp>
      <tp t="e">
        <v>#N/A</v>
        <stp/>
        <stp>BDH|10773217587865151403</stp>
        <tr r="Q156" s="10"/>
      </tp>
      <tp t="e">
        <v>#N/A</v>
        <stp/>
        <stp>BDH|11050843869032998642</stp>
        <tr r="D55" s="10"/>
      </tp>
      <tp t="e">
        <v>#N/A</v>
        <stp/>
        <stp>BDH|16301811925601210654</stp>
        <tr r="C134" s="10"/>
      </tp>
      <tp t="e">
        <v>#N/A</v>
        <stp/>
        <stp>BDH|17707720187306737552</stp>
        <tr r="AW112" s="10"/>
      </tp>
      <tp t="e">
        <v>#N/A</v>
        <stp/>
        <stp>BDH|12659266052708626647</stp>
        <tr r="AV171" s="10"/>
      </tp>
      <tp t="e">
        <v>#N/A</v>
        <stp/>
        <stp>BDH|16465298693974620285</stp>
        <tr r="AW93" s="10"/>
      </tp>
      <tp t="e">
        <v>#N/A</v>
        <stp/>
        <stp>BDH|11095991874676817258</stp>
        <tr r="AD110" s="10"/>
      </tp>
      <tp t="e">
        <v>#N/A</v>
        <stp/>
        <stp>BDH|18365701972335733660</stp>
        <tr r="AB183" s="10"/>
      </tp>
      <tp t="e">
        <v>#N/A</v>
        <stp/>
        <stp>BDH|17479672957706009944</stp>
        <tr r="AO58" s="10"/>
      </tp>
      <tp t="e">
        <v>#N/A</v>
        <stp/>
        <stp>BDH|11940859158465683227</stp>
        <tr r="AD56" s="10"/>
      </tp>
      <tp t="e">
        <v>#N/A</v>
        <stp/>
        <stp>BDH|16175500162667078933</stp>
        <tr r="W67" s="10"/>
      </tp>
      <tp t="e">
        <v>#N/A</v>
        <stp/>
        <stp>BDH|14045159392473642422</stp>
        <tr r="AH156" s="10"/>
      </tp>
      <tp t="e">
        <v>#N/A</v>
        <stp/>
        <stp>BDH|10312194097167681480</stp>
        <tr r="S88" s="10"/>
      </tp>
      <tp t="e">
        <v>#N/A</v>
        <stp/>
        <stp>BDH|13705391516679280393</stp>
        <tr r="AG125" s="10"/>
      </tp>
      <tp t="e">
        <v>#N/A</v>
        <stp/>
        <stp>BDH|13503215721598649006</stp>
        <tr r="X44" s="10"/>
      </tp>
      <tp t="e">
        <v>#N/A</v>
        <stp/>
        <stp>BDH|10065927507125313753</stp>
        <tr r="E77" s="10"/>
      </tp>
      <tp t="e">
        <v>#N/A</v>
        <stp/>
        <stp>BDH|15683931929986833371</stp>
        <tr r="AF167" s="10"/>
      </tp>
      <tp t="e">
        <v>#N/A</v>
        <stp/>
        <stp>BDH|17619509982818208956</stp>
        <tr r="S174" s="10"/>
      </tp>
      <tp t="e">
        <v>#N/A</v>
        <stp/>
        <stp>BDH|12763294857199874722</stp>
        <tr r="V152" s="10"/>
      </tp>
      <tp t="e">
        <v>#N/A</v>
        <stp/>
        <stp>BDH|12310051550844271879</stp>
        <tr r="K34" s="10"/>
      </tp>
      <tp t="e">
        <v>#N/A</v>
        <stp/>
        <stp>BDH|14658999799808370766</stp>
        <tr r="AP159" s="10"/>
      </tp>
      <tp t="e">
        <v>#N/A</v>
        <stp/>
        <stp>BDH|13859508571243392993</stp>
        <tr r="AT56" s="10"/>
      </tp>
      <tp t="e">
        <v>#N/A</v>
        <stp/>
        <stp>BDH|17082700940717683853</stp>
        <tr r="AW118" s="10"/>
      </tp>
      <tp t="e">
        <v>#N/A</v>
        <stp/>
        <stp>BDH|17812684241628408678</stp>
        <tr r="AH65" s="10"/>
      </tp>
      <tp t="e">
        <v>#N/A</v>
        <stp/>
        <stp>BDH|16649775463964302832</stp>
        <tr r="K80" s="10"/>
      </tp>
      <tp t="e">
        <v>#N/A</v>
        <stp/>
        <stp>BDH|10339550803787659918</stp>
        <tr r="Z93" s="10"/>
      </tp>
      <tp t="e">
        <v>#N/A</v>
        <stp/>
        <stp>BDH|14397010621129551445</stp>
        <tr r="H44" s="10"/>
      </tp>
      <tp t="e">
        <v>#N/A</v>
        <stp/>
        <stp>BDH|17592662913223354813</stp>
        <tr r="D127" s="10"/>
      </tp>
      <tp t="e">
        <v>#N/A</v>
        <stp/>
        <stp>BDH|10009020579535095993</stp>
        <tr r="AB13" s="10"/>
      </tp>
      <tp t="e">
        <v>#N/A</v>
        <stp/>
        <stp>BDH|13787181826242231997</stp>
        <tr r="V61" s="10"/>
      </tp>
      <tp t="e">
        <v>#N/A</v>
        <stp/>
        <stp>BDH|16720988371627415482</stp>
        <tr r="M32" s="10"/>
      </tp>
      <tp t="e">
        <v>#N/A</v>
        <stp/>
        <stp>BDH|13957420920858956605</stp>
        <tr r="I168" s="10"/>
      </tp>
      <tp t="e">
        <v>#N/A</v>
        <stp/>
        <stp>BDH|15178840264333010339</stp>
        <tr r="I103" s="10"/>
      </tp>
      <tp t="e">
        <v>#N/A</v>
        <stp/>
        <stp>BDH|10145430796117517136</stp>
        <tr r="Y168" s="10"/>
      </tp>
      <tp t="e">
        <v>#N/A</v>
        <stp/>
        <stp>BDH|13173972909446542784</stp>
        <tr r="AU141" s="10"/>
      </tp>
      <tp t="e">
        <v>#N/A</v>
        <stp/>
        <stp>BDH|16796236952742607829</stp>
        <tr r="Q94" s="10"/>
      </tp>
      <tp t="e">
        <v>#N/A</v>
        <stp/>
        <stp>BDH|12942673247299242290</stp>
        <tr r="AI134" s="10"/>
      </tp>
      <tp t="e">
        <v>#N/A</v>
        <stp/>
        <stp>BDH|10445842406236556510</stp>
        <tr r="AT41" s="10"/>
      </tp>
      <tp t="e">
        <v>#N/A</v>
        <stp/>
        <stp>BDH|10623211896551364100</stp>
        <tr r="AM73" s="10"/>
      </tp>
      <tp t="e">
        <v>#N/A</v>
        <stp/>
        <stp>BDH|12873843575814850239</stp>
        <tr r="X42" s="10"/>
      </tp>
      <tp t="e">
        <v>#N/A</v>
        <stp/>
        <stp>BDH|11101475695017254037</stp>
        <tr r="Q49" s="10"/>
      </tp>
      <tp t="e">
        <v>#N/A</v>
        <stp/>
        <stp>BDH|16540262873658224004</stp>
        <tr r="AH14" s="10"/>
      </tp>
      <tp t="e">
        <v>#N/A</v>
        <stp/>
        <stp>BDH|16763552989421905105</stp>
        <tr r="K49" s="10"/>
      </tp>
      <tp t="e">
        <v>#N/A</v>
        <stp/>
        <stp>BDH|14587798298091062063</stp>
        <tr r="AP4" s="10"/>
      </tp>
      <tp t="e">
        <v>#N/A</v>
        <stp/>
        <stp>BDH|14134939100114345244</stp>
        <tr r="N158" s="10"/>
      </tp>
      <tp t="e">
        <v>#N/A</v>
        <stp/>
        <stp>BDH|17559847435550394724</stp>
        <tr r="V23" s="10"/>
      </tp>
      <tp t="e">
        <v>#N/A</v>
        <stp/>
        <stp>BDH|10585637528188210796</stp>
        <tr r="AC21" s="10"/>
      </tp>
      <tp t="e">
        <v>#N/A</v>
        <stp/>
        <stp>BDH|15405815931843858697</stp>
        <tr r="L64" s="10"/>
      </tp>
      <tp t="e">
        <v>#N/A</v>
        <stp/>
        <stp>BDH|16132149585701649537</stp>
        <tr r="AT71" s="10"/>
      </tp>
      <tp t="e">
        <v>#N/A</v>
        <stp/>
        <stp>BDH|15965600993797964664</stp>
        <tr r="AE72" s="10"/>
      </tp>
      <tp t="e">
        <v>#N/A</v>
        <stp/>
        <stp>BDH|10054809865432933799</stp>
        <tr r="AG75" s="10"/>
      </tp>
      <tp t="e">
        <v>#N/A</v>
        <stp/>
        <stp>BDH|12995806273420619698</stp>
        <tr r="AJ87" s="10"/>
      </tp>
      <tp t="e">
        <v>#N/A</v>
        <stp/>
        <stp>BDH|11766787565758812375</stp>
        <tr r="L43" s="10"/>
      </tp>
      <tp t="e">
        <v>#N/A</v>
        <stp/>
        <stp>BDH|15372924530126633220</stp>
        <tr r="AM106" s="10"/>
      </tp>
      <tp t="e">
        <v>#N/A</v>
        <stp/>
        <stp>BDH|12558002835392237877</stp>
        <tr r="AG13" s="10"/>
      </tp>
      <tp t="e">
        <v>#N/A</v>
        <stp/>
        <stp>BDH|16011186181503941756</stp>
        <tr r="D129" s="10"/>
      </tp>
      <tp t="e">
        <v>#N/A</v>
        <stp/>
        <stp>BDH|16957481380264636522</stp>
        <tr r="AK184" s="10"/>
      </tp>
      <tp t="e">
        <v>#N/A</v>
        <stp/>
        <stp>BDH|11721306985175207450</stp>
        <tr r="AM25" s="10"/>
      </tp>
      <tp t="e">
        <v>#N/A</v>
        <stp/>
        <stp>BDH|11189472746899132344</stp>
        <tr r="AU103" s="10"/>
      </tp>
      <tp t="e">
        <v>#N/A</v>
        <stp/>
        <stp>BDH|17534847530624345373</stp>
        <tr r="AT145" s="10"/>
      </tp>
      <tp t="e">
        <v>#N/A</v>
        <stp/>
        <stp>BDH|12193024433578433200</stp>
        <tr r="AT182" s="10"/>
      </tp>
      <tp t="e">
        <v>#N/A</v>
        <stp/>
        <stp>BDH|12521860147194608169</stp>
        <tr r="P110" s="10"/>
      </tp>
      <tp t="e">
        <v>#N/A</v>
        <stp/>
        <stp>BDH|15344791655078880432</stp>
        <tr r="AE80" s="10"/>
      </tp>
      <tp t="e">
        <v>#N/A</v>
        <stp/>
        <stp>BDH|14598724287773171353</stp>
        <tr r="G46" s="10"/>
      </tp>
      <tp t="e">
        <v>#N/A</v>
        <stp/>
        <stp>BDH|15504076483185587301</stp>
        <tr r="L187" s="10"/>
      </tp>
      <tp t="e">
        <v>#N/A</v>
        <stp/>
        <stp>BDH|16846765774234656988</stp>
        <tr r="J56" s="10"/>
      </tp>
      <tp t="e">
        <v>#N/A</v>
        <stp/>
        <stp>BDH|14225203681193489636</stp>
        <tr r="G160" s="10"/>
      </tp>
      <tp t="e">
        <v>#N/A</v>
        <stp/>
        <stp>BDH|16560933284984594836</stp>
        <tr r="D184" s="10"/>
      </tp>
      <tp t="e">
        <v>#N/A</v>
        <stp/>
        <stp>BDH|10169515633834783901</stp>
        <tr r="AP52" s="10"/>
      </tp>
      <tp t="e">
        <v>#N/A</v>
        <stp/>
        <stp>BDH|11438107396034011667</stp>
        <tr r="Q142" s="10"/>
      </tp>
      <tp t="e">
        <v>#N/A</v>
        <stp/>
        <stp>BDH|15904433688735462720</stp>
        <tr r="J128" s="10"/>
      </tp>
      <tp t="e">
        <v>#N/A</v>
        <stp/>
        <stp>BDH|10438325924339448321</stp>
        <tr r="I121" s="10"/>
      </tp>
      <tp t="e">
        <v>#N/A</v>
        <stp/>
        <stp>BDH|14402969437853514640</stp>
        <tr r="AT14" s="10"/>
      </tp>
      <tp t="e">
        <v>#N/A</v>
        <stp/>
        <stp>BDH|13927633423494419894</stp>
        <tr r="AQ185" s="10"/>
      </tp>
      <tp t="e">
        <v>#N/A</v>
        <stp/>
        <stp>BDH|11727769132906477832</stp>
        <tr r="Z55" s="10"/>
      </tp>
      <tp t="e">
        <v>#N/A</v>
        <stp/>
        <stp>BDH|15074231923436473803</stp>
        <tr r="L183" s="10"/>
      </tp>
      <tp t="e">
        <v>#N/A</v>
        <stp/>
        <stp>BDH|14756099297997434190</stp>
        <tr r="AA94" s="10"/>
      </tp>
      <tp t="e">
        <v>#N/A</v>
        <stp/>
        <stp>BDH|13812441539306677972</stp>
        <tr r="AB126" s="10"/>
      </tp>
      <tp t="e">
        <v>#N/A</v>
        <stp/>
        <stp>BDH|11694485290593890425</stp>
        <tr r="AQ184" s="10"/>
      </tp>
      <tp t="e">
        <v>#N/A</v>
        <stp/>
        <stp>BDH|12445997518548105903</stp>
        <tr r="R37" s="10"/>
      </tp>
      <tp t="e">
        <v>#N/A</v>
        <stp/>
        <stp>BDH|14954997122782712610</stp>
        <tr r="AO18" s="10"/>
      </tp>
      <tp t="e">
        <v>#N/A</v>
        <stp/>
        <stp>BDH|10934033442929738681</stp>
        <tr r="AF156" s="10"/>
      </tp>
      <tp t="e">
        <v>#N/A</v>
        <stp/>
        <stp>BDH|16351393679079187054</stp>
        <tr r="K43" s="10"/>
      </tp>
      <tp t="e">
        <v>#N/A</v>
        <stp/>
        <stp>BDH|10246607149931515896</stp>
        <tr r="AH93" s="10"/>
      </tp>
      <tp t="e">
        <v>#N/A</v>
        <stp/>
        <stp>BDH|14653585187262718090</stp>
        <tr r="I120" s="10"/>
      </tp>
      <tp t="e">
        <v>#N/A</v>
        <stp/>
        <stp>BDH|17728116696565074175</stp>
        <tr r="J49" s="10"/>
      </tp>
      <tp t="e">
        <v>#N/A</v>
        <stp/>
        <stp>BDH|15837808910786865178</stp>
        <tr r="AV184" s="10"/>
      </tp>
      <tp t="e">
        <v>#N/A</v>
        <stp/>
        <stp>BDH|13440398137939505184</stp>
        <tr r="Z153" s="10"/>
      </tp>
      <tp t="e">
        <v>#N/A</v>
        <stp/>
        <stp>BDH|12793150275889405641</stp>
        <tr r="M126" s="10"/>
      </tp>
      <tp t="e">
        <v>#N/A</v>
        <stp/>
        <stp>BDH|12423723253478474365</stp>
        <tr r="E37" s="10"/>
      </tp>
      <tp t="e">
        <v>#N/A</v>
        <stp/>
        <stp>BDH|15095710711318449038</stp>
        <tr r="AP185" s="10"/>
      </tp>
      <tp t="e">
        <v>#N/A</v>
        <stp/>
        <stp>BDH|16673075833668780629</stp>
        <tr r="D64" s="10"/>
      </tp>
      <tp t="e">
        <v>#N/A</v>
        <stp/>
        <stp>BDH|13622627263380254826</stp>
        <tr r="AE126" s="10"/>
      </tp>
      <tp t="e">
        <v>#N/A</v>
        <stp/>
        <stp>BDH|12664553973168012371</stp>
        <tr r="Y137" s="10"/>
      </tp>
      <tp t="e">
        <v>#N/A</v>
        <stp/>
        <stp>BDH|10442306175156463921</stp>
        <tr r="M135" s="10"/>
      </tp>
      <tp t="e">
        <v>#N/A</v>
        <stp/>
        <stp>BDH|10341670526596521918</stp>
        <tr r="AV166" s="10"/>
      </tp>
      <tp t="e">
        <v>#N/A</v>
        <stp/>
        <stp>BDH|16769451769958565783</stp>
        <tr r="AB40" s="10"/>
      </tp>
      <tp t="e">
        <v>#N/A</v>
        <stp/>
        <stp>BDH|12227940532704289706</stp>
        <tr r="AS141" s="10"/>
      </tp>
      <tp t="e">
        <v>#N/A</v>
        <stp/>
        <stp>BDH|13799917275443326562</stp>
        <tr r="J132" s="10"/>
      </tp>
      <tp t="e">
        <v>#N/A</v>
        <stp/>
        <stp>BDH|16013803752955622523</stp>
        <tr r="AI128" s="10"/>
      </tp>
      <tp t="e">
        <v>#N/A</v>
        <stp/>
        <stp>BDH|18151647063294983791</stp>
        <tr r="AG183" s="10"/>
      </tp>
      <tp t="e">
        <v>#N/A</v>
        <stp/>
        <stp>BDH|10144652883815567041</stp>
        <tr r="AL113" s="10"/>
      </tp>
      <tp t="e">
        <v>#N/A</v>
        <stp/>
        <stp>BDH|15083477274674103940</stp>
        <tr r="AA139" s="10"/>
      </tp>
      <tp t="e">
        <v>#N/A</v>
        <stp/>
        <stp>BDH|12691873428204868776</stp>
        <tr r="C33" s="10"/>
      </tp>
      <tp t="e">
        <v>#N/A</v>
        <stp/>
        <stp>BDH|12302818821961198240</stp>
        <tr r="AK186" s="10"/>
      </tp>
      <tp t="e">
        <v>#N/A</v>
        <stp/>
        <stp>BDH|12902948194129935062</stp>
        <tr r="W88" s="10"/>
      </tp>
      <tp t="e">
        <v>#N/A</v>
        <stp/>
        <stp>BDH|16053284680333792494</stp>
        <tr r="G55" s="10"/>
      </tp>
      <tp t="e">
        <v>#N/A</v>
        <stp/>
        <stp>BDH|12391911275076772160</stp>
        <tr r="Q180" s="10"/>
      </tp>
      <tp t="e">
        <v>#N/A</v>
        <stp/>
        <stp>BDH|13911128098645675537</stp>
        <tr r="C154" s="10"/>
      </tp>
      <tp t="e">
        <v>#N/A</v>
        <stp/>
        <stp>BDH|17748208787755168372</stp>
        <tr r="AD51" s="10"/>
      </tp>
      <tp t="e">
        <v>#N/A</v>
        <stp/>
        <stp>BDH|12921441398887041333</stp>
        <tr r="D112" s="10"/>
      </tp>
      <tp t="e">
        <v>#N/A</v>
        <stp/>
        <stp>BDH|15447922223804494174</stp>
        <tr r="AI190" s="10"/>
      </tp>
      <tp t="e">
        <v>#N/A</v>
        <stp/>
        <stp>BDH|14833925823206616295</stp>
        <tr r="AF184" s="10"/>
      </tp>
      <tp t="e">
        <v>#N/A</v>
        <stp/>
        <stp>BDH|14770286988037115200</stp>
        <tr r="W52" s="10"/>
      </tp>
      <tp t="e">
        <v>#N/A</v>
        <stp/>
        <stp>BDH|13795974091219661119</stp>
        <tr r="AR90" s="10"/>
      </tp>
      <tp t="e">
        <v>#N/A</v>
        <stp/>
        <stp>BDH|17926273449713074917</stp>
        <tr r="AH126" s="10"/>
      </tp>
      <tp t="e">
        <v>#N/A</v>
        <stp/>
        <stp>BDH|14148641480332462374</stp>
        <tr r="H63" s="10"/>
      </tp>
      <tp t="e">
        <v>#N/A</v>
        <stp/>
        <stp>BDH|18074694357330073083</stp>
        <tr r="AM61" s="10"/>
      </tp>
      <tp t="e">
        <v>#N/A</v>
        <stp/>
        <stp>BDH|12963944604677684798</stp>
        <tr r="AJ49" s="10"/>
      </tp>
      <tp t="e">
        <v>#N/A</v>
        <stp/>
        <stp>BDH|12139055682842766383</stp>
        <tr r="W5" s="10"/>
      </tp>
      <tp t="e">
        <v>#N/A</v>
        <stp/>
        <stp>BDH|13756056293343835209</stp>
        <tr r="AO110" s="10"/>
      </tp>
      <tp t="e">
        <v>#N/A</v>
        <stp/>
        <stp>BDH|17046182965999507217</stp>
        <tr r="M185" s="10"/>
      </tp>
      <tp t="e">
        <v>#N/A</v>
        <stp/>
        <stp>BDH|11521270232692897913</stp>
        <tr r="AB14" s="10"/>
      </tp>
      <tp t="e">
        <v>#N/A</v>
        <stp/>
        <stp>BDH|13187262954419322690</stp>
        <tr r="AW45" s="10"/>
      </tp>
      <tp t="e">
        <v>#N/A</v>
        <stp/>
        <stp>BDH|13790671098953639471</stp>
        <tr r="AT8" s="10"/>
      </tp>
      <tp t="e">
        <v>#N/A</v>
        <stp/>
        <stp>BDH|13145026564516764890</stp>
        <tr r="AJ183" s="10"/>
      </tp>
      <tp t="e">
        <v>#N/A</v>
        <stp/>
        <stp>BDH|14187780797915790409</stp>
        <tr r="AI178" s="10"/>
      </tp>
      <tp t="e">
        <v>#N/A</v>
        <stp/>
        <stp>BDH|13019529903298187595</stp>
        <tr r="AO182" s="10"/>
      </tp>
      <tp t="e">
        <v>#N/A</v>
        <stp/>
        <stp>BDH|16986000905154572908</stp>
        <tr r="N14" s="10"/>
      </tp>
      <tp t="e">
        <v>#N/A</v>
        <stp/>
        <stp>BDH|18446719428717286164</stp>
        <tr r="R90" s="10"/>
      </tp>
      <tp t="e">
        <v>#N/A</v>
        <stp/>
        <stp>BDH|13371125399147506746</stp>
        <tr r="S40" s="10"/>
      </tp>
      <tp t="e">
        <v>#N/A</v>
        <stp/>
        <stp>BDH|13612837404512955213</stp>
        <tr r="O143" s="10"/>
      </tp>
      <tp t="e">
        <v>#N/A</v>
        <stp/>
        <stp>BDH|11594739637348176690</stp>
        <tr r="AV138" s="10"/>
      </tp>
      <tp t="e">
        <v>#N/A</v>
        <stp/>
        <stp>BDH|13278494176699596206</stp>
        <tr r="AE38" s="10"/>
      </tp>
      <tp t="e">
        <v>#N/A</v>
        <stp/>
        <stp>BDH|12293292974154770804</stp>
        <tr r="Y173" s="10"/>
      </tp>
      <tp t="e">
        <v>#N/A</v>
        <stp/>
        <stp>BDH|16180022184912692793</stp>
        <tr r="AL26" s="10"/>
      </tp>
      <tp t="e">
        <v>#N/A</v>
        <stp/>
        <stp>BDH|14587847444473456096</stp>
        <tr r="Z90" s="10"/>
      </tp>
      <tp t="e">
        <v>#N/A</v>
        <stp/>
        <stp>BDH|12087490145298628127</stp>
        <tr r="I11" s="10"/>
      </tp>
      <tp t="e">
        <v>#N/A</v>
        <stp/>
        <stp>BDH|14969068215016623842</stp>
        <tr r="F188" s="10"/>
      </tp>
      <tp t="e">
        <v>#N/A</v>
        <stp/>
        <stp>BDH|12194931839430044336</stp>
        <tr r="AI47" s="10"/>
      </tp>
      <tp t="e">
        <v>#N/A</v>
        <stp/>
        <stp>BDH|12886866167140955787</stp>
        <tr r="E189" s="10"/>
      </tp>
      <tp t="e">
        <v>#N/A</v>
        <stp/>
        <stp>BDH|12064243158809269767</stp>
        <tr r="H77" s="10"/>
      </tp>
      <tp t="e">
        <v>#N/A</v>
        <stp/>
        <stp>BDH|16702227154573181986</stp>
        <tr r="AL61" s="10"/>
      </tp>
      <tp t="e">
        <v>#N/A</v>
        <stp/>
        <stp>BDH|16041328355963786881</stp>
        <tr r="P40" s="10"/>
      </tp>
      <tp t="e">
        <v>#N/A</v>
        <stp/>
        <stp>BDH|17023703644108990758</stp>
        <tr r="AN62" s="10"/>
      </tp>
      <tp t="e">
        <v>#N/A</v>
        <stp/>
        <stp>BDH|14590094954969927391</stp>
        <tr r="I43" s="10"/>
      </tp>
      <tp t="e">
        <v>#N/A</v>
        <stp/>
        <stp>BDH|12813675888376799189</stp>
        <tr r="AF170" s="10"/>
      </tp>
      <tp t="e">
        <v>#N/A</v>
        <stp/>
        <stp>BDH|17571215594174118394</stp>
        <tr r="I19" s="10"/>
      </tp>
      <tp t="e">
        <v>#N/A</v>
        <stp/>
        <stp>BDH|18372006579630407461</stp>
        <tr r="T95" s="10"/>
      </tp>
      <tp t="e">
        <v>#N/A</v>
        <stp/>
        <stp>BDH|12578182603820219848</stp>
        <tr r="U161" s="10"/>
      </tp>
      <tp t="e">
        <v>#N/A</v>
        <stp/>
        <stp>BDH|17500537426812927926</stp>
        <tr r="AK39" s="10"/>
      </tp>
      <tp t="e">
        <v>#N/A</v>
        <stp/>
        <stp>BDH|12837017501431781842</stp>
        <tr r="AS109" s="10"/>
      </tp>
      <tp t="e">
        <v>#N/A</v>
        <stp/>
        <stp>BDH|13508990372787063158</stp>
        <tr r="AG152" s="10"/>
      </tp>
      <tp t="e">
        <v>#N/A</v>
        <stp/>
        <stp>BDH|18191179749870021643</stp>
        <tr r="AF22" s="10"/>
      </tp>
      <tp t="e">
        <v>#N/A</v>
        <stp/>
        <stp>BDH|14850534490281536258</stp>
        <tr r="F55" s="10"/>
      </tp>
      <tp t="e">
        <v>#N/A</v>
        <stp/>
        <stp>BDH|15332335889340714559</stp>
        <tr r="AU99" s="10"/>
      </tp>
      <tp t="e">
        <v>#N/A</v>
        <stp/>
        <stp>BDH|13451557037378543689</stp>
        <tr r="V65" s="10"/>
      </tp>
      <tp t="e">
        <v>#N/A</v>
        <stp/>
        <stp>BDH|11767426881301705780</stp>
        <tr r="AR123" s="10"/>
      </tp>
      <tp t="e">
        <v>#N/A</v>
        <stp/>
        <stp>BDH|14857187794783729481</stp>
        <tr r="AH91" s="10"/>
      </tp>
      <tp t="e">
        <v>#N/A</v>
        <stp/>
        <stp>BDH|12951829361577150009</stp>
        <tr r="Y193" s="10"/>
      </tp>
      <tp t="e">
        <v>#N/A</v>
        <stp/>
        <stp>BDH|11640450989333754578</stp>
        <tr r="AT28" s="10"/>
      </tp>
      <tp t="e">
        <v>#N/A</v>
        <stp/>
        <stp>BDH|15837229787655753103</stp>
        <tr r="N142" s="10"/>
      </tp>
      <tp t="e">
        <v>#N/A</v>
        <stp/>
        <stp>BDH|16918828558653143382</stp>
        <tr r="L3" s="10"/>
      </tp>
      <tp t="e">
        <v>#N/A</v>
        <stp/>
        <stp>BDH|17875279382970283657</stp>
        <tr r="V159" s="10"/>
      </tp>
      <tp t="e">
        <v>#N/A</v>
        <stp/>
        <stp>BDH|14844512880036003439</stp>
        <tr r="AA25" s="10"/>
      </tp>
      <tp t="e">
        <v>#N/A</v>
        <stp/>
        <stp>BDH|17624538447899056489</stp>
        <tr r="AV101" s="10"/>
      </tp>
      <tp t="e">
        <v>#N/A</v>
        <stp/>
        <stp>BDH|13008118289004463560</stp>
        <tr r="K10" s="10"/>
      </tp>
      <tp t="e">
        <v>#N/A</v>
        <stp/>
        <stp>BDH|17890953970334508627</stp>
        <tr r="AL79" s="10"/>
      </tp>
      <tp t="e">
        <v>#N/A</v>
        <stp/>
        <stp>BDH|12696711104218837614</stp>
        <tr r="AM96" s="10"/>
      </tp>
      <tp t="e">
        <v>#N/A</v>
        <stp/>
        <stp>BDH|12012885590419296104</stp>
        <tr r="AF50" s="10"/>
      </tp>
      <tp t="e">
        <v>#N/A</v>
        <stp/>
        <stp>BDH|11622681781652017658</stp>
        <tr r="M29" s="10"/>
      </tp>
      <tp t="e">
        <v>#N/A</v>
        <stp/>
        <stp>BDH|17621729605703270898</stp>
        <tr r="AV26" s="10"/>
      </tp>
      <tp t="e">
        <v>#N/A</v>
        <stp/>
        <stp>BDH|13800576192780226451</stp>
        <tr r="Y19" s="10"/>
      </tp>
      <tp t="e">
        <v>#N/A</v>
        <stp/>
        <stp>BDH|16175525159455361832</stp>
        <tr r="O72" s="10"/>
      </tp>
      <tp t="e">
        <v>#N/A</v>
        <stp/>
        <stp>BDH|11169082341278541673</stp>
        <tr r="W15" s="10"/>
      </tp>
      <tp t="e">
        <v>#N/A</v>
        <stp/>
        <stp>BDH|14775936120781756592</stp>
        <tr r="N62" s="10"/>
      </tp>
      <tp t="e">
        <v>#N/A</v>
        <stp/>
        <stp>BDH|16003255887042053580</stp>
        <tr r="AP158" s="10"/>
      </tp>
      <tp t="e">
        <v>#N/A</v>
        <stp/>
        <stp>BDH|12571199737693390826</stp>
        <tr r="AC88" s="10"/>
      </tp>
      <tp t="e">
        <v>#N/A</v>
        <stp/>
        <stp>BDH|17776812359218160946</stp>
        <tr r="AG165" s="10"/>
      </tp>
      <tp t="e">
        <v>#N/A</v>
        <stp/>
        <stp>BDH|13669439518179093472</stp>
        <tr r="Z188" s="10"/>
      </tp>
      <tp t="e">
        <v>#N/A</v>
        <stp/>
        <stp>BDH|14411959299449500678</stp>
        <tr r="F153" s="10"/>
      </tp>
      <tp t="e">
        <v>#N/A</v>
        <stp/>
        <stp>BDH|14305885701015060278</stp>
        <tr r="AU156" s="10"/>
      </tp>
      <tp t="e">
        <v>#N/A</v>
        <stp/>
        <stp>BDH|13681339772004834829</stp>
        <tr r="AB149" s="10"/>
      </tp>
      <tp t="e">
        <v>#N/A</v>
        <stp/>
        <stp>BDH|11752299243158047400</stp>
        <tr r="V97" s="10"/>
      </tp>
      <tp t="e">
        <v>#N/A</v>
        <stp/>
        <stp>BDH|13611469206714998828</stp>
        <tr r="P193" s="10"/>
      </tp>
      <tp t="e">
        <v>#N/A</v>
        <stp/>
        <stp>BDH|12907984117011916027</stp>
        <tr r="J101" s="10"/>
      </tp>
      <tp t="e">
        <v>#N/A</v>
        <stp/>
        <stp>BDH|17081263483552176498</stp>
        <tr r="O123" s="10"/>
      </tp>
      <tp t="e">
        <v>#N/A</v>
        <stp/>
        <stp>BDH|15106503473568838472</stp>
        <tr r="AJ70" s="10"/>
      </tp>
      <tp t="e">
        <v>#N/A</v>
        <stp/>
        <stp>BDH|16250915125020258693</stp>
        <tr r="G189" s="10"/>
      </tp>
      <tp t="e">
        <v>#N/A</v>
        <stp/>
        <stp>BDH|17313757488606726544</stp>
        <tr r="T160" s="10"/>
      </tp>
      <tp t="e">
        <v>#N/A</v>
        <stp/>
        <stp>BDH|15342221998427481213</stp>
        <tr r="AP171" s="10"/>
      </tp>
      <tp t="e">
        <v>#N/A</v>
        <stp/>
        <stp>BDH|18222219351994828068</stp>
        <tr r="AE15" s="10"/>
      </tp>
      <tp t="e">
        <v>#N/A</v>
        <stp/>
        <stp>BDH|14398081955378020226</stp>
        <tr r="AP117" s="10"/>
      </tp>
      <tp t="e">
        <v>#N/A</v>
        <stp/>
        <stp>BDH|10034258909121017805</stp>
        <tr r="AH147" s="10"/>
      </tp>
      <tp t="e">
        <v>#N/A</v>
        <stp/>
        <stp>BDH|14543881844451147248</stp>
        <tr r="AV97" s="10"/>
      </tp>
      <tp t="e">
        <v>#N/A</v>
        <stp/>
        <stp>BDH|10007075649676038926</stp>
        <tr r="AT109" s="10"/>
      </tp>
      <tp t="e">
        <v>#N/A</v>
        <stp/>
        <stp>BDH|15018080961509445116</stp>
        <tr r="AD74" s="10"/>
      </tp>
      <tp t="e">
        <v>#N/A</v>
        <stp/>
        <stp>BDH|15561415078478385539</stp>
        <tr r="AD82" s="10"/>
      </tp>
      <tp t="e">
        <v>#N/A</v>
        <stp/>
        <stp>BDH|11561919917365691791</stp>
        <tr r="Z19" s="10"/>
      </tp>
      <tp t="e">
        <v>#N/A</v>
        <stp/>
        <stp>BDH|15387553255989978761</stp>
        <tr r="AP116" s="10"/>
      </tp>
      <tp t="e">
        <v>#N/A</v>
        <stp/>
        <stp>BDH|16054174891045189082</stp>
        <tr r="AK82" s="10"/>
      </tp>
      <tp t="e">
        <v>#N/A</v>
        <stp/>
        <stp>BDH|10800288729878330358</stp>
        <tr r="Z71" s="10"/>
      </tp>
      <tp t="e">
        <v>#N/A</v>
        <stp/>
        <stp>BDH|14282699382950094168</stp>
        <tr r="N43" s="10"/>
      </tp>
      <tp t="e">
        <v>#N/A</v>
        <stp/>
        <stp>BDH|10652196224471680927</stp>
        <tr r="AL59" s="10"/>
      </tp>
      <tp t="e">
        <v>#N/A</v>
        <stp/>
        <stp>BDH|17882541174427431931</stp>
        <tr r="K38" s="10"/>
      </tp>
      <tp t="e">
        <v>#N/A</v>
        <stp/>
        <stp>BDH|14307410054328142689</stp>
        <tr r="L39" s="10"/>
      </tp>
      <tp t="e">
        <v>#N/A</v>
        <stp/>
        <stp>BDH|16584131779522157917</stp>
        <tr r="AB89" s="10"/>
      </tp>
      <tp t="e">
        <v>#N/A</v>
        <stp/>
        <stp>BDH|13016644361848843027</stp>
        <tr r="F110" s="10"/>
      </tp>
      <tp t="e">
        <v>#N/A</v>
        <stp/>
        <stp>BDH|17595833463397882526</stp>
        <tr r="AH134" s="10"/>
      </tp>
      <tp t="e">
        <v>#N/A</v>
        <stp/>
        <stp>BDH|12509090072306864893</stp>
        <tr r="AT140" s="10"/>
      </tp>
      <tp t="e">
        <v>#N/A</v>
        <stp/>
        <stp>BDH|12242901240325949147</stp>
        <tr r="AO84" s="10"/>
      </tp>
      <tp t="e">
        <v>#N/A</v>
        <stp/>
        <stp>BDH|13101878095088489185</stp>
        <tr r="V58" s="10"/>
      </tp>
      <tp t="e">
        <v>#N/A</v>
        <stp/>
        <stp>BDH|11247894285039225336</stp>
        <tr r="H100" s="10"/>
      </tp>
      <tp t="e">
        <v>#N/A</v>
        <stp/>
        <stp>BDH|14583394932797768874</stp>
        <tr r="M74" s="10"/>
      </tp>
      <tp t="e">
        <v>#N/A</v>
        <stp/>
        <stp>BDH|16770780707249349359</stp>
        <tr r="Y71" s="10"/>
      </tp>
      <tp t="e">
        <v>#N/A</v>
        <stp/>
        <stp>BDH|11787983667470258544</stp>
        <tr r="AU193" s="10"/>
      </tp>
      <tp t="e">
        <v>#N/A</v>
        <stp/>
        <stp>BDH|13994044080635402575</stp>
        <tr r="AL27" s="10"/>
      </tp>
      <tp t="e">
        <v>#N/A</v>
        <stp/>
        <stp>BDH|18431114098333683852</stp>
        <tr r="AO38" s="10"/>
      </tp>
      <tp t="e">
        <v>#N/A</v>
        <stp/>
        <stp>BDH|11222850431373855207</stp>
        <tr r="M157" s="10"/>
      </tp>
      <tp t="e">
        <v>#N/A</v>
        <stp/>
        <stp>BDH|12089523873463850879</stp>
        <tr r="AH86" s="10"/>
      </tp>
      <tp t="e">
        <v>#N/A</v>
        <stp/>
        <stp>BDH|10130610494084330092</stp>
        <tr r="T171" s="10"/>
      </tp>
      <tp t="e">
        <v>#N/A</v>
        <stp/>
        <stp>BDH|10171373220309973312</stp>
        <tr r="AE31" s="10"/>
      </tp>
      <tp t="e">
        <v>#N/A</v>
        <stp/>
        <stp>BDH|14923948013597066008</stp>
        <tr r="K106" s="10"/>
      </tp>
      <tp t="e">
        <v>#N/A</v>
        <stp/>
        <stp>BDH|11766304311791829907</stp>
        <tr r="AU8" s="10"/>
      </tp>
      <tp t="e">
        <v>#N/A</v>
        <stp/>
        <stp>BDH|17482958466653841012</stp>
        <tr r="U49" s="10"/>
      </tp>
      <tp t="e">
        <v>#N/A</v>
        <stp/>
        <stp>BDH|14143004141719717291</stp>
        <tr r="P153" s="10"/>
      </tp>
      <tp t="e">
        <v>#N/A</v>
        <stp/>
        <stp>BDH|13218781494327741172</stp>
        <tr r="AD63" s="10"/>
      </tp>
      <tp t="e">
        <v>#N/A</v>
        <stp/>
        <stp>BDH|15737926410077863136</stp>
        <tr r="L178" s="10"/>
      </tp>
      <tp t="s">
        <v>#N/A Requesting Data...4152576765</v>
        <stp/>
        <stp>BDP|16985691485069931959</stp>
        <tr r="I21" s="1"/>
      </tp>
      <tp t="s">
        <v>#N/A Requesting Data...4234937118</v>
        <stp/>
        <stp>BDP|12818672958991998850</stp>
        <tr r="I27" s="1"/>
      </tp>
      <tp t="s">
        <v>#N/A Requesting Data...3986314037</v>
        <stp/>
        <stp>BDP|16558283330686978999</stp>
        <tr r="D34" s="6"/>
        <tr r="H23" s="1"/>
      </tp>
      <tp t="s">
        <v>#N/A Requesting Data...4209060109</v>
        <stp/>
        <stp>BDP|15999711385170263235</stp>
        <tr r="I9" s="1"/>
      </tp>
      <tp t="s">
        <v>#N/A Requesting Data...4061403904</v>
        <stp/>
        <stp>BDP|13369396386189097906</stp>
        <tr r="B45" s="1"/>
      </tp>
      <tp t="s">
        <v>#N/A Requesting Data...4271906134</v>
        <stp/>
        <stp>BDP|13234291074017352901</stp>
        <tr r="F32" s="2"/>
        <tr r="F85" s="2"/>
        <tr r="F94" s="2"/>
      </tp>
      <tp t="s">
        <v>#N/A Requesting Data...4155620313</v>
        <stp/>
        <stp>BDP|10889802456174354124</stp>
        <tr r="D33" s="1"/>
      </tp>
      <tp t="s">
        <v>#N/A Requesting Data...4079855271</v>
        <stp/>
        <stp>BDP|15861620975025090906</stp>
        <tr r="I35" s="1"/>
      </tp>
      <tp t="s">
        <v>#N/A Requesting Data...4057742823</v>
        <stp/>
        <stp>BDP|14267489634759981289</stp>
        <tr r="O8" s="1"/>
      </tp>
      <tp t="s">
        <v>#N/A N/A</v>
        <stp/>
        <stp>BDP|14062406865806503814</stp>
        <tr r="D49" s="1"/>
      </tp>
      <tp t="s">
        <v>#N/A Requesting Data...4084220623</v>
        <stp/>
        <stp>BDP|12587825077696538356</stp>
        <tr r="D26" s="6"/>
        <tr r="H19" s="1"/>
      </tp>
      <tp t="s">
        <v>#N/A Requesting Data...4141709280</v>
        <stp/>
        <stp>BDP|10962536692824948042</stp>
        <tr r="B6" s="6"/>
        <tr r="E5" s="1"/>
        <tr r="H6" s="2"/>
        <tr r="H78" s="2"/>
      </tp>
      <tp t="s">
        <v>#N/A Requesting Data...4005059632</v>
        <stp/>
        <stp>BDP|16180530206353800888</stp>
        <tr r="B26" s="1"/>
      </tp>
      <tp t="e">
        <v>#N/A</v>
        <stp/>
        <stp>BDH|12203155366635888880</stp>
        <tr r="V112" s="10"/>
      </tp>
      <tp t="e">
        <v>#N/A</v>
        <stp/>
        <stp>BDH|14320158380632616717</stp>
        <tr r="T105" s="10"/>
      </tp>
      <tp t="e">
        <v>#N/A</v>
        <stp/>
        <stp>BDH|18177051834455739668</stp>
        <tr r="AL28" s="10"/>
      </tp>
      <tp t="e">
        <v>#N/A</v>
        <stp/>
        <stp>BDH|14606721865314028908</stp>
        <tr r="AG166" s="10"/>
      </tp>
      <tp t="e">
        <v>#N/A</v>
        <stp/>
        <stp>BDH|17306676190862050254</stp>
        <tr r="C100" s="10"/>
      </tp>
      <tp t="e">
        <v>#N/A</v>
        <stp/>
        <stp>BDH|12557276997630588113</stp>
        <tr r="I179" s="10"/>
      </tp>
      <tp t="e">
        <v>#N/A</v>
        <stp/>
        <stp>BDH|16029914304805436201</stp>
        <tr r="C48" s="10"/>
      </tp>
      <tp t="e">
        <v>#N/A</v>
        <stp/>
        <stp>BDH|17085927401794177233</stp>
        <tr r="AS88" s="10"/>
      </tp>
      <tp t="e">
        <v>#N/A</v>
        <stp/>
        <stp>BDH|14680246511066408962</stp>
        <tr r="AC53" s="10"/>
      </tp>
      <tp t="e">
        <v>#N/A</v>
        <stp/>
        <stp>BDH|12304883703174029693</stp>
        <tr r="G106" s="10"/>
      </tp>
      <tp t="e">
        <v>#N/A</v>
        <stp/>
        <stp>BDH|14929270250408643390</stp>
        <tr r="I148" s="10"/>
      </tp>
      <tp t="e">
        <v>#N/A</v>
        <stp/>
        <stp>BDH|15680538945039948586</stp>
        <tr r="AK107" s="10"/>
      </tp>
      <tp t="e">
        <v>#N/A</v>
        <stp/>
        <stp>BDH|10508023697490259134</stp>
        <tr r="AG48" s="10"/>
      </tp>
      <tp t="e">
        <v>#N/A</v>
        <stp/>
        <stp>BDH|13080568519117936874</stp>
        <tr r="AC45" s="10"/>
      </tp>
      <tp t="e">
        <v>#N/A</v>
        <stp/>
        <stp>BDH|13299286175097850972</stp>
        <tr r="N7" s="10"/>
      </tp>
      <tp t="e">
        <v>#N/A</v>
        <stp/>
        <stp>BDH|14389516088815992430</stp>
        <tr r="I88" s="10"/>
      </tp>
      <tp t="e">
        <v>#N/A</v>
        <stp/>
        <stp>BDH|12808925939827030731</stp>
        <tr r="D47" s="10"/>
      </tp>
      <tp t="e">
        <v>#N/A</v>
        <stp/>
        <stp>BDH|18187607156386644515</stp>
        <tr r="AS16" s="10"/>
      </tp>
      <tp t="e">
        <v>#N/A</v>
        <stp/>
        <stp>BDH|10114628992787631071</stp>
        <tr r="AD177" s="10"/>
      </tp>
      <tp t="e">
        <v>#N/A</v>
        <stp/>
        <stp>BDH|13581653564608712330</stp>
        <tr r="AP83" s="10"/>
      </tp>
      <tp t="e">
        <v>#N/A</v>
        <stp/>
        <stp>BDH|18039953598515500585</stp>
        <tr r="K189" s="10"/>
      </tp>
      <tp t="e">
        <v>#N/A</v>
        <stp/>
        <stp>BDH|18200355322741343061</stp>
        <tr r="AL64" s="10"/>
      </tp>
      <tp t="e">
        <v>#N/A</v>
        <stp/>
        <stp>BDH|12533573816049260760</stp>
        <tr r="AA123" s="10"/>
      </tp>
      <tp t="e">
        <v>#N/A</v>
        <stp/>
        <stp>BDH|16349854936306072302</stp>
        <tr r="AG111" s="10"/>
      </tp>
      <tp t="e">
        <v>#N/A</v>
        <stp/>
        <stp>BDH|12906818515956830556</stp>
        <tr r="P45" s="10"/>
      </tp>
      <tp t="e">
        <v>#N/A</v>
        <stp/>
        <stp>BDH|15894317322358978411</stp>
        <tr r="P27" s="10"/>
      </tp>
      <tp t="e">
        <v>#N/A</v>
        <stp/>
        <stp>BDH|15628349374340148946</stp>
        <tr r="H146" s="10"/>
      </tp>
      <tp t="e">
        <v>#N/A</v>
        <stp/>
        <stp>BDH|16080629892366597762</stp>
        <tr r="AQ112" s="10"/>
      </tp>
      <tp t="e">
        <v>#N/A</v>
        <stp/>
        <stp>BDH|17033651269947951866</stp>
        <tr r="AB8" s="10"/>
      </tp>
      <tp t="e">
        <v>#N/A</v>
        <stp/>
        <stp>BDH|13238138883727627572</stp>
        <tr r="E165" s="10"/>
      </tp>
      <tp t="e">
        <v>#N/A</v>
        <stp/>
        <stp>BDH|16631436970189790411</stp>
        <tr r="N15" s="10"/>
      </tp>
      <tp t="e">
        <v>#N/A</v>
        <stp/>
        <stp>BDH|12416910532870676022</stp>
        <tr r="M75" s="10"/>
      </tp>
      <tp t="e">
        <v>#N/A</v>
        <stp/>
        <stp>BDH|16526192340449935265</stp>
        <tr r="R86" s="10"/>
      </tp>
      <tp t="e">
        <v>#N/A</v>
        <stp/>
        <stp>BDH|16763443911749045216</stp>
        <tr r="S118" s="10"/>
      </tp>
      <tp t="e">
        <v>#N/A</v>
        <stp/>
        <stp>BDH|18370502259455082599</stp>
        <tr r="V140" s="10"/>
      </tp>
      <tp t="e">
        <v>#N/A</v>
        <stp/>
        <stp>BDH|16487721792475697514</stp>
        <tr r="M125" s="10"/>
      </tp>
      <tp t="e">
        <v>#N/A</v>
        <stp/>
        <stp>BDH|10089880472994914305</stp>
        <tr r="U146" s="10"/>
      </tp>
      <tp t="e">
        <v>#N/A</v>
        <stp/>
        <stp>BDH|12318968719652937068</stp>
        <tr r="AC52" s="10"/>
      </tp>
      <tp t="e">
        <v>#N/A</v>
        <stp/>
        <stp>BDH|12854443399664587322</stp>
        <tr r="U127" s="10"/>
      </tp>
      <tp t="e">
        <v>#N/A</v>
        <stp/>
        <stp>BDH|14063397726704546988</stp>
        <tr r="W12" s="10"/>
      </tp>
      <tp t="e">
        <v>#N/A</v>
        <stp/>
        <stp>BDH|17982627532388306283</stp>
        <tr r="AN82" s="10"/>
      </tp>
      <tp t="e">
        <v>#N/A</v>
        <stp/>
        <stp>BDH|18206165140830633503</stp>
        <tr r="AD193" s="10"/>
      </tp>
      <tp t="e">
        <v>#N/A</v>
        <stp/>
        <stp>BDH|11334156189663861358</stp>
        <tr r="I115" s="10"/>
      </tp>
      <tp t="e">
        <v>#N/A</v>
        <stp/>
        <stp>BDH|16051007072411930899</stp>
        <tr r="Z54" s="10"/>
      </tp>
      <tp t="e">
        <v>#N/A</v>
        <stp/>
        <stp>BDH|10597159456984732838</stp>
        <tr r="AP186" s="10"/>
      </tp>
      <tp t="e">
        <v>#N/A</v>
        <stp/>
        <stp>BDH|18006118765467146078</stp>
        <tr r="F45" s="10"/>
      </tp>
      <tp t="e">
        <v>#N/A</v>
        <stp/>
        <stp>BDH|12823813055682727592</stp>
        <tr r="M51" s="10"/>
      </tp>
      <tp t="e">
        <v>#N/A</v>
        <stp/>
        <stp>BDH|16378765497457846785</stp>
        <tr r="AT7" s="10"/>
      </tp>
      <tp t="e">
        <v>#N/A</v>
        <stp/>
        <stp>BDH|13163308684102094271</stp>
        <tr r="J59" s="10"/>
      </tp>
      <tp t="e">
        <v>#N/A</v>
        <stp/>
        <stp>BDH|12414600142298444001</stp>
        <tr r="AI34" s="10"/>
      </tp>
      <tp t="e">
        <v>#N/A</v>
        <stp/>
        <stp>BDH|16183843748930777283</stp>
        <tr r="AQ105" s="10"/>
      </tp>
      <tp t="e">
        <v>#N/A</v>
        <stp/>
        <stp>BDH|13369114730718440144</stp>
        <tr r="C97" s="10"/>
      </tp>
      <tp t="e">
        <v>#N/A</v>
        <stp/>
        <stp>BDH|10441344965154143961</stp>
        <tr r="AB170" s="10"/>
      </tp>
      <tp t="e">
        <v>#N/A</v>
        <stp/>
        <stp>BDH|18100373837856694656</stp>
        <tr r="AP13" s="10"/>
      </tp>
      <tp t="e">
        <v>#N/A</v>
        <stp/>
        <stp>BDH|15231247205628740762</stp>
        <tr r="K42" s="10"/>
      </tp>
      <tp t="e">
        <v>#N/A</v>
        <stp/>
        <stp>BDH|10582571141790327956</stp>
        <tr r="AM82" s="10"/>
      </tp>
      <tp t="e">
        <v>#N/A</v>
        <stp/>
        <stp>BDH|17949702666819367792</stp>
        <tr r="H179" s="10"/>
      </tp>
      <tp t="e">
        <v>#N/A</v>
        <stp/>
        <stp>BDH|12725406026949333571</stp>
        <tr r="T15" s="10"/>
      </tp>
      <tp t="e">
        <v>#N/A</v>
        <stp/>
        <stp>BDH|18205212182323563919</stp>
        <tr r="AL88" s="10"/>
      </tp>
      <tp t="e">
        <v>#N/A</v>
        <stp/>
        <stp>BDH|18191712381409633622</stp>
        <tr r="AP47" s="10"/>
      </tp>
      <tp t="e">
        <v>#N/A</v>
        <stp/>
        <stp>BDH|12184703368593448886</stp>
        <tr r="G86" s="10"/>
      </tp>
      <tp t="e">
        <v>#N/A</v>
        <stp/>
        <stp>BDH|13059851923396335707</stp>
        <tr r="AA86" s="10"/>
      </tp>
      <tp t="e">
        <v>#N/A</v>
        <stp/>
        <stp>BDH|11640186591581337097</stp>
        <tr r="L10" s="10"/>
      </tp>
      <tp t="e">
        <v>#N/A</v>
        <stp/>
        <stp>BDH|13207464510609921783</stp>
        <tr r="AE65" s="10"/>
      </tp>
      <tp t="e">
        <v>#N/A</v>
        <stp/>
        <stp>BDH|14095855561237069519</stp>
        <tr r="E33" s="10"/>
      </tp>
      <tp t="e">
        <v>#N/A</v>
        <stp/>
        <stp>BDH|11095614403846538926</stp>
        <tr r="AH186" s="10"/>
      </tp>
      <tp t="e">
        <v>#N/A</v>
        <stp/>
        <stp>BDH|13249919900280561239</stp>
        <tr r="AL44" s="10"/>
      </tp>
      <tp t="e">
        <v>#N/A</v>
        <stp/>
        <stp>BDH|10344812173664799339</stp>
        <tr r="AI6" s="10"/>
      </tp>
      <tp t="e">
        <v>#N/A</v>
        <stp/>
        <stp>BDH|11654126383670386018</stp>
        <tr r="V82" s="10"/>
      </tp>
      <tp t="e">
        <v>#N/A</v>
        <stp/>
        <stp>BDH|13807429894817207195</stp>
        <tr r="AW38" s="10"/>
      </tp>
      <tp t="e">
        <v>#N/A</v>
        <stp/>
        <stp>BDH|12861939134667243789</stp>
        <tr r="AW180" s="10"/>
      </tp>
      <tp t="e">
        <v>#N/A</v>
        <stp/>
        <stp>BDH|17067814530894104043</stp>
        <tr r="S49" s="10"/>
      </tp>
      <tp t="e">
        <v>#N/A</v>
        <stp/>
        <stp>BDH|13341879952630509673</stp>
        <tr r="AJ8" s="10"/>
      </tp>
      <tp t="e">
        <v>#N/A</v>
        <stp/>
        <stp>BDH|16253942783258093714</stp>
        <tr r="AC50" s="10"/>
      </tp>
      <tp t="e">
        <v>#N/A</v>
        <stp/>
        <stp>BDH|13545890800836905512</stp>
        <tr r="AS117" s="10"/>
      </tp>
      <tp t="e">
        <v>#N/A</v>
        <stp/>
        <stp>BDH|17871507646878942630</stp>
        <tr r="H55" s="10"/>
      </tp>
      <tp t="e">
        <v>#N/A</v>
        <stp/>
        <stp>BDH|10968996667444055332</stp>
        <tr r="L104" s="10"/>
      </tp>
      <tp t="e">
        <v>#N/A</v>
        <stp/>
        <stp>BDH|14905163950478948021</stp>
        <tr r="I188" s="10"/>
      </tp>
      <tp t="e">
        <v>#N/A</v>
        <stp/>
        <stp>BDH|17325206954459450174</stp>
        <tr r="AL94" s="10"/>
      </tp>
      <tp t="e">
        <v>#N/A</v>
        <stp/>
        <stp>BDH|14212691462128850454</stp>
        <tr r="U96" s="10"/>
      </tp>
      <tp t="e">
        <v>#N/A</v>
        <stp/>
        <stp>BDH|16010316976719205317</stp>
        <tr r="AP86" s="10"/>
      </tp>
      <tp t="e">
        <v>#N/A</v>
        <stp/>
        <stp>BDH|14030385653948791281</stp>
        <tr r="E130" s="10"/>
      </tp>
      <tp t="e">
        <v>#N/A</v>
        <stp/>
        <stp>BDH|17808497691205540717</stp>
        <tr r="AQ107" s="10"/>
      </tp>
      <tp t="e">
        <v>#N/A</v>
        <stp/>
        <stp>BDH|11814992080188447010</stp>
        <tr r="W54" s="10"/>
      </tp>
      <tp t="e">
        <v>#N/A</v>
        <stp/>
        <stp>BDH|11642819549575899024</stp>
        <tr r="AC47" s="10"/>
      </tp>
      <tp t="e">
        <v>#N/A</v>
        <stp/>
        <stp>BDH|13505294080209858807</stp>
        <tr r="X190" s="10"/>
      </tp>
      <tp t="e">
        <v>#N/A</v>
        <stp/>
        <stp>BDH|11081176212708379114</stp>
        <tr r="AV177" s="10"/>
      </tp>
      <tp t="e">
        <v>#N/A</v>
        <stp/>
        <stp>BDH|14830094971162012979</stp>
        <tr r="AB44" s="10"/>
      </tp>
      <tp t="e">
        <v>#N/A</v>
        <stp/>
        <stp>BDH|17624914672151129038</stp>
        <tr r="AN156" s="10"/>
      </tp>
      <tp t="e">
        <v>#N/A</v>
        <stp/>
        <stp>BDH|12780087437130740987</stp>
        <tr r="AM181" s="10"/>
      </tp>
      <tp t="e">
        <v>#N/A</v>
        <stp/>
        <stp>BDH|17978383994954295108</stp>
        <tr r="AV31" s="10"/>
      </tp>
      <tp t="e">
        <v>#N/A</v>
        <stp/>
        <stp>BDH|14075675592860303319</stp>
        <tr r="M79" s="10"/>
      </tp>
      <tp t="e">
        <v>#N/A</v>
        <stp/>
        <stp>BDH|14530153602538227574</stp>
        <tr r="I91" s="10"/>
      </tp>
      <tp t="e">
        <v>#N/A</v>
        <stp/>
        <stp>BDH|11972133596767888639</stp>
        <tr r="T146" s="10"/>
      </tp>
      <tp t="e">
        <v>#N/A</v>
        <stp/>
        <stp>BDH|10421760397174710250</stp>
        <tr r="F42" s="10"/>
      </tp>
      <tp t="e">
        <v>#N/A</v>
        <stp/>
        <stp>BDH|14974772223191303895</stp>
        <tr r="T7" s="10"/>
      </tp>
      <tp t="e">
        <v>#N/A</v>
        <stp/>
        <stp>BDH|10069421187444031027</stp>
        <tr r="AA58" s="10"/>
      </tp>
      <tp t="e">
        <v>#N/A</v>
        <stp/>
        <stp>BDH|17451943491008609701</stp>
        <tr r="AL139" s="10"/>
      </tp>
      <tp t="e">
        <v>#N/A</v>
        <stp/>
        <stp>BDH|10179943767240673737</stp>
        <tr r="AK40" s="10"/>
      </tp>
      <tp t="e">
        <v>#N/A</v>
        <stp/>
        <stp>BDH|16572365511659517503</stp>
        <tr r="AM33" s="10"/>
      </tp>
      <tp t="e">
        <v>#N/A</v>
        <stp/>
        <stp>BDH|12117664097722373743</stp>
        <tr r="M61" s="10"/>
      </tp>
      <tp t="e">
        <v>#N/A</v>
        <stp/>
        <stp>BDH|14803674363935982923</stp>
        <tr r="AV145" s="10"/>
      </tp>
      <tp t="e">
        <v>#N/A</v>
        <stp/>
        <stp>BDH|12138201294299543871</stp>
        <tr r="AL143" s="10"/>
      </tp>
      <tp t="e">
        <v>#N/A</v>
        <stp/>
        <stp>BDH|14285021675789324207</stp>
        <tr r="S89" s="10"/>
      </tp>
      <tp t="e">
        <v>#N/A</v>
        <stp/>
        <stp>BDH|12286561090336632042</stp>
        <tr r="U51" s="10"/>
      </tp>
      <tp t="e">
        <v>#N/A</v>
        <stp/>
        <stp>BDH|13305449103317182839</stp>
        <tr r="AW111" s="10"/>
      </tp>
      <tp t="e">
        <v>#N/A</v>
        <stp/>
        <stp>BDH|16220135511649328759</stp>
        <tr r="P32" s="10"/>
      </tp>
      <tp t="e">
        <v>#N/A</v>
        <stp/>
        <stp>BDH|12173980313207594595</stp>
        <tr r="AJ113" s="10"/>
      </tp>
      <tp t="e">
        <v>#N/A</v>
        <stp/>
        <stp>BDH|16988787956239720566</stp>
        <tr r="U6" s="10"/>
      </tp>
      <tp t="e">
        <v>#N/A</v>
        <stp/>
        <stp>BDH|18080021295440254930</stp>
        <tr r="AU157" s="10"/>
      </tp>
      <tp t="e">
        <v>#N/A</v>
        <stp/>
        <stp>BDH|11945319893422948143</stp>
        <tr r="E18" s="10"/>
      </tp>
      <tp t="e">
        <v>#N/A</v>
        <stp/>
        <stp>BDH|15387826482309330463</stp>
        <tr r="O80" s="10"/>
      </tp>
      <tp t="e">
        <v>#N/A</v>
        <stp/>
        <stp>BDH|16911102671169931172</stp>
        <tr r="T145" s="10"/>
      </tp>
      <tp t="e">
        <v>#N/A</v>
        <stp/>
        <stp>BDH|14572794994174962676</stp>
        <tr r="D145" s="10"/>
      </tp>
      <tp t="e">
        <v>#N/A</v>
        <stp/>
        <stp>BDH|16620838263821741174</stp>
        <tr r="AN145" s="10"/>
      </tp>
      <tp t="e">
        <v>#N/A</v>
        <stp/>
        <stp>BDH|10034957043007516254</stp>
        <tr r="AA33" s="10"/>
      </tp>
      <tp t="e">
        <v>#N/A</v>
        <stp/>
        <stp>BDH|18015351881512601945</stp>
        <tr r="AB95" s="10"/>
      </tp>
      <tp t="e">
        <v>#N/A</v>
        <stp/>
        <stp>BDH|11489242179125691992</stp>
        <tr r="T193" s="10"/>
      </tp>
      <tp t="e">
        <v>#N/A</v>
        <stp/>
        <stp>BDH|12657064136290540952</stp>
        <tr r="AB147" s="10"/>
      </tp>
      <tp t="e">
        <v>#N/A</v>
        <stp/>
        <stp>BDH|12656766956199810187</stp>
        <tr r="G21" s="10"/>
      </tp>
      <tp t="e">
        <v>#N/A</v>
        <stp/>
        <stp>BDH|12713068410748590323</stp>
        <tr r="AB128" s="10"/>
      </tp>
      <tp t="e">
        <v>#N/A</v>
        <stp/>
        <stp>BDH|12166461489942754403</stp>
        <tr r="F174" s="10"/>
      </tp>
      <tp t="e">
        <v>#N/A</v>
        <stp/>
        <stp>BDH|13178181734129699022</stp>
        <tr r="AK114" s="10"/>
      </tp>
      <tp t="e">
        <v>#N/A</v>
        <stp/>
        <stp>BDH|15175455879008330672</stp>
        <tr r="AO170" s="10"/>
      </tp>
      <tp t="e">
        <v>#N/A</v>
        <stp/>
        <stp>BDH|15865914264194636627</stp>
        <tr r="C62" s="10"/>
      </tp>
      <tp t="e">
        <v>#N/A</v>
        <stp/>
        <stp>BDH|15216139055649809058</stp>
        <tr r="AJ4" s="10"/>
      </tp>
      <tp t="e">
        <v>#N/A</v>
        <stp/>
        <stp>BDH|13504799163768686200</stp>
        <tr r="AN3" s="10"/>
      </tp>
      <tp t="e">
        <v>#N/A</v>
        <stp/>
        <stp>BDH|18318197216112787234</stp>
        <tr r="AN74" s="10"/>
      </tp>
      <tp t="e">
        <v>#N/A</v>
        <stp/>
        <stp>BDH|18055525027777585085</stp>
        <tr r="J131" s="10"/>
      </tp>
      <tp t="e">
        <v>#N/A</v>
        <stp/>
        <stp>BDH|13836799687721878564</stp>
        <tr r="AE90" s="10"/>
      </tp>
      <tp t="e">
        <v>#N/A</v>
        <stp/>
        <stp>BDH|14771787921108540139</stp>
        <tr r="AF37" s="10"/>
      </tp>
      <tp t="e">
        <v>#N/A</v>
        <stp/>
        <stp>BDH|17933705696861709002</stp>
        <tr r="AF19" s="10"/>
      </tp>
      <tp t="e">
        <v>#N/A</v>
        <stp/>
        <stp>BDH|12440491482591359749</stp>
        <tr r="AT43" s="10"/>
      </tp>
      <tp t="e">
        <v>#N/A</v>
        <stp/>
        <stp>BDH|15784284016866304828</stp>
        <tr r="AU133" s="10"/>
      </tp>
      <tp t="e">
        <v>#N/A</v>
        <stp/>
        <stp>BDH|14535514394754880404</stp>
        <tr r="AD29" s="10"/>
      </tp>
      <tp t="e">
        <v>#N/A</v>
        <stp/>
        <stp>BDH|10749492623279317766</stp>
        <tr r="Q115" s="10"/>
      </tp>
      <tp t="e">
        <v>#N/A</v>
        <stp/>
        <stp>BDH|18178291058925143298</stp>
        <tr r="AN122" s="10"/>
      </tp>
      <tp t="e">
        <v>#N/A</v>
        <stp/>
        <stp>BDH|10269237929219254125</stp>
        <tr r="AQ170" s="10"/>
      </tp>
      <tp t="e">
        <v>#N/A</v>
        <stp/>
        <stp>BDH|16918927168079868833</stp>
        <tr r="X62" s="10"/>
      </tp>
      <tp t="e">
        <v>#N/A</v>
        <stp/>
        <stp>BDH|16868369758350927879</stp>
        <tr r="Y74" s="10"/>
      </tp>
      <tp t="e">
        <v>#N/A</v>
        <stp/>
        <stp>BDH|15961375076598891188</stp>
        <tr r="AA7" s="10"/>
      </tp>
      <tp t="e">
        <v>#N/A</v>
        <stp/>
        <stp>BDH|11626408558230177878</stp>
        <tr r="AM48" s="10"/>
      </tp>
      <tp t="e">
        <v>#N/A</v>
        <stp/>
        <stp>BDH|10137576176929195392</stp>
        <tr r="J99" s="10"/>
      </tp>
      <tp t="e">
        <v>#N/A</v>
        <stp/>
        <stp>BDH|14481118642651819872</stp>
        <tr r="AJ138" s="10"/>
      </tp>
      <tp t="e">
        <v>#N/A</v>
        <stp/>
        <stp>BDH|12844020799517857431</stp>
        <tr r="X170" s="10"/>
      </tp>
      <tp t="e">
        <v>#N/A</v>
        <stp/>
        <stp>BDH|16720332669033200848</stp>
        <tr r="F161" s="10"/>
      </tp>
      <tp t="e">
        <v>#N/A</v>
        <stp/>
        <stp>BDH|15917410883733309238</stp>
        <tr r="AC80" s="10"/>
      </tp>
      <tp t="e">
        <v>#N/A</v>
        <stp/>
        <stp>BDH|10499037298303279268</stp>
        <tr r="AI65" s="10"/>
      </tp>
      <tp t="e">
        <v>#N/A</v>
        <stp/>
        <stp>BDH|10192077126719283391</stp>
        <tr r="W55" s="10"/>
      </tp>
      <tp t="e">
        <v>#N/A</v>
        <stp/>
        <stp>BDH|16372383962089101232</stp>
        <tr r="V169" s="10"/>
      </tp>
      <tp t="e">
        <v>#N/A</v>
        <stp/>
        <stp>BDH|13565197355567799859</stp>
        <tr r="T163" s="10"/>
      </tp>
      <tp t="e">
        <v>#N/A</v>
        <stp/>
        <stp>BDH|11054925469285181301</stp>
        <tr r="S37" s="10"/>
      </tp>
      <tp t="e">
        <v>#N/A</v>
        <stp/>
        <stp>BDH|15731404094915178582</stp>
        <tr r="U185" s="10"/>
      </tp>
      <tp t="e">
        <v>#N/A</v>
        <stp/>
        <stp>BDH|13872966911313031059</stp>
        <tr r="R20" s="10"/>
      </tp>
      <tp t="e">
        <v>#N/A</v>
        <stp/>
        <stp>BDH|16292035589535621343</stp>
        <tr r="Z143" s="10"/>
      </tp>
      <tp t="e">
        <v>#N/A</v>
        <stp/>
        <stp>BDH|11174966459424181150</stp>
        <tr r="Z18" s="10"/>
      </tp>
      <tp t="e">
        <v>#N/A</v>
        <stp/>
        <stp>BDH|17620189849568991246</stp>
        <tr r="Z49" s="10"/>
      </tp>
      <tp t="e">
        <v>#N/A</v>
        <stp/>
        <stp>BDH|16978097099496263114</stp>
        <tr r="Z104" s="10"/>
      </tp>
      <tp t="e">
        <v>#N/A</v>
        <stp/>
        <stp>BDH|17274957743035626787</stp>
        <tr r="AJ64" s="10"/>
      </tp>
      <tp t="e">
        <v>#N/A</v>
        <stp/>
        <stp>BDH|17893761411219394067</stp>
        <tr r="G147" s="10"/>
      </tp>
      <tp t="e">
        <v>#N/A</v>
        <stp/>
        <stp>BDH|12322063798246798570</stp>
        <tr r="AH88" s="10"/>
      </tp>
      <tp t="e">
        <v>#N/A</v>
        <stp/>
        <stp>BDH|12113026999851168263</stp>
        <tr r="W37" s="10"/>
      </tp>
      <tp t="e">
        <v>#N/A</v>
        <stp/>
        <stp>BDH|10518360647367819819</stp>
        <tr r="AP98" s="10"/>
      </tp>
      <tp t="e">
        <v>#N/A</v>
        <stp/>
        <stp>BDH|16756938338435260130</stp>
        <tr r="AD22" s="10"/>
      </tp>
      <tp t="e">
        <v>#N/A</v>
        <stp/>
        <stp>BDH|14457203638114083910</stp>
        <tr r="J3" s="10"/>
      </tp>
      <tp t="e">
        <v>#N/A</v>
        <stp/>
        <stp>BDH|12316936619933157155</stp>
        <tr r="AL12" s="10"/>
      </tp>
      <tp t="e">
        <v>#N/A</v>
        <stp/>
        <stp>BDH|11143900836030295380</stp>
        <tr r="G114" s="10"/>
      </tp>
      <tp t="e">
        <v>#N/A</v>
        <stp/>
        <stp>BDH|12387563907637616890</stp>
        <tr r="AN30" s="10"/>
      </tp>
      <tp t="e">
        <v>#N/A</v>
        <stp/>
        <stp>BDH|16789541198851346359</stp>
        <tr r="AO50" s="10"/>
      </tp>
      <tp t="e">
        <v>#N/A</v>
        <stp/>
        <stp>BDH|10823862802360175007</stp>
        <tr r="J140" s="10"/>
      </tp>
      <tp t="e">
        <v>#N/A</v>
        <stp/>
        <stp>BDH|11694180886713689335</stp>
        <tr r="AQ37" s="10"/>
      </tp>
      <tp t="e">
        <v>#N/A</v>
        <stp/>
        <stp>BDH|12963209057265578868</stp>
        <tr r="AE173" s="10"/>
      </tp>
      <tp t="e">
        <v>#N/A</v>
        <stp/>
        <stp>BDH|10313083796879088800</stp>
        <tr r="AP93" s="10"/>
      </tp>
      <tp t="e">
        <v>#N/A</v>
        <stp/>
        <stp>BDH|12773956611343726192</stp>
        <tr r="J51" s="10"/>
      </tp>
      <tp t="e">
        <v>#N/A</v>
        <stp/>
        <stp>BDH|10635921179146335031</stp>
        <tr r="L156" s="10"/>
      </tp>
      <tp t="e">
        <v>#N/A</v>
        <stp/>
        <stp>BDH|12947671683120058401</stp>
        <tr r="AL103" s="10"/>
      </tp>
      <tp t="e">
        <v>#N/A</v>
        <stp/>
        <stp>BDH|11923179405410491821</stp>
        <tr r="AD187" s="10"/>
      </tp>
      <tp t="e">
        <v>#N/A</v>
        <stp/>
        <stp>BDH|10827236536240715970</stp>
        <tr r="AN84" s="10"/>
      </tp>
      <tp t="e">
        <v>#N/A</v>
        <stp/>
        <stp>BDH|16777294690750321500</stp>
        <tr r="R163" s="10"/>
      </tp>
      <tp t="e">
        <v>#N/A</v>
        <stp/>
        <stp>BDH|17348700532618570391</stp>
        <tr r="AD31" s="10"/>
      </tp>
      <tp t="e">
        <v>#N/A</v>
        <stp/>
        <stp>BDH|13931548741112527853</stp>
        <tr r="J157" s="10"/>
      </tp>
      <tp t="e">
        <v>#N/A</v>
        <stp/>
        <stp>BDH|16921967847932008146</stp>
        <tr r="V181" s="10"/>
      </tp>
      <tp t="e">
        <v>#N/A</v>
        <stp/>
        <stp>BDH|17256961458276192517</stp>
        <tr r="N76" s="10"/>
      </tp>
      <tp t="e">
        <v>#N/A</v>
        <stp/>
        <stp>BDH|13094441547809611299</stp>
        <tr r="N83" s="10"/>
      </tp>
      <tp t="e">
        <v>#N/A</v>
        <stp/>
        <stp>BDH|11490465936329171797</stp>
        <tr r="AJ26" s="10"/>
      </tp>
      <tp t="e">
        <v>#N/A</v>
        <stp/>
        <stp>BDH|14670891717783569618</stp>
        <tr r="AE143" s="10"/>
      </tp>
      <tp t="e">
        <v>#N/A</v>
        <stp/>
        <stp>BDH|14576288561460319834</stp>
        <tr r="AQ64" s="10"/>
      </tp>
      <tp t="e">
        <v>#N/A</v>
        <stp/>
        <stp>BDH|17531895930312681663</stp>
        <tr r="AL51" s="10"/>
      </tp>
      <tp t="e">
        <v>#N/A</v>
        <stp/>
        <stp>BDH|15778604379015382916</stp>
        <tr r="K51" s="10"/>
      </tp>
      <tp t="e">
        <v>#N/A</v>
        <stp/>
        <stp>BDH|15827152488221095596</stp>
        <tr r="W100" s="10"/>
      </tp>
      <tp t="e">
        <v>#N/A</v>
        <stp/>
        <stp>BDH|18128229261834879068</stp>
        <tr r="AK130" s="10"/>
      </tp>
      <tp t="e">
        <v>#N/A</v>
        <stp/>
        <stp>BDH|16435842732491804466</stp>
        <tr r="S48" s="10"/>
      </tp>
      <tp t="e">
        <v>#N/A</v>
        <stp/>
        <stp>BDH|12573355000520523997</stp>
        <tr r="AQ160" s="10"/>
      </tp>
      <tp t="e">
        <v>#N/A</v>
        <stp/>
        <stp>BDH|18112339728453182275</stp>
        <tr r="L166" s="10"/>
      </tp>
      <tp t="e">
        <v>#N/A</v>
        <stp/>
        <stp>BDH|15956141106575541925</stp>
        <tr r="Y31" s="10"/>
      </tp>
      <tp t="e">
        <v>#N/A</v>
        <stp/>
        <stp>BDH|13837853521609066806</stp>
        <tr r="O130" s="10"/>
      </tp>
      <tp t="e">
        <v>#N/A</v>
        <stp/>
        <stp>BDH|10774467558510510902</stp>
        <tr r="AR139" s="10"/>
      </tp>
      <tp t="e">
        <v>#N/A</v>
        <stp/>
        <stp>BDH|16444010588610038614</stp>
        <tr r="AC134" s="10"/>
      </tp>
      <tp t="e">
        <v>#N/A</v>
        <stp/>
        <stp>BDH|13416465163501843851</stp>
        <tr r="AS23" s="10"/>
      </tp>
      <tp t="e">
        <v>#N/A</v>
        <stp/>
        <stp>BDH|11572948389648745005</stp>
        <tr r="G156" s="10"/>
      </tp>
      <tp t="e">
        <v>#N/A</v>
        <stp/>
        <stp>BDH|13087851202313957010</stp>
        <tr r="F175" s="10"/>
      </tp>
      <tp t="e">
        <v>#N/A</v>
        <stp/>
        <stp>BDH|16588259405505982932</stp>
        <tr r="AN27" s="10"/>
      </tp>
      <tp t="e">
        <v>#N/A</v>
        <stp/>
        <stp>BDH|11088353107528801250</stp>
        <tr r="AT18" s="10"/>
      </tp>
      <tp t="e">
        <v>#N/A</v>
        <stp/>
        <stp>BDH|16174302696951931511</stp>
        <tr r="AE29" s="10"/>
      </tp>
      <tp t="e">
        <v>#N/A</v>
        <stp/>
        <stp>BDH|14225637778175337859</stp>
        <tr r="I16" s="10"/>
      </tp>
      <tp t="e">
        <v>#N/A</v>
        <stp/>
        <stp>BDH|14927350787100488707</stp>
        <tr r="N10" s="10"/>
      </tp>
      <tp t="e">
        <v>#N/A</v>
        <stp/>
        <stp>BDH|12433926377701793598</stp>
        <tr r="AJ52" s="10"/>
      </tp>
      <tp t="e">
        <v>#N/A</v>
        <stp/>
        <stp>BDH|12564585643073800891</stp>
        <tr r="Q104" s="10"/>
      </tp>
      <tp t="e">
        <v>#N/A</v>
        <stp/>
        <stp>BDH|17983578935088264164</stp>
        <tr r="AE35" s="10"/>
      </tp>
      <tp t="e">
        <v>#N/A</v>
        <stp/>
        <stp>BDH|15300373891380830723</stp>
        <tr r="AW163" s="10"/>
      </tp>
      <tp t="e">
        <v>#N/A</v>
        <stp/>
        <stp>BDH|11977221961795449812</stp>
        <tr r="E153" s="10"/>
      </tp>
      <tp t="e">
        <v>#N/A</v>
        <stp/>
        <stp>BDH|15859524320038668230</stp>
        <tr r="AL133" s="10"/>
      </tp>
      <tp t="e">
        <v>#N/A</v>
        <stp/>
        <stp>BDH|12664856034873038292</stp>
        <tr r="AC180" s="10"/>
      </tp>
      <tp t="e">
        <v>#N/A</v>
        <stp/>
        <stp>BDH|10284421616394010983</stp>
        <tr r="N92" s="10"/>
      </tp>
      <tp t="e">
        <v>#N/A</v>
        <stp/>
        <stp>BDH|15952285759439153379</stp>
        <tr r="AU89" s="10"/>
      </tp>
      <tp t="e">
        <v>#N/A</v>
        <stp/>
        <stp>BDH|14705494394513307279</stp>
        <tr r="AE87" s="10"/>
      </tp>
      <tp t="e">
        <v>#N/A</v>
        <stp/>
        <stp>BDH|11096366712788331395</stp>
        <tr r="P174" s="10"/>
      </tp>
      <tp t="e">
        <v>#N/A</v>
        <stp/>
        <stp>BDH|13990429682050364748</stp>
        <tr r="M91" s="10"/>
      </tp>
      <tp t="e">
        <v>#N/A</v>
        <stp/>
        <stp>BDH|10413223808182866888</stp>
        <tr r="V139" s="10"/>
      </tp>
      <tp t="e">
        <v>#N/A</v>
        <stp/>
        <stp>BDH|13334730419629638415</stp>
        <tr r="W4" s="10"/>
      </tp>
      <tp t="e">
        <v>#N/A</v>
        <stp/>
        <stp>BDH|11325060505458821167</stp>
        <tr r="AF108" s="10"/>
      </tp>
      <tp t="e">
        <v>#N/A</v>
        <stp/>
        <stp>BDH|18319491352621015065</stp>
        <tr r="AB47" s="10"/>
      </tp>
      <tp t="e">
        <v>#N/A</v>
        <stp/>
        <stp>BDH|18157320918342567000</stp>
        <tr r="V190" s="10"/>
      </tp>
      <tp t="e">
        <v>#N/A</v>
        <stp/>
        <stp>BDH|13638901622681865125</stp>
        <tr r="E49" s="10"/>
      </tp>
      <tp t="e">
        <v>#N/A</v>
        <stp/>
        <stp>BDH|13836766393302143724</stp>
        <tr r="G29" s="10"/>
      </tp>
      <tp t="s">
        <v>#N/A Requesting Data...4271821846</v>
        <stp/>
        <stp>BDP|18097190707488053871</stp>
        <tr r="B10" s="1"/>
      </tp>
      <tp t="s">
        <v>#N/A N/A</v>
        <stp/>
        <stp>BDP|16748859652083163186</stp>
        <tr r="O49" s="1"/>
      </tp>
      <tp t="s">
        <v>#N/A Requesting Data...4244445318</v>
        <stp/>
        <stp>BDP|17933549100472116919</stp>
        <tr r="B24" s="1"/>
      </tp>
      <tp t="s">
        <v>#N/A Requesting Data...4192710067</v>
        <stp/>
        <stp>BDP|13564544780217768093</stp>
        <tr r="D50" s="6"/>
        <tr r="H40" s="1"/>
      </tp>
      <tp t="s">
        <v>#N/A Requesting Data...4155350337</v>
        <stp/>
        <stp>BDP|12799067312243561975</stp>
        <tr r="B33" s="1"/>
      </tp>
      <tp t="s">
        <v>#N/A Requesting Data...4165426061</v>
        <stp/>
        <stp>BDP|11610903121125039676</stp>
        <tr r="I4" s="1"/>
      </tp>
      <tp t="s">
        <v>#N/A Requesting Data...4270806855</v>
        <stp/>
        <stp>BDP|18161602047443903086</stp>
        <tr r="I40" s="1"/>
      </tp>
      <tp t="s">
        <v>#N/A Requesting Data...4234067058</v>
        <stp/>
        <stp>BDP|10238141561379277731</stp>
        <tr r="O2" s="1"/>
      </tp>
      <tp t="s">
        <v>#N/A Requesting Data...4132380778</v>
        <stp/>
        <stp>BDP|10055513325106455865</stp>
        <tr r="F141" s="2"/>
        <tr r="F146" s="2"/>
        <tr r="F148" s="2"/>
        <tr r="F98" s="2"/>
        <tr r="F102" s="2"/>
      </tp>
      <tp t="e">
        <v>#N/A</v>
        <stp/>
        <stp>BDH|17325808944344327650</stp>
        <tr r="AJ136" s="10"/>
      </tp>
      <tp t="e">
        <v>#N/A</v>
        <stp/>
        <stp>BDH|18200717115982708505</stp>
        <tr r="Y33" s="10"/>
      </tp>
      <tp t="e">
        <v>#N/A</v>
        <stp/>
        <stp>BDH|12770054462909294439</stp>
        <tr r="J36" s="10"/>
      </tp>
      <tp t="e">
        <v>#N/A</v>
        <stp/>
        <stp>BDH|11988239139279096023</stp>
        <tr r="H95" s="10"/>
      </tp>
      <tp t="e">
        <v>#N/A</v>
        <stp/>
        <stp>BDH|10903987635424134749</stp>
        <tr r="G56" s="10"/>
      </tp>
      <tp t="e">
        <v>#N/A</v>
        <stp/>
        <stp>BDH|16279876822120006568</stp>
        <tr r="E100" s="10"/>
      </tp>
      <tp t="e">
        <v>#N/A</v>
        <stp/>
        <stp>BDH|18430798174001008084</stp>
        <tr r="AL14" s="10"/>
      </tp>
      <tp t="e">
        <v>#N/A</v>
        <stp/>
        <stp>BDH|12618841761414094123</stp>
        <tr r="V133" s="10"/>
      </tp>
      <tp t="e">
        <v>#N/A</v>
        <stp/>
        <stp>BDH|14138515265576788835</stp>
        <tr r="W121" s="10"/>
      </tp>
      <tp t="e">
        <v>#N/A</v>
        <stp/>
        <stp>BDH|15720325954273088903</stp>
        <tr r="E58" s="10"/>
      </tp>
      <tp t="e">
        <v>#N/A</v>
        <stp/>
        <stp>BDH|12071222312781875998</stp>
        <tr r="Y190" s="10"/>
      </tp>
      <tp t="e">
        <v>#N/A</v>
        <stp/>
        <stp>BDH|14809067048559775008</stp>
        <tr r="AE169" s="10"/>
      </tp>
      <tp t="e">
        <v>#N/A</v>
        <stp/>
        <stp>BDH|14568082443089897070</stp>
        <tr r="E139" s="10"/>
      </tp>
      <tp t="e">
        <v>#N/A</v>
        <stp/>
        <stp>BDH|17301637281224883480</stp>
        <tr r="K93" s="10"/>
      </tp>
      <tp t="e">
        <v>#N/A</v>
        <stp/>
        <stp>BDH|13484902822262142360</stp>
        <tr r="D28" s="10"/>
      </tp>
      <tp t="e">
        <v>#N/A</v>
        <stp/>
        <stp>BDH|13776066987340175264</stp>
        <tr r="N96" s="10"/>
      </tp>
      <tp t="e">
        <v>#N/A</v>
        <stp/>
        <stp>BDH|11747886836552869100</stp>
        <tr r="AL150" s="10"/>
      </tp>
      <tp t="e">
        <v>#N/A</v>
        <stp/>
        <stp>BDH|11348670893075311252</stp>
        <tr r="AG76" s="10"/>
      </tp>
      <tp t="e">
        <v>#N/A</v>
        <stp/>
        <stp>BDH|17050338214418657409</stp>
        <tr r="AS55" s="10"/>
      </tp>
      <tp t="e">
        <v>#N/A</v>
        <stp/>
        <stp>BDH|18264565102290525427</stp>
        <tr r="AH90" s="10"/>
      </tp>
      <tp t="e">
        <v>#N/A</v>
        <stp/>
        <stp>BDH|15246173955221590957</stp>
        <tr r="Z126" s="10"/>
      </tp>
      <tp t="e">
        <v>#N/A</v>
        <stp/>
        <stp>BDH|10271807043586392327</stp>
        <tr r="Y100" s="10"/>
      </tp>
      <tp t="e">
        <v>#N/A</v>
        <stp/>
        <stp>BDH|11022608374341325870</stp>
        <tr r="E125" s="10"/>
      </tp>
      <tp t="e">
        <v>#N/A</v>
        <stp/>
        <stp>BDH|18279265660464205169</stp>
        <tr r="AF15" s="10"/>
      </tp>
      <tp t="e">
        <v>#N/A</v>
        <stp/>
        <stp>BDH|12364809379183865726</stp>
        <tr r="T116" s="10"/>
      </tp>
      <tp t="e">
        <v>#N/A</v>
        <stp/>
        <stp>BDH|17082232252201657873</stp>
        <tr r="AG46" s="10"/>
      </tp>
      <tp t="e">
        <v>#N/A</v>
        <stp/>
        <stp>BDH|15112662941727098961</stp>
        <tr r="AT98" s="10"/>
      </tp>
      <tp t="e">
        <v>#N/A</v>
        <stp/>
        <stp>BDH|17423111561799442003</stp>
        <tr r="O32" s="10"/>
      </tp>
      <tp t="e">
        <v>#N/A</v>
        <stp/>
        <stp>BDH|10056593164678829251</stp>
        <tr r="AG153" s="10"/>
      </tp>
      <tp t="e">
        <v>#N/A</v>
        <stp/>
        <stp>BDH|11023207136799661007</stp>
        <tr r="V153" s="10"/>
      </tp>
      <tp t="e">
        <v>#N/A</v>
        <stp/>
        <stp>BDH|10227090075799777790</stp>
        <tr r="Z46" s="10"/>
      </tp>
      <tp t="e">
        <v>#N/A</v>
        <stp/>
        <stp>BDH|10412769036815740836</stp>
        <tr r="T20" s="10"/>
      </tp>
      <tp t="e">
        <v>#N/A</v>
        <stp/>
        <stp>BDH|10563281231749880149</stp>
        <tr r="AP43" s="10"/>
      </tp>
      <tp t="e">
        <v>#N/A</v>
        <stp/>
        <stp>BDH|17568736867378242737</stp>
        <tr r="AM143" s="10"/>
      </tp>
      <tp t="e">
        <v>#N/A</v>
        <stp/>
        <stp>BDH|10619389744536925838</stp>
        <tr r="AO165" s="10"/>
      </tp>
      <tp t="e">
        <v>#N/A</v>
        <stp/>
        <stp>BDH|12945458188462596516</stp>
        <tr r="V188" s="10"/>
      </tp>
      <tp t="e">
        <v>#N/A</v>
        <stp/>
        <stp>BDH|18057673332344534000</stp>
        <tr r="M70" s="10"/>
      </tp>
      <tp t="e">
        <v>#N/A</v>
        <stp/>
        <stp>BDH|11880798631664436841</stp>
        <tr r="X150" s="10"/>
      </tp>
      <tp t="e">
        <v>#N/A</v>
        <stp/>
        <stp>BDH|15477923822007473038</stp>
        <tr r="AT93" s="10"/>
      </tp>
      <tp t="e">
        <v>#N/A</v>
        <stp/>
        <stp>BDH|15352353437229360518</stp>
        <tr r="R138" s="10"/>
      </tp>
      <tp t="e">
        <v>#N/A</v>
        <stp/>
        <stp>BDH|12197846537202522246</stp>
        <tr r="O12" s="10"/>
      </tp>
      <tp t="e">
        <v>#N/A</v>
        <stp/>
        <stp>BDH|16053108032929750469</stp>
        <tr r="AT12" s="10"/>
      </tp>
      <tp t="e">
        <v>#N/A</v>
        <stp/>
        <stp>BDH|11042414612478377532</stp>
        <tr r="S176" s="10"/>
      </tp>
      <tp t="e">
        <v>#N/A</v>
        <stp/>
        <stp>BDH|15072564299805934558</stp>
        <tr r="Z149" s="10"/>
      </tp>
      <tp t="e">
        <v>#N/A</v>
        <stp/>
        <stp>BDH|15852218942862079882</stp>
        <tr r="Y117" s="10"/>
      </tp>
      <tp t="e">
        <v>#N/A</v>
        <stp/>
        <stp>BDH|11264309077134170879</stp>
        <tr r="W33" s="10"/>
      </tp>
      <tp t="e">
        <v>#N/A</v>
        <stp/>
        <stp>BDH|14986987062177284520</stp>
        <tr r="G68" s="10"/>
      </tp>
      <tp t="e">
        <v>#N/A</v>
        <stp/>
        <stp>BDH|17612997169044056555</stp>
        <tr r="L111" s="10"/>
      </tp>
      <tp t="e">
        <v>#N/A</v>
        <stp/>
        <stp>BDH|12260105801499753374</stp>
        <tr r="AG84" s="10"/>
      </tp>
      <tp t="e">
        <v>#N/A</v>
        <stp/>
        <stp>BDH|12067782765858890260</stp>
        <tr r="S111" s="10"/>
      </tp>
      <tp t="e">
        <v>#N/A</v>
        <stp/>
        <stp>BDH|17590508403312555902</stp>
        <tr r="E111" s="10"/>
      </tp>
      <tp t="e">
        <v>#N/A</v>
        <stp/>
        <stp>BDH|11716550585122348770</stp>
        <tr r="AN18" s="10"/>
      </tp>
      <tp t="e">
        <v>#N/A</v>
        <stp/>
        <stp>BDH|11541672692975575273</stp>
        <tr r="U67" s="10"/>
      </tp>
      <tp t="e">
        <v>#N/A</v>
        <stp/>
        <stp>BDH|17009238390465569042</stp>
        <tr r="AM175" s="10"/>
      </tp>
      <tp t="e">
        <v>#N/A</v>
        <stp/>
        <stp>BDH|10292621186336752130</stp>
        <tr r="W9" s="10"/>
      </tp>
      <tp t="e">
        <v>#N/A</v>
        <stp/>
        <stp>BDH|16168663190512397264</stp>
        <tr r="W162" s="10"/>
      </tp>
      <tp t="e">
        <v>#N/A</v>
        <stp/>
        <stp>BDH|17431767496777260746</stp>
        <tr r="AF182" s="10"/>
      </tp>
      <tp t="e">
        <v>#N/A</v>
        <stp/>
        <stp>BDH|14450144571638188328</stp>
        <tr r="AF68" s="10"/>
      </tp>
      <tp t="e">
        <v>#N/A</v>
        <stp/>
        <stp>BDH|11416570531246333837</stp>
        <tr r="AD160" s="10"/>
      </tp>
      <tp t="e">
        <v>#N/A</v>
        <stp/>
        <stp>BDH|14672751943766639845</stp>
        <tr r="AT161" s="10"/>
      </tp>
      <tp t="e">
        <v>#N/A</v>
        <stp/>
        <stp>BDH|10677073394824852482</stp>
        <tr r="AA99" s="10"/>
      </tp>
      <tp t="e">
        <v>#N/A</v>
        <stp/>
        <stp>BDH|12421037540217590877</stp>
        <tr r="AS185" s="10"/>
      </tp>
      <tp t="e">
        <v>#N/A</v>
        <stp/>
        <stp>BDH|11919887604817595758</stp>
        <tr r="G32" s="10"/>
      </tp>
      <tp t="e">
        <v>#N/A</v>
        <stp/>
        <stp>BDH|14057738282622156050</stp>
        <tr r="AS19" s="10"/>
      </tp>
      <tp t="e">
        <v>#N/A</v>
        <stp/>
        <stp>BDH|11656001866929018750</stp>
        <tr r="R180" s="10"/>
      </tp>
      <tp t="e">
        <v>#N/A</v>
        <stp/>
        <stp>BDH|15667713577428052456</stp>
        <tr r="AE4" s="10"/>
      </tp>
      <tp t="e">
        <v>#N/A</v>
        <stp/>
        <stp>BDH|15570983209712570745</stp>
        <tr r="W181" s="10"/>
      </tp>
      <tp t="e">
        <v>#N/A</v>
        <stp/>
        <stp>BDH|17157266577308438314</stp>
        <tr r="AF16" s="10"/>
      </tp>
      <tp t="e">
        <v>#N/A</v>
        <stp/>
        <stp>BDH|14783411453205382934</stp>
        <tr r="L59" s="10"/>
      </tp>
      <tp t="e">
        <v>#N/A</v>
        <stp/>
        <stp>BDH|12671948026149900988</stp>
        <tr r="AN72" s="10"/>
      </tp>
      <tp t="e">
        <v>#N/A</v>
        <stp/>
        <stp>BDH|16193948587759155765</stp>
        <tr r="AF51" s="10"/>
      </tp>
      <tp t="e">
        <v>#N/A</v>
        <stp/>
        <stp>BDH|16390788652724936950</stp>
        <tr r="AP22" s="10"/>
      </tp>
      <tp t="e">
        <v>#N/A</v>
        <stp/>
        <stp>BDH|17021574934279753115</stp>
        <tr r="AR190" s="10"/>
      </tp>
      <tp t="e">
        <v>#N/A</v>
        <stp/>
        <stp>BDH|14936011868862497917</stp>
        <tr r="J141" s="10"/>
      </tp>
      <tp t="e">
        <v>#N/A</v>
        <stp/>
        <stp>BDH|16668152080382526431</stp>
        <tr r="AD129" s="10"/>
      </tp>
      <tp t="e">
        <v>#N/A</v>
        <stp/>
        <stp>BDH|13512303581715237432</stp>
        <tr r="G61" s="10"/>
      </tp>
      <tp t="e">
        <v>#N/A</v>
        <stp/>
        <stp>BDH|12827415688755023259</stp>
        <tr r="AU11" s="10"/>
      </tp>
      <tp t="e">
        <v>#N/A</v>
        <stp/>
        <stp>BDH|13373174692153400169</stp>
        <tr r="AU166" s="10"/>
      </tp>
      <tp t="e">
        <v>#N/A</v>
        <stp/>
        <stp>BDH|11125128474576216817</stp>
        <tr r="AV65" s="10"/>
      </tp>
      <tp t="e">
        <v>#N/A</v>
        <stp/>
        <stp>BDH|15059475367586545819</stp>
        <tr r="V78" s="10"/>
      </tp>
      <tp t="e">
        <v>#N/A</v>
        <stp/>
        <stp>BDH|13525954886239292203</stp>
        <tr r="AW108" s="10"/>
      </tp>
      <tp t="e">
        <v>#N/A</v>
        <stp/>
        <stp>BDH|11172945236657194563</stp>
        <tr r="AM139" s="10"/>
      </tp>
      <tp t="e">
        <v>#N/A</v>
        <stp/>
        <stp>BDH|17353709849055692889</stp>
        <tr r="X124" s="10"/>
      </tp>
      <tp t="e">
        <v>#N/A</v>
        <stp/>
        <stp>BDH|16201175985674602221</stp>
        <tr r="O122" s="10"/>
      </tp>
      <tp t="e">
        <v>#N/A</v>
        <stp/>
        <stp>BDH|18339205730971266158</stp>
        <tr r="AS61" s="10"/>
      </tp>
      <tp t="e">
        <v>#N/A</v>
        <stp/>
        <stp>BDH|12035470243499250223</stp>
        <tr r="AB45" s="10"/>
      </tp>
      <tp t="e">
        <v>#N/A</v>
        <stp/>
        <stp>BDH|15768450446719029504</stp>
        <tr r="AH155" s="10"/>
      </tp>
      <tp t="e">
        <v>#N/A</v>
        <stp/>
        <stp>BDH|11216660252353270803</stp>
        <tr r="AL58" s="10"/>
      </tp>
      <tp t="e">
        <v>#N/A</v>
        <stp/>
        <stp>BDH|11872995225056648563</stp>
        <tr r="Z34" s="10"/>
      </tp>
      <tp t="e">
        <v>#N/A</v>
        <stp/>
        <stp>BDH|13787230152079482465</stp>
        <tr r="AR192" s="10"/>
      </tp>
      <tp t="e">
        <v>#N/A</v>
        <stp/>
        <stp>BDH|18107428819730570483</stp>
        <tr r="AP165" s="10"/>
      </tp>
      <tp t="e">
        <v>#N/A</v>
        <stp/>
        <stp>BDH|12707598448642071813</stp>
        <tr r="AT36" s="10"/>
      </tp>
      <tp t="e">
        <v>#N/A</v>
        <stp/>
        <stp>BDH|11147223581336798420</stp>
        <tr r="C42" s="10"/>
      </tp>
      <tp t="e">
        <v>#N/A</v>
        <stp/>
        <stp>BDH|12062818577404807097</stp>
        <tr r="AO27" s="10"/>
      </tp>
      <tp t="e">
        <v>#N/A</v>
        <stp/>
        <stp>BDH|16475304742040176809</stp>
        <tr r="H132" s="10"/>
      </tp>
      <tp t="e">
        <v>#N/A</v>
        <stp/>
        <stp>BDH|16697221661682269904</stp>
        <tr r="V15" s="10"/>
      </tp>
      <tp t="e">
        <v>#N/A</v>
        <stp/>
        <stp>BDH|12456840323269779833</stp>
        <tr r="C19" s="10"/>
      </tp>
      <tp t="e">
        <v>#N/A</v>
        <stp/>
        <stp>BDH|14737542185409830997</stp>
        <tr r="AG164" s="10"/>
      </tp>
      <tp t="e">
        <v>#N/A</v>
        <stp/>
        <stp>BDH|10952130110661568882</stp>
        <tr r="AV104" s="10"/>
      </tp>
      <tp t="e">
        <v>#N/A</v>
        <stp/>
        <stp>BDH|16496542497911208224</stp>
        <tr r="AM18" s="10"/>
      </tp>
      <tp t="e">
        <v>#N/A</v>
        <stp/>
        <stp>BDH|10808481585747742249</stp>
        <tr r="P35" s="10"/>
      </tp>
      <tp t="e">
        <v>#N/A</v>
        <stp/>
        <stp>BDH|13737973806831837280</stp>
        <tr r="AJ89" s="10"/>
      </tp>
      <tp t="e">
        <v>#N/A</v>
        <stp/>
        <stp>BDH|10816657699847315115</stp>
        <tr r="AQ144" s="10"/>
      </tp>
      <tp t="e">
        <v>#N/A</v>
        <stp/>
        <stp>BDH|16998482694295379707</stp>
        <tr r="T23" s="10"/>
      </tp>
      <tp t="e">
        <v>#N/A</v>
        <stp/>
        <stp>BDH|14188343954393568827</stp>
        <tr r="AF148" s="10"/>
      </tp>
      <tp t="e">
        <v>#N/A</v>
        <stp/>
        <stp>BDH|14069851242541625078</stp>
        <tr r="AI30" s="10"/>
      </tp>
      <tp t="e">
        <v>#N/A</v>
        <stp/>
        <stp>BDH|13033689276493069880</stp>
        <tr r="AF126" s="10"/>
      </tp>
      <tp t="e">
        <v>#N/A</v>
        <stp/>
        <stp>BDH|13188033169445453997</stp>
        <tr r="L50" s="10"/>
      </tp>
      <tp t="e">
        <v>#N/A</v>
        <stp/>
        <stp>BDH|15088438856298095539</stp>
        <tr r="AJ130" s="10"/>
      </tp>
      <tp t="e">
        <v>#N/A</v>
        <stp/>
        <stp>BDH|17103979020346195311</stp>
        <tr r="AH4" s="10"/>
      </tp>
      <tp t="e">
        <v>#N/A</v>
        <stp/>
        <stp>BDH|13595917823720087110</stp>
        <tr r="J159" s="10"/>
      </tp>
      <tp t="e">
        <v>#N/A</v>
        <stp/>
        <stp>BDH|14598582919230716959</stp>
        <tr r="M11" s="10"/>
      </tp>
      <tp t="e">
        <v>#N/A</v>
        <stp/>
        <stp>BDH|10079127989115891559</stp>
        <tr r="P189" s="10"/>
      </tp>
      <tp t="e">
        <v>#N/A</v>
        <stp/>
        <stp>BDH|11885398480304301742</stp>
        <tr r="AM137" s="10"/>
      </tp>
      <tp t="e">
        <v>#N/A</v>
        <stp/>
        <stp>BDH|11888991925643475068</stp>
        <tr r="AD10" s="10"/>
      </tp>
      <tp t="e">
        <v>#N/A</v>
        <stp/>
        <stp>BDH|12321605518698442492</stp>
        <tr r="Q163" s="10"/>
      </tp>
      <tp t="e">
        <v>#N/A</v>
        <stp/>
        <stp>BDH|12539662454221756961</stp>
        <tr r="X3" s="10"/>
      </tp>
      <tp t="e">
        <v>#N/A</v>
        <stp/>
        <stp>BDH|14229479725823678803</stp>
        <tr r="O128" s="10"/>
      </tp>
      <tp t="e">
        <v>#N/A</v>
        <stp/>
        <stp>BDH|14509579784696426649</stp>
        <tr r="AS134" s="10"/>
      </tp>
      <tp t="e">
        <v>#N/A</v>
        <stp/>
        <stp>BDH|18093266405375215686</stp>
        <tr r="M66" s="10"/>
      </tp>
      <tp t="e">
        <v>#N/A</v>
        <stp/>
        <stp>BDH|10960671634765723948</stp>
        <tr r="U142" s="10"/>
      </tp>
      <tp t="e">
        <v>#N/A</v>
        <stp/>
        <stp>BDH|13597815637138831924</stp>
        <tr r="H56" s="10"/>
      </tp>
      <tp t="e">
        <v>#N/A</v>
        <stp/>
        <stp>BDH|15727315551992630883</stp>
        <tr r="AA104" s="10"/>
      </tp>
      <tp t="e">
        <v>#N/A</v>
        <stp/>
        <stp>BDH|12030388717128524136</stp>
        <tr r="U55" s="10"/>
      </tp>
      <tp t="e">
        <v>#N/A</v>
        <stp/>
        <stp>BDH|10417978314988742999</stp>
        <tr r="E50" s="10"/>
      </tp>
      <tp t="e">
        <v>#N/A</v>
        <stp/>
        <stp>BDH|10294480055899718113</stp>
        <tr r="AJ5" s="10"/>
      </tp>
      <tp t="e">
        <v>#N/A</v>
        <stp/>
        <stp>BDH|17423105894446156084</stp>
        <tr r="P188" s="10"/>
      </tp>
      <tp t="e">
        <v>#N/A</v>
        <stp/>
        <stp>BDH|13462462325695813961</stp>
        <tr r="U86" s="10"/>
      </tp>
      <tp t="e">
        <v>#N/A</v>
        <stp/>
        <stp>BDH|11532616076269342081</stp>
        <tr r="AN4" s="10"/>
      </tp>
      <tp t="e">
        <v>#N/A</v>
        <stp/>
        <stp>BDH|11858863157843466649</stp>
        <tr r="N115" s="10"/>
      </tp>
      <tp t="e">
        <v>#N/A</v>
        <stp/>
        <stp>BDH|18316651965033909236</stp>
        <tr r="G134" s="10"/>
      </tp>
      <tp t="e">
        <v>#N/A</v>
        <stp/>
        <stp>BDH|17314127035178527483</stp>
        <tr r="AJ114" s="10"/>
      </tp>
      <tp t="e">
        <v>#N/A</v>
        <stp/>
        <stp>BDH|14465955455323505286</stp>
        <tr r="AP112" s="10"/>
      </tp>
      <tp t="e">
        <v>#N/A</v>
        <stp/>
        <stp>BDH|17279777500619859047</stp>
        <tr r="AR46" s="10"/>
      </tp>
      <tp t="e">
        <v>#N/A</v>
        <stp/>
        <stp>BDH|16515590497803064035</stp>
        <tr r="AQ117" s="10"/>
      </tp>
      <tp t="e">
        <v>#N/A</v>
        <stp/>
        <stp>BDH|16821812681856545956</stp>
        <tr r="AK89" s="10"/>
      </tp>
      <tp t="e">
        <v>#N/A</v>
        <stp/>
        <stp>BDH|12789189116909964287</stp>
        <tr r="L58" s="10"/>
      </tp>
      <tp t="e">
        <v>#N/A</v>
        <stp/>
        <stp>BDH|14635981423910028650</stp>
        <tr r="AE11" s="10"/>
      </tp>
      <tp t="e">
        <v>#N/A</v>
        <stp/>
        <stp>BDH|17491383391641732521</stp>
        <tr r="AO68" s="10"/>
      </tp>
      <tp t="e">
        <v>#N/A</v>
        <stp/>
        <stp>BDH|15202489383569581949</stp>
        <tr r="AI45" s="10"/>
      </tp>
      <tp t="e">
        <v>#N/A</v>
        <stp/>
        <stp>BDH|11974924142615610078</stp>
        <tr r="AV17" s="10"/>
      </tp>
      <tp t="e">
        <v>#N/A</v>
        <stp/>
        <stp>BDH|10804621207836423917</stp>
        <tr r="F125" s="10"/>
      </tp>
      <tp t="e">
        <v>#N/A</v>
        <stp/>
        <stp>BDH|16292648360446726995</stp>
        <tr r="AN174" s="10"/>
      </tp>
      <tp t="e">
        <v>#N/A</v>
        <stp/>
        <stp>BDH|13196803349884067203</stp>
        <tr r="AS30" s="10"/>
      </tp>
      <tp t="e">
        <v>#N/A</v>
        <stp/>
        <stp>BDH|17165655083153961362</stp>
        <tr r="AC141" s="10"/>
      </tp>
      <tp t="e">
        <v>#N/A</v>
        <stp/>
        <stp>BDH|16387516657856940946</stp>
        <tr r="AW160" s="10"/>
      </tp>
      <tp t="e">
        <v>#N/A</v>
        <stp/>
        <stp>BDH|13769622853629989041</stp>
        <tr r="AP109" s="10"/>
      </tp>
      <tp t="e">
        <v>#N/A</v>
        <stp/>
        <stp>BDH|11234989169464826305</stp>
        <tr r="O24" s="10"/>
      </tp>
      <tp t="e">
        <v>#N/A</v>
        <stp/>
        <stp>BDH|15015799317343142946</stp>
        <tr r="H53" s="10"/>
      </tp>
      <tp t="e">
        <v>#N/A</v>
        <stp/>
        <stp>BDH|15406595935098199224</stp>
        <tr r="X41" s="10"/>
      </tp>
      <tp t="e">
        <v>#N/A</v>
        <stp/>
        <stp>BDH|17584683492608265963</stp>
        <tr r="AW126" s="10"/>
      </tp>
      <tp t="e">
        <v>#N/A</v>
        <stp/>
        <stp>BDH|12373647319554283873</stp>
        <tr r="AJ51" s="10"/>
      </tp>
      <tp t="e">
        <v>#N/A</v>
        <stp/>
        <stp>BDH|15584353874548835071</stp>
        <tr r="S50" s="10"/>
      </tp>
      <tp t="e">
        <v>#N/A</v>
        <stp/>
        <stp>BDH|15543076888480618474</stp>
        <tr r="L172" s="10"/>
      </tp>
      <tp t="e">
        <v>#N/A</v>
        <stp/>
        <stp>BDH|11975945202139549815</stp>
        <tr r="AV52" s="10"/>
      </tp>
      <tp t="e">
        <v>#N/A</v>
        <stp/>
        <stp>BDH|13683169395973610188</stp>
        <tr r="C22" s="10"/>
      </tp>
      <tp t="e">
        <v>#N/A</v>
        <stp/>
        <stp>BDH|13412234848234747833</stp>
        <tr r="M15" s="10"/>
      </tp>
      <tp t="e">
        <v>#N/A</v>
        <stp/>
        <stp>BDH|15957947395475164920</stp>
        <tr r="W89" s="10"/>
      </tp>
      <tp t="e">
        <v>#N/A</v>
        <stp/>
        <stp>BDH|16960623235519605337</stp>
        <tr r="AS108" s="10"/>
      </tp>
      <tp t="e">
        <v>#N/A</v>
        <stp/>
        <stp>BDH|11259631060391256984</stp>
        <tr r="H112" s="10"/>
      </tp>
      <tp t="e">
        <v>#N/A</v>
        <stp/>
        <stp>BDH|18366515423726887028</stp>
        <tr r="AK20" s="10"/>
      </tp>
      <tp t="e">
        <v>#N/A</v>
        <stp/>
        <stp>BDH|16773056479478066007</stp>
        <tr r="Z33" s="10"/>
      </tp>
      <tp t="e">
        <v>#N/A</v>
        <stp/>
        <stp>BDH|18150485031341477770</stp>
        <tr r="P14" s="10"/>
      </tp>
      <tp t="e">
        <v>#N/A</v>
        <stp/>
        <stp>BDH|13664807761897983349</stp>
        <tr r="R10" s="10"/>
      </tp>
      <tp t="e">
        <v>#N/A</v>
        <stp/>
        <stp>BDH|17024671755154991913</stp>
        <tr r="AK122" s="10"/>
      </tp>
      <tp t="e">
        <v>#N/A</v>
        <stp/>
        <stp>BDH|17575669360086863816</stp>
        <tr r="I65" s="10"/>
      </tp>
      <tp t="e">
        <v>#N/A</v>
        <stp/>
        <stp>BDH|17071845168325669509</stp>
        <tr r="T124" s="10"/>
      </tp>
      <tp t="e">
        <v>#N/A</v>
        <stp/>
        <stp>BDH|10144892242415995096</stp>
        <tr r="T132" s="10"/>
      </tp>
      <tp t="e">
        <v>#N/A</v>
        <stp/>
        <stp>BDH|13264232374468678794</stp>
        <tr r="N34" s="10"/>
      </tp>
      <tp t="e">
        <v>#N/A</v>
        <stp/>
        <stp>BDH|12712750488510068400</stp>
        <tr r="F138" s="10"/>
      </tp>
      <tp t="e">
        <v>#N/A</v>
        <stp/>
        <stp>BDH|10403625138218148451</stp>
        <tr r="I106" s="10"/>
      </tp>
      <tp t="e">
        <v>#N/A</v>
        <stp/>
        <stp>BDH|11826160170838021649</stp>
        <tr r="O51" s="10"/>
      </tp>
      <tp t="e">
        <v>#N/A</v>
        <stp/>
        <stp>BDH|11897274409603591993</stp>
        <tr r="AB124" s="10"/>
      </tp>
      <tp t="e">
        <v>#N/A</v>
        <stp/>
        <stp>BDH|13249823579883000639</stp>
        <tr r="AR54" s="10"/>
      </tp>
      <tp t="e">
        <v>#N/A</v>
        <stp/>
        <stp>BDH|18039013958492203610</stp>
        <tr r="AW192" s="10"/>
      </tp>
      <tp t="e">
        <v>#N/A</v>
        <stp/>
        <stp>BDH|15490410970277143895</stp>
        <tr r="AT49" s="10"/>
      </tp>
      <tp t="e">
        <v>#N/A</v>
        <stp/>
        <stp>BDH|14573659951247932955</stp>
        <tr r="AG181" s="10"/>
      </tp>
      <tp t="e">
        <v>#N/A</v>
        <stp/>
        <stp>BDH|14297520990538433995</stp>
        <tr r="Q110" s="10"/>
      </tp>
      <tp t="e">
        <v>#N/A</v>
        <stp/>
        <stp>BDH|10755433690113889716</stp>
        <tr r="AT184" s="10"/>
      </tp>
      <tp t="e">
        <v>#N/A</v>
        <stp/>
        <stp>BDH|12382434886724963324</stp>
        <tr r="AM149" s="10"/>
      </tp>
      <tp t="e">
        <v>#N/A</v>
        <stp/>
        <stp>BDH|16671357954111804829</stp>
        <tr r="AO124" s="10"/>
      </tp>
      <tp t="e">
        <v>#N/A</v>
        <stp/>
        <stp>BDH|14287559975876879972</stp>
        <tr r="E94" s="10"/>
      </tp>
      <tp t="e">
        <v>#N/A</v>
        <stp/>
        <stp>BDH|12623648653290427889</stp>
        <tr r="AF116" s="10"/>
      </tp>
      <tp t="e">
        <v>#N/A</v>
        <stp/>
        <stp>BDH|15621778239808114040</stp>
        <tr r="N89" s="10"/>
      </tp>
      <tp t="e">
        <v>#N/A</v>
        <stp/>
        <stp>BDH|16911747190558354934</stp>
        <tr r="L174" s="10"/>
      </tp>
      <tp t="e">
        <v>#N/A</v>
        <stp/>
        <stp>BDH|15315040080046872224</stp>
        <tr r="AS157" s="10"/>
      </tp>
      <tp t="e">
        <v>#N/A</v>
        <stp/>
        <stp>BDH|15262891900561734511</stp>
        <tr r="AV63" s="10"/>
      </tp>
      <tp t="e">
        <v>#N/A</v>
        <stp/>
        <stp>BDH|14293886304316259319</stp>
        <tr r="Y124" s="10"/>
      </tp>
      <tp t="e">
        <v>#N/A</v>
        <stp/>
        <stp>BDH|13201972652374373291</stp>
        <tr r="D81" s="10"/>
      </tp>
      <tp t="e">
        <v>#N/A</v>
        <stp/>
        <stp>BDH|18095722956937011495</stp>
        <tr r="Y62" s="10"/>
      </tp>
      <tp t="e">
        <v>#N/A</v>
        <stp/>
        <stp>BDH|18290232291538836258</stp>
        <tr r="U171" s="10"/>
      </tp>
      <tp t="e">
        <v>#N/A</v>
        <stp/>
        <stp>BDH|15918705923028602111</stp>
        <tr r="AI49" s="10"/>
      </tp>
      <tp t="e">
        <v>#N/A</v>
        <stp/>
        <stp>BDH|14932063811835697948</stp>
        <tr r="I3" s="10"/>
      </tp>
      <tp t="e">
        <v>#N/A</v>
        <stp/>
        <stp>BDH|15917852040404268429</stp>
        <tr r="AW117" s="10"/>
      </tp>
      <tp t="e">
        <v>#N/A</v>
        <stp/>
        <stp>BDH|15022063888236731258</stp>
        <tr r="M45" s="10"/>
      </tp>
      <tp t="e">
        <v>#N/A</v>
        <stp/>
        <stp>BDH|16056161385334690293</stp>
        <tr r="G11" s="10"/>
      </tp>
      <tp t="e">
        <v>#N/A</v>
        <stp/>
        <stp>BDH|18152524448482711207</stp>
        <tr r="C157" s="10"/>
      </tp>
      <tp t="e">
        <v>#N/A</v>
        <stp/>
        <stp>BDH|18171545378541056211</stp>
        <tr r="K31" s="10"/>
      </tp>
      <tp t="e">
        <v>#N/A</v>
        <stp/>
        <stp>BDH|14479017389313536652</stp>
        <tr r="O45" s="10"/>
      </tp>
      <tp t="e">
        <v>#N/A</v>
        <stp/>
        <stp>BDH|13537398760948918791</stp>
        <tr r="I114" s="10"/>
      </tp>
      <tp t="e">
        <v>#N/A</v>
        <stp/>
        <stp>BDH|13924852646442311454</stp>
        <tr r="AJ58" s="10"/>
      </tp>
      <tp t="e">
        <v>#N/A</v>
        <stp/>
        <stp>BDH|11342583346271844890</stp>
        <tr r="H69" s="10"/>
      </tp>
      <tp t="e">
        <v>#N/A</v>
        <stp/>
        <stp>BDH|14704843695515804926</stp>
        <tr r="AR116" s="10"/>
      </tp>
      <tp t="e">
        <v>#N/A</v>
        <stp/>
        <stp>BDH|15828990581368830545</stp>
        <tr r="C16" s="10"/>
      </tp>
      <tp t="e">
        <v>#N/A</v>
        <stp/>
        <stp>BDH|11158230276879026489</stp>
        <tr r="U28" s="10"/>
      </tp>
      <tp t="e">
        <v>#N/A</v>
        <stp/>
        <stp>BDH|18368224935350078083</stp>
        <tr r="AO56" s="10"/>
      </tp>
      <tp t="e">
        <v>#N/A</v>
        <stp/>
        <stp>BDH|18104857134442512897</stp>
        <tr r="Y66" s="10"/>
      </tp>
      <tp t="e">
        <v>#N/A</v>
        <stp/>
        <stp>BDH|12804633961393184842</stp>
        <tr r="K180" s="10"/>
      </tp>
      <tp t="e">
        <v>#N/A</v>
        <stp/>
        <stp>BDH|14242788503988293242</stp>
        <tr r="AL101" s="10"/>
      </tp>
      <tp t="e">
        <v>#N/A</v>
        <stp/>
        <stp>BDH|12910966493902261916</stp>
        <tr r="AC87" s="10"/>
      </tp>
      <tp t="e">
        <v>#N/A</v>
        <stp/>
        <stp>BDH|10530897677955539312</stp>
        <tr r="AT106" s="10"/>
      </tp>
      <tp t="e">
        <v>#N/A</v>
        <stp/>
        <stp>BDH|10831130167979775741</stp>
        <tr r="Y179" s="10"/>
      </tp>
      <tp t="e">
        <v>#N/A</v>
        <stp/>
        <stp>BDH|18139872050015934901</stp>
        <tr r="N168" s="10"/>
      </tp>
      <tp t="e">
        <v>#N/A</v>
        <stp/>
        <stp>BDH|14388262820408274588</stp>
        <tr r="W75" s="10"/>
      </tp>
      <tp t="e">
        <v>#N/A</v>
        <stp/>
        <stp>BDH|15818839154844769577</stp>
        <tr r="E56" s="10"/>
      </tp>
      <tp t="e">
        <v>#N/A</v>
        <stp/>
        <stp>BDH|13508644807728155487</stp>
        <tr r="AA20" s="10"/>
      </tp>
      <tp t="e">
        <v>#N/A</v>
        <stp/>
        <stp>BDH|17850717361317075877</stp>
        <tr r="AG29" s="10"/>
      </tp>
      <tp t="e">
        <v>#N/A</v>
        <stp/>
        <stp>BDH|11151436355470029980</stp>
        <tr r="AJ154" s="10"/>
      </tp>
      <tp t="e">
        <v>#N/A</v>
        <stp/>
        <stp>BDH|11993699393421484697</stp>
        <tr r="AV64" s="10"/>
      </tp>
      <tp t="e">
        <v>#N/A</v>
        <stp/>
        <stp>BDH|17952266967813729912</stp>
        <tr r="R76" s="10"/>
      </tp>
      <tp t="e">
        <v>#N/A</v>
        <stp/>
        <stp>BDH|12273928008062277042</stp>
        <tr r="AO53" s="10"/>
      </tp>
      <tp t="e">
        <v>#N/A</v>
        <stp/>
        <stp>BDH|17549904429910537573</stp>
        <tr r="AR155" s="10"/>
      </tp>
      <tp t="e">
        <v>#N/A</v>
        <stp/>
        <stp>BDH|16587381794842404738</stp>
        <tr r="AA91" s="10"/>
      </tp>
      <tp t="e">
        <v>#N/A</v>
        <stp/>
        <stp>BDH|17046389593461285578</stp>
        <tr r="AO183" s="10"/>
      </tp>
      <tp t="e">
        <v>#N/A</v>
        <stp/>
        <stp>BDH|14895802482504251964</stp>
        <tr r="P33" s="10"/>
      </tp>
      <tp t="e">
        <v>#N/A</v>
        <stp/>
        <stp>BDH|17579196770929407164</stp>
        <tr r="P112" s="10"/>
      </tp>
      <tp t="e">
        <v>#N/A</v>
        <stp/>
        <stp>BDH|10479683183673143405</stp>
        <tr r="Z9" s="10"/>
      </tp>
      <tp t="e">
        <v>#N/A</v>
        <stp/>
        <stp>BDH|15491253576338025198</stp>
        <tr r="J25" s="10"/>
      </tp>
      <tp t="e">
        <v>#N/A</v>
        <stp/>
        <stp>BDH|11216227350768852766</stp>
        <tr r="I143" s="10"/>
      </tp>
      <tp t="e">
        <v>#N/A</v>
        <stp/>
        <stp>BDH|15697352863101892862</stp>
        <tr r="W23" s="10"/>
      </tp>
      <tp t="e">
        <v>#N/A</v>
        <stp/>
        <stp>BDH|15859616707853993992</stp>
        <tr r="AE100" s="10"/>
      </tp>
      <tp t="e">
        <v>#N/A</v>
        <stp/>
        <stp>BDH|12054890166374347124</stp>
        <tr r="AB175" s="10"/>
      </tp>
      <tp t="e">
        <v>#N/A</v>
        <stp/>
        <stp>BDH|15883147541210522969</stp>
        <tr r="Z27" s="10"/>
      </tp>
      <tp t="e">
        <v>#N/A</v>
        <stp/>
        <stp>BDH|16955329614915775867</stp>
        <tr r="AT44" s="10"/>
      </tp>
      <tp t="e">
        <v>#N/A</v>
        <stp/>
        <stp>BDH|18147563900755069192</stp>
        <tr r="Q140" s="10"/>
      </tp>
    </main>
    <main first="bofaddin.rtdserver">
      <tp t="s">
        <v>#N/A Requesting Data...4265834712</v>
        <stp/>
        <stp>BDP|10113549469088026544</stp>
        <tr r="I26" s="1"/>
      </tp>
      <tp t="s">
        <v>#N/A N/A</v>
        <stp/>
        <stp>BDP|17713209384404030798</stp>
        <tr r="I49" s="1"/>
      </tp>
      <tp t="s">
        <v>#N/A Requesting Data...4277541379</v>
        <stp/>
        <stp>BDP|16452287166104239872</stp>
        <tr r="D53" s="6"/>
        <tr r="H44" s="1"/>
      </tp>
      <tp t="s">
        <v>#N/A Requesting Data...4272662807</v>
        <stp/>
        <stp>BDP|13855804430274357242</stp>
        <tr r="F21" s="2"/>
        <tr r="F23" s="2"/>
        <tr r="F93" s="2"/>
        <tr r="F135" s="2"/>
        <tr r="F140" s="2"/>
        <tr r="F145" s="2"/>
      </tp>
      <tp t="s">
        <v>#N/A Requesting Data...4246658849</v>
        <stp/>
        <stp>BDP|15197813011914620664</stp>
        <tr r="B4" s="6"/>
        <tr r="E3" s="1"/>
        <tr r="H4" s="2"/>
        <tr r="H74" s="2"/>
      </tp>
      <tp t="s">
        <v>#N/A Requesting Data...4285979452</v>
        <stp/>
        <stp>BDP|15084637412588034419</stp>
        <tr r="F44" s="2"/>
        <tr r="F51" s="2"/>
      </tp>
      <tp t="s">
        <v>#N/A Requesting Data...4279649379</v>
        <stp/>
        <stp>BDP|16806104829949596240</stp>
        <tr r="D51" s="6"/>
        <tr r="H41" s="1"/>
      </tp>
      <tp t="s">
        <v>#N/A Requesting Data...4256088209</v>
        <stp/>
        <stp>BDP|10794730983927964694</stp>
        <tr r="I7" s="1"/>
      </tp>
      <tp t="e">
        <v>#N/A</v>
        <stp/>
        <stp>BDH|10030101606937756804</stp>
        <tr r="N182" s="10"/>
      </tp>
      <tp t="e">
        <v>#N/A</v>
        <stp/>
        <stp>BDH|18206091947582485096</stp>
        <tr r="AW13" s="10"/>
      </tp>
      <tp t="e">
        <v>#N/A</v>
        <stp/>
        <stp>BDH|13073961245457197733</stp>
        <tr r="AA115" s="10"/>
      </tp>
      <tp t="e">
        <v>#N/A</v>
        <stp/>
        <stp>BDH|11182057213828699601</stp>
        <tr r="AB179" s="10"/>
      </tp>
      <tp t="e">
        <v>#N/A</v>
        <stp/>
        <stp>BDH|10538990552394895674</stp>
        <tr r="AU65" s="10"/>
      </tp>
      <tp t="e">
        <v>#N/A</v>
        <stp/>
        <stp>BDH|12189887746981686183</stp>
        <tr r="S170" s="10"/>
      </tp>
      <tp t="e">
        <v>#N/A</v>
        <stp/>
        <stp>BDH|16451936358074668086</stp>
        <tr r="AT175" s="10"/>
      </tp>
      <tp t="e">
        <v>#N/A</v>
        <stp/>
        <stp>BDH|10440413133010104964</stp>
        <tr r="AK193" s="10"/>
      </tp>
      <tp t="e">
        <v>#N/A</v>
        <stp/>
        <stp>BDH|11928892296809430739</stp>
        <tr r="S177" s="10"/>
      </tp>
      <tp t="e">
        <v>#N/A</v>
        <stp/>
        <stp>BDH|10113728346794391976</stp>
        <tr r="D163" s="10"/>
      </tp>
      <tp t="e">
        <v>#N/A</v>
        <stp/>
        <stp>BDH|11945762038153293849</stp>
        <tr r="T143" s="10"/>
      </tp>
      <tp t="e">
        <v>#N/A</v>
        <stp/>
        <stp>BDH|17384902142874244020</stp>
        <tr r="AW15" s="10"/>
      </tp>
      <tp t="e">
        <v>#N/A</v>
        <stp/>
        <stp>BDH|13063952480505753931</stp>
        <tr r="M9" s="10"/>
      </tp>
      <tp t="e">
        <v>#N/A</v>
        <stp/>
        <stp>BDH|16530150670218937686</stp>
        <tr r="Y180" s="10"/>
      </tp>
      <tp t="e">
        <v>#N/A</v>
        <stp/>
        <stp>BDH|13462325893907273077</stp>
        <tr r="AF55" s="10"/>
      </tp>
      <tp t="e">
        <v>#N/A</v>
        <stp/>
        <stp>BDH|14203726260219498247</stp>
        <tr r="K66" s="10"/>
      </tp>
      <tp t="e">
        <v>#N/A</v>
        <stp/>
        <stp>BDH|13355942126087015118</stp>
        <tr r="N42" s="10"/>
      </tp>
      <tp t="e">
        <v>#N/A</v>
        <stp/>
        <stp>BDH|15187970214667118433</stp>
        <tr r="I187" s="10"/>
      </tp>
      <tp t="e">
        <v>#N/A</v>
        <stp/>
        <stp>BDH|14596608160053644939</stp>
        <tr r="AM90" s="10"/>
      </tp>
      <tp t="e">
        <v>#N/A</v>
        <stp/>
        <stp>BDH|13115404446544548927</stp>
        <tr r="D63" s="10"/>
      </tp>
      <tp t="e">
        <v>#N/A</v>
        <stp/>
        <stp>BDH|17946328684827661590</stp>
        <tr r="H110" s="10"/>
      </tp>
      <tp t="e">
        <v>#N/A</v>
        <stp/>
        <stp>BDH|13067626689195823633</stp>
        <tr r="AR28" s="10"/>
      </tp>
      <tp t="e">
        <v>#N/A</v>
        <stp/>
        <stp>BDH|11471969460205050529</stp>
        <tr r="AM3" s="10"/>
      </tp>
      <tp t="e">
        <v>#N/A</v>
        <stp/>
        <stp>BDH|13230379157913064822</stp>
        <tr r="W122" s="10"/>
      </tp>
      <tp t="e">
        <v>#N/A</v>
        <stp/>
        <stp>BDH|11967461923091900850</stp>
        <tr r="AS49" s="10"/>
      </tp>
      <tp t="e">
        <v>#N/A</v>
        <stp/>
        <stp>BDH|16258525750038225024</stp>
        <tr r="K179" s="10"/>
      </tp>
      <tp t="e">
        <v>#N/A</v>
        <stp/>
        <stp>BDH|13075332302108271635</stp>
        <tr r="G165" s="10"/>
      </tp>
      <tp t="e">
        <v>#N/A</v>
        <stp/>
        <stp>BDH|16109806532027539463</stp>
        <tr r="AL33" s="10"/>
      </tp>
      <tp t="e">
        <v>#N/A</v>
        <stp/>
        <stp>BDH|14927643980150904445</stp>
        <tr r="AU170" s="10"/>
      </tp>
      <tp t="e">
        <v>#N/A</v>
        <stp/>
        <stp>BDH|18267066905342235435</stp>
        <tr r="AR166" s="10"/>
      </tp>
      <tp t="e">
        <v>#N/A</v>
        <stp/>
        <stp>BDH|15175256704598696169</stp>
        <tr r="Z150" s="10"/>
      </tp>
      <tp t="e">
        <v>#N/A</v>
        <stp/>
        <stp>BDH|13613524760378201662</stp>
        <tr r="M143" s="10"/>
      </tp>
      <tp t="e">
        <v>#N/A</v>
        <stp/>
        <stp>BDH|10920508007739866250</stp>
        <tr r="AI31" s="10"/>
      </tp>
      <tp t="e">
        <v>#N/A</v>
        <stp/>
        <stp>BDH|13491101496381586449</stp>
        <tr r="Z15" s="10"/>
      </tp>
      <tp t="e">
        <v>#N/A</v>
        <stp/>
        <stp>BDH|13814861150054591483</stp>
        <tr r="J75" s="10"/>
      </tp>
      <tp t="e">
        <v>#N/A</v>
        <stp/>
        <stp>BDH|13447848123193431447</stp>
        <tr r="AL13" s="10"/>
      </tp>
      <tp t="e">
        <v>#N/A</v>
        <stp/>
        <stp>BDH|12748929892045255960</stp>
        <tr r="N98" s="10"/>
      </tp>
      <tp t="e">
        <v>#N/A</v>
        <stp/>
        <stp>BDH|13182778859848528795</stp>
        <tr r="AO189" s="10"/>
      </tp>
      <tp t="e">
        <v>#N/A</v>
        <stp/>
        <stp>BDH|13467882904811846436</stp>
        <tr r="AC158" s="10"/>
      </tp>
      <tp t="e">
        <v>#N/A</v>
        <stp/>
        <stp>BDH|12432187799265414129</stp>
        <tr r="M166" s="10"/>
      </tp>
      <tp t="e">
        <v>#N/A</v>
        <stp/>
        <stp>BDH|17684213188892891147</stp>
        <tr r="E70" s="10"/>
      </tp>
      <tp t="e">
        <v>#N/A</v>
        <stp/>
        <stp>BDH|16408660703959346710</stp>
        <tr r="AP40" s="10"/>
      </tp>
      <tp t="e">
        <v>#N/A</v>
        <stp/>
        <stp>BDH|12620926591609777518</stp>
        <tr r="D7" s="10"/>
      </tp>
      <tp t="e">
        <v>#N/A</v>
        <stp/>
        <stp>BDH|11487172990476497144</stp>
        <tr r="AJ57" s="10"/>
      </tp>
      <tp t="e">
        <v>#N/A</v>
        <stp/>
        <stp>BDH|16708857022973748149</stp>
        <tr r="J13" s="10"/>
      </tp>
      <tp t="e">
        <v>#N/A</v>
        <stp/>
        <stp>BDH|13288029383545032005</stp>
        <tr r="M80" s="10"/>
      </tp>
      <tp t="e">
        <v>#N/A</v>
        <stp/>
        <stp>BDH|15846016123161195888</stp>
        <tr r="AU161" s="10"/>
      </tp>
      <tp t="e">
        <v>#N/A</v>
        <stp/>
        <stp>BDH|10834582299620222285</stp>
        <tr r="AG131" s="10"/>
      </tp>
      <tp t="e">
        <v>#N/A</v>
        <stp/>
        <stp>BDH|13780312594393772469</stp>
        <tr r="AR3" s="10"/>
      </tp>
      <tp t="e">
        <v>#N/A</v>
        <stp/>
        <stp>BDH|10304226466383020941</stp>
        <tr r="AT87" s="10"/>
      </tp>
      <tp t="e">
        <v>#N/A</v>
        <stp/>
        <stp>BDH|17256966067124708276</stp>
        <tr r="V59" s="10"/>
      </tp>
      <tp t="e">
        <v>#N/A</v>
        <stp/>
        <stp>BDH|13464061266322581928</stp>
        <tr r="F77" s="10"/>
      </tp>
      <tp t="e">
        <v>#N/A</v>
        <stp/>
        <stp>BDH|15548619427237820896</stp>
        <tr r="R191" s="10"/>
      </tp>
      <tp t="e">
        <v>#N/A</v>
        <stp/>
        <stp>BDH|14776092430070883947</stp>
        <tr r="X137" s="10"/>
      </tp>
      <tp t="e">
        <v>#N/A</v>
        <stp/>
        <stp>BDH|15365214996183430328</stp>
        <tr r="V27" s="10"/>
      </tp>
      <tp t="e">
        <v>#N/A</v>
        <stp/>
        <stp>BDH|12089811600035219117</stp>
        <tr r="AM5" s="10"/>
      </tp>
      <tp t="e">
        <v>#N/A</v>
        <stp/>
        <stp>BDH|18370509714585721727</stp>
        <tr r="S185" s="10"/>
      </tp>
      <tp t="e">
        <v>#N/A</v>
        <stp/>
        <stp>BDH|13684865485519530425</stp>
        <tr r="I26" s="10"/>
      </tp>
      <tp t="e">
        <v>#N/A</v>
        <stp/>
        <stp>BDH|14678718481716343371</stp>
        <tr r="AN166" s="10"/>
      </tp>
      <tp t="e">
        <v>#N/A</v>
        <stp/>
        <stp>BDH|12614925194075598970</stp>
        <tr r="AC29" s="10"/>
      </tp>
      <tp t="e">
        <v>#N/A</v>
        <stp/>
        <stp>BDH|18343707438607812518</stp>
        <tr r="AD21" s="10"/>
      </tp>
      <tp t="e">
        <v>#N/A</v>
        <stp/>
        <stp>BDH|15126781269872734854</stp>
        <tr r="T50" s="10"/>
      </tp>
      <tp t="e">
        <v>#N/A</v>
        <stp/>
        <stp>BDH|15344371523289774323</stp>
        <tr r="AV9" s="10"/>
      </tp>
      <tp t="e">
        <v>#N/A</v>
        <stp/>
        <stp>BDH|17376553686276736256</stp>
        <tr r="U30" s="10"/>
      </tp>
      <tp t="e">
        <v>#N/A</v>
        <stp/>
        <stp>BDH|13310202917786225846</stp>
        <tr r="AP79" s="10"/>
      </tp>
      <tp t="e">
        <v>#N/A</v>
        <stp/>
        <stp>BDH|12523128231536392870</stp>
        <tr r="AR24" s="10"/>
      </tp>
      <tp t="e">
        <v>#N/A</v>
        <stp/>
        <stp>BDH|10854952059032604001</stp>
        <tr r="P90" s="10"/>
      </tp>
      <tp t="e">
        <v>#N/A</v>
        <stp/>
        <stp>BDH|13880303071809277090</stp>
        <tr r="AT157" s="10"/>
      </tp>
      <tp t="e">
        <v>#N/A</v>
        <stp/>
        <stp>BDH|15152294280174996542</stp>
        <tr r="Y6" s="10"/>
      </tp>
      <tp t="e">
        <v>#N/A</v>
        <stp/>
        <stp>BDH|13817950637581695697</stp>
        <tr r="AH168" s="10"/>
      </tp>
      <tp t="e">
        <v>#N/A</v>
        <stp/>
        <stp>BDH|14795326559878981407</stp>
        <tr r="W174" s="10"/>
      </tp>
      <tp t="e">
        <v>#N/A</v>
        <stp/>
        <stp>BDH|15908017069829123453</stp>
        <tr r="N172" s="10"/>
      </tp>
      <tp t="e">
        <v>#N/A</v>
        <stp/>
        <stp>BDH|18370145833824153001</stp>
        <tr r="D186" s="10"/>
      </tp>
      <tp t="e">
        <v>#N/A</v>
        <stp/>
        <stp>BDH|14543859216640658353</stp>
        <tr r="G113" s="10"/>
      </tp>
      <tp t="e">
        <v>#N/A</v>
        <stp/>
        <stp>BDH|11134511390325559608</stp>
        <tr r="M10" s="10"/>
      </tp>
      <tp t="e">
        <v>#N/A</v>
        <stp/>
        <stp>BDH|16613829453112563773</stp>
        <tr r="AS120" s="10"/>
      </tp>
      <tp t="e">
        <v>#N/A</v>
        <stp/>
        <stp>BDH|10049976038124975037</stp>
        <tr r="D48" s="10"/>
      </tp>
      <tp t="e">
        <v>#N/A</v>
        <stp/>
        <stp>BDH|18139673144705250151</stp>
        <tr r="I123" s="10"/>
      </tp>
      <tp t="e">
        <v>#N/A</v>
        <stp/>
        <stp>BDH|13879359213617290892</stp>
        <tr r="AL68" s="10"/>
      </tp>
      <tp t="e">
        <v>#N/A</v>
        <stp/>
        <stp>BDH|10487346560533100849</stp>
        <tr r="AS168" s="10"/>
      </tp>
      <tp t="e">
        <v>#N/A</v>
        <stp/>
        <stp>BDH|10413854034366713376</stp>
        <tr r="AS174" s="10"/>
      </tp>
      <tp t="e">
        <v>#N/A</v>
        <stp/>
        <stp>BDH|15825184299897879449</stp>
        <tr r="AB181" s="10"/>
      </tp>
      <tp t="e">
        <v>#N/A</v>
        <stp/>
        <stp>BDH|16908165528089671244</stp>
        <tr r="AC15" s="10"/>
      </tp>
      <tp t="e">
        <v>#N/A</v>
        <stp/>
        <stp>BDH|10161956167799520830</stp>
        <tr r="T189" s="10"/>
      </tp>
      <tp t="e">
        <v>#N/A</v>
        <stp/>
        <stp>BDH|15472702847158057065</stp>
        <tr r="W58" s="10"/>
      </tp>
      <tp t="e">
        <v>#N/A</v>
        <stp/>
        <stp>BDH|17185690392074745297</stp>
        <tr r="AC33" s="10"/>
      </tp>
      <tp t="e">
        <v>#N/A</v>
        <stp/>
        <stp>BDH|14061545382776275108</stp>
        <tr r="Q109" s="10"/>
      </tp>
      <tp t="e">
        <v>#N/A</v>
        <stp/>
        <stp>BDH|14280854125363305354</stp>
        <tr r="Z166" s="10"/>
      </tp>
      <tp t="e">
        <v>#N/A</v>
        <stp/>
        <stp>BDH|13915511594153999212</stp>
        <tr r="K3" s="10"/>
      </tp>
      <tp t="e">
        <v>#N/A</v>
        <stp/>
        <stp>BDH|11399719271418262758</stp>
        <tr r="AL87" s="10"/>
      </tp>
      <tp t="e">
        <v>#N/A</v>
        <stp/>
        <stp>BDH|13905603290413483195</stp>
        <tr r="S93" s="10"/>
      </tp>
      <tp t="e">
        <v>#N/A</v>
        <stp/>
        <stp>BDH|13064442410610980890</stp>
        <tr r="N12" s="10"/>
      </tp>
      <tp t="e">
        <v>#N/A</v>
        <stp/>
        <stp>BDH|14828240973356849938</stp>
        <tr r="AA82" s="10"/>
      </tp>
      <tp t="e">
        <v>#N/A</v>
        <stp/>
        <stp>BDH|12072859593538654543</stp>
        <tr r="AH131" s="10"/>
      </tp>
      <tp t="e">
        <v>#N/A</v>
        <stp/>
        <stp>BDH|16897101129149467213</stp>
        <tr r="G84" s="10"/>
      </tp>
      <tp t="e">
        <v>#N/A</v>
        <stp/>
        <stp>BDH|17446023843599082416</stp>
        <tr r="P150" s="10"/>
      </tp>
      <tp t="e">
        <v>#N/A</v>
        <stp/>
        <stp>BDH|13478385578799556052</stp>
        <tr r="AI120" s="10"/>
      </tp>
      <tp t="e">
        <v>#N/A</v>
        <stp/>
        <stp>BDH|17342952565190200656</stp>
        <tr r="O36" s="10"/>
      </tp>
      <tp t="e">
        <v>#N/A</v>
        <stp/>
        <stp>BDH|13752490008390075921</stp>
        <tr r="AJ42" s="10"/>
      </tp>
      <tp t="e">
        <v>#N/A</v>
        <stp/>
        <stp>BDH|14043742281536545347</stp>
        <tr r="AG118" s="10"/>
      </tp>
      <tp t="e">
        <v>#N/A</v>
        <stp/>
        <stp>BDH|14509444604669242732</stp>
        <tr r="AM166" s="10"/>
      </tp>
      <tp t="e">
        <v>#N/A</v>
        <stp/>
        <stp>BDH|11756088408288962792</stp>
        <tr r="V71" s="10"/>
      </tp>
      <tp t="e">
        <v>#N/A</v>
        <stp/>
        <stp>BDH|16363229767629054515</stp>
        <tr r="R154" s="10"/>
      </tp>
      <tp t="e">
        <v>#N/A</v>
        <stp/>
        <stp>BDH|11133667582075388414</stp>
        <tr r="AK47" s="10"/>
      </tp>
      <tp t="e">
        <v>#N/A</v>
        <stp/>
        <stp>BDH|16692130131339004332</stp>
        <tr r="D16" s="10"/>
      </tp>
      <tp t="e">
        <v>#N/A</v>
        <stp/>
        <stp>BDH|12877847069660193237</stp>
        <tr r="C17" s="10"/>
      </tp>
      <tp t="e">
        <v>#N/A</v>
        <stp/>
        <stp>BDH|11507220971018997284</stp>
        <tr r="AS62" s="10"/>
      </tp>
      <tp t="e">
        <v>#N/A</v>
        <stp/>
        <stp>BDH|17469053504831429862</stp>
        <tr r="W101" s="10"/>
      </tp>
      <tp t="e">
        <v>#N/A</v>
        <stp/>
        <stp>BDH|14317022200858235244</stp>
        <tr r="AO72" s="10"/>
      </tp>
      <tp t="e">
        <v>#N/A</v>
        <stp/>
        <stp>BDH|15873038043949732687</stp>
        <tr r="AF30" s="10"/>
      </tp>
      <tp t="e">
        <v>#N/A</v>
        <stp/>
        <stp>BDH|13126810941998704919</stp>
        <tr r="AF76" s="10"/>
      </tp>
      <tp t="e">
        <v>#N/A</v>
        <stp/>
        <stp>BDH|12842356189651461673</stp>
        <tr r="L19" s="10"/>
      </tp>
      <tp t="e">
        <v>#N/A</v>
        <stp/>
        <stp>BDH|14896819099019250254</stp>
        <tr r="AL173" s="10"/>
      </tp>
      <tp t="e">
        <v>#N/A</v>
        <stp/>
        <stp>BDH|12228797338258111056</stp>
        <tr r="AS147" s="10"/>
      </tp>
      <tp t="e">
        <v>#N/A</v>
        <stp/>
        <stp>BDH|16836637288591069747</stp>
        <tr r="R175" s="10"/>
      </tp>
      <tp t="e">
        <v>#N/A</v>
        <stp/>
        <stp>BDH|11654887662712829330</stp>
        <tr r="AG133" s="10"/>
      </tp>
      <tp t="e">
        <v>#N/A</v>
        <stp/>
        <stp>BDH|13509508733238790365</stp>
        <tr r="AR172" s="10"/>
      </tp>
      <tp t="e">
        <v>#N/A</v>
        <stp/>
        <stp>BDH|14735521147308672333</stp>
        <tr r="F163" s="10"/>
      </tp>
      <tp t="e">
        <v>#N/A</v>
        <stp/>
        <stp>BDH|12890982322303065445</stp>
        <tr r="C82" s="10"/>
      </tp>
      <tp t="e">
        <v>#N/A</v>
        <stp/>
        <stp>BDH|15875110018109772208</stp>
        <tr r="U20" s="10"/>
      </tp>
      <tp t="e">
        <v>#N/A</v>
        <stp/>
        <stp>BDH|15265524233955134841</stp>
        <tr r="AJ122" s="10"/>
      </tp>
      <tp t="e">
        <v>#N/A</v>
        <stp/>
        <stp>BDH|15660381449278743468</stp>
        <tr r="AM11" s="10"/>
      </tp>
      <tp t="e">
        <v>#N/A</v>
        <stp/>
        <stp>BDH|17309043627182293943</stp>
        <tr r="AW190" s="10"/>
      </tp>
      <tp t="e">
        <v>#N/A</v>
        <stp/>
        <stp>BDH|18235982431925805957</stp>
        <tr r="AA176" s="10"/>
      </tp>
      <tp t="e">
        <v>#N/A</v>
        <stp/>
        <stp>BDH|13591958847194799467</stp>
        <tr r="S13" s="10"/>
      </tp>
      <tp t="e">
        <v>#N/A</v>
        <stp/>
        <stp>BDH|14836263881946010696</stp>
        <tr r="AC170" s="10"/>
      </tp>
      <tp t="e">
        <v>#N/A</v>
        <stp/>
        <stp>BDH|11150487725239390095</stp>
        <tr r="AT59" s="10"/>
      </tp>
      <tp t="e">
        <v>#N/A</v>
        <stp/>
        <stp>BDH|13119862925907064040</stp>
        <tr r="U184" s="10"/>
      </tp>
      <tp t="e">
        <v>#N/A</v>
        <stp/>
        <stp>BDH|15986445753018844205</stp>
        <tr r="AG73" s="10"/>
      </tp>
      <tp t="e">
        <v>#N/A</v>
        <stp/>
        <stp>BDH|17116473469688956302</stp>
        <tr r="E38" s="10"/>
      </tp>
      <tp t="e">
        <v>#N/A</v>
        <stp/>
        <stp>BDH|16159650166620600820</stp>
        <tr r="AK158" s="10"/>
      </tp>
      <tp t="e">
        <v>#N/A</v>
        <stp/>
        <stp>BDH|10780954256844057622</stp>
        <tr r="AO135" s="10"/>
      </tp>
      <tp t="e">
        <v>#N/A</v>
        <stp/>
        <stp>BDH|17423622431314794868</stp>
        <tr r="I183" s="10"/>
      </tp>
      <tp t="e">
        <v>#N/A</v>
        <stp/>
        <stp>BDH|14245908893662594822</stp>
        <tr r="G99" s="10"/>
      </tp>
      <tp t="e">
        <v>#N/A</v>
        <stp/>
        <stp>BDH|12909674021800150888</stp>
        <tr r="AS34" s="10"/>
      </tp>
      <tp t="e">
        <v>#N/A</v>
        <stp/>
        <stp>BDH|12075174682106540366</stp>
        <tr r="Y163" s="10"/>
      </tp>
      <tp t="e">
        <v>#N/A</v>
        <stp/>
        <stp>BDH|18207039914694189321</stp>
        <tr r="AD68" s="10"/>
      </tp>
      <tp t="e">
        <v>#N/A</v>
        <stp/>
        <stp>BDH|13668570881539361950</stp>
        <tr r="AN130" s="10"/>
      </tp>
      <tp t="e">
        <v>#N/A</v>
        <stp/>
        <stp>BDH|10583291573148031360</stp>
        <tr r="AF101" s="10"/>
      </tp>
      <tp t="e">
        <v>#N/A</v>
        <stp/>
        <stp>BDH|14282204359049716455</stp>
        <tr r="AI96" s="10"/>
      </tp>
      <tp t="e">
        <v>#N/A</v>
        <stp/>
        <stp>BDH|11736509299536290559</stp>
        <tr r="AU55" s="10"/>
      </tp>
      <tp t="e">
        <v>#N/A</v>
        <stp/>
        <stp>BDH|12895703280280362320</stp>
        <tr r="AR125" s="10"/>
      </tp>
      <tp t="e">
        <v>#N/A</v>
        <stp/>
        <stp>BDH|11178990072533277218</stp>
        <tr r="V19" s="10"/>
      </tp>
      <tp t="e">
        <v>#N/A</v>
        <stp/>
        <stp>BDH|16759986564203140438</stp>
        <tr r="AF57" s="10"/>
      </tp>
      <tp t="e">
        <v>#N/A</v>
        <stp/>
        <stp>BDH|11494241391492940615</stp>
        <tr r="AQ134" s="10"/>
      </tp>
      <tp t="e">
        <v>#N/A</v>
        <stp/>
        <stp>BDH|12926889449942270237</stp>
        <tr r="AR156" s="10"/>
      </tp>
      <tp t="e">
        <v>#N/A</v>
        <stp/>
        <stp>BDH|11162564348929300759</stp>
        <tr r="X140" s="10"/>
      </tp>
      <tp t="e">
        <v>#N/A</v>
        <stp/>
        <stp>BDH|17626452443298025191</stp>
        <tr r="AT3" s="10"/>
      </tp>
      <tp t="e">
        <v>#N/A</v>
        <stp/>
        <stp>BDH|15663416999852097470</stp>
        <tr r="AA29" s="10"/>
      </tp>
      <tp t="e">
        <v>#N/A</v>
        <stp/>
        <stp>BDH|12334992571092207006</stp>
        <tr r="W76" s="10"/>
      </tp>
      <tp t="e">
        <v>#N/A</v>
        <stp/>
        <stp>BDH|11138414348326544944</stp>
        <tr r="K92" s="10"/>
      </tp>
      <tp t="e">
        <v>#N/A</v>
        <stp/>
        <stp>BDH|13444586968558574684</stp>
        <tr r="AT166" s="10"/>
      </tp>
      <tp t="e">
        <v>#N/A</v>
        <stp/>
        <stp>BDH|10482684636432275905</stp>
        <tr r="P165" s="10"/>
      </tp>
      <tp t="e">
        <v>#N/A</v>
        <stp/>
        <stp>BDH|14820137370398298415</stp>
        <tr r="Q32" s="10"/>
      </tp>
      <tp t="e">
        <v>#N/A</v>
        <stp/>
        <stp>BDH|14818439496576351161</stp>
        <tr r="I126" s="10"/>
      </tp>
      <tp t="e">
        <v>#N/A</v>
        <stp/>
        <stp>BDH|11145994343737086537</stp>
        <tr r="AC120" s="10"/>
      </tp>
      <tp t="e">
        <v>#N/A</v>
        <stp/>
        <stp>BDH|18348133359833218131</stp>
        <tr r="H80" s="10"/>
      </tp>
      <tp t="e">
        <v>#N/A</v>
        <stp/>
        <stp>BDH|12345095367822437815</stp>
        <tr r="L48" s="10"/>
      </tp>
      <tp t="e">
        <v>#N/A</v>
        <stp/>
        <stp>BDH|13807968373816219573</stp>
        <tr r="K15" s="10"/>
      </tp>
      <tp t="e">
        <v>#N/A</v>
        <stp/>
        <stp>BDH|15679888056896256020</stp>
        <tr r="AJ168" s="10"/>
      </tp>
      <tp t="e">
        <v>#N/A</v>
        <stp/>
        <stp>BDH|11762042364199606095</stp>
        <tr r="AM47" s="10"/>
      </tp>
      <tp t="e">
        <v>#N/A</v>
        <stp/>
        <stp>BDH|12030541239112661835</stp>
        <tr r="I181" s="10"/>
      </tp>
      <tp t="e">
        <v>#N/A</v>
        <stp/>
        <stp>BDH|11673736058379159440</stp>
        <tr r="AG149" s="10"/>
      </tp>
      <tp t="e">
        <v>#N/A</v>
        <stp/>
        <stp>BDH|10399755259895635910</stp>
        <tr r="AU106" s="10"/>
      </tp>
      <tp t="e">
        <v>#N/A</v>
        <stp/>
        <stp>BDH|17294249887496163584</stp>
        <tr r="C23" s="10"/>
      </tp>
      <tp t="e">
        <v>#N/A</v>
        <stp/>
        <stp>BDH|10230860274090849103</stp>
        <tr r="U53" s="10"/>
      </tp>
      <tp t="e">
        <v>#N/A</v>
        <stp/>
        <stp>BDH|12817669646866083833</stp>
        <tr r="O159" s="10"/>
      </tp>
      <tp t="e">
        <v>#N/A</v>
        <stp/>
        <stp>BDH|16700699297263360416</stp>
        <tr r="AA60" s="10"/>
      </tp>
      <tp t="e">
        <v>#N/A</v>
        <stp/>
        <stp>BDH|11022379998335133052</stp>
        <tr r="AM188" s="10"/>
      </tp>
      <tp t="e">
        <v>#N/A</v>
        <stp/>
        <stp>BDH|11621085927769542477</stp>
        <tr r="T137" s="10"/>
      </tp>
      <tp t="e">
        <v>#N/A</v>
        <stp/>
        <stp>BDH|10112310562882992901</stp>
        <tr r="AD24" s="10"/>
      </tp>
      <tp t="e">
        <v>#N/A</v>
        <stp/>
        <stp>BDH|17482884985238113138</stp>
        <tr r="R74" s="10"/>
      </tp>
      <tp t="e">
        <v>#N/A</v>
        <stp/>
        <stp>BDH|10068074157298966323</stp>
        <tr r="AB30" s="10"/>
      </tp>
      <tp t="e">
        <v>#N/A</v>
        <stp/>
        <stp>BDH|14969451694830157733</stp>
        <tr r="AA188" s="10"/>
      </tp>
      <tp t="e">
        <v>#N/A</v>
        <stp/>
        <stp>BDH|13495898337741318734</stp>
        <tr r="F4" s="10"/>
      </tp>
      <tp t="e">
        <v>#N/A</v>
        <stp/>
        <stp>BDH|12426356857599826341</stp>
        <tr r="AF4" s="10"/>
      </tp>
      <tp t="e">
        <v>#N/A</v>
        <stp/>
        <stp>BDH|15517317246204008883</stp>
        <tr r="AW70" s="10"/>
      </tp>
      <tp t="e">
        <v>#N/A</v>
        <stp/>
        <stp>BDH|10689881429382880655</stp>
        <tr r="AB155" s="10"/>
      </tp>
      <tp t="e">
        <v>#N/A</v>
        <stp/>
        <stp>BDH|10532912870303832367</stp>
        <tr r="T172" s="10"/>
      </tp>
      <tp t="e">
        <v>#N/A</v>
        <stp/>
        <stp>BDH|17432390886026652470</stp>
        <tr r="F166" s="10"/>
      </tp>
      <tp t="e">
        <v>#N/A</v>
        <stp/>
        <stp>BDH|14988145490564354649</stp>
        <tr r="O87" s="10"/>
      </tp>
      <tp t="e">
        <v>#N/A</v>
        <stp/>
        <stp>BDH|11650763503331102981</stp>
        <tr r="M98" s="10"/>
      </tp>
      <tp t="e">
        <v>#N/A</v>
        <stp/>
        <stp>BDH|14964623614614075950</stp>
        <tr r="AV157" s="10"/>
      </tp>
      <tp t="e">
        <v>#N/A</v>
        <stp/>
        <stp>BDH|11226828022935880072</stp>
        <tr r="J192" s="10"/>
      </tp>
      <tp t="e">
        <v>#N/A</v>
        <stp/>
        <stp>BDH|13406079129049762606</stp>
        <tr r="AT26" s="10"/>
      </tp>
      <tp t="e">
        <v>#N/A</v>
        <stp/>
        <stp>BDH|10328115358003421938</stp>
        <tr r="AD142" s="10"/>
      </tp>
      <tp t="e">
        <v>#N/A</v>
        <stp/>
        <stp>BDH|16806095267829992727</stp>
        <tr r="AV174" s="10"/>
      </tp>
      <tp t="e">
        <v>#N/A</v>
        <stp/>
        <stp>BDH|10135165398834480266</stp>
        <tr r="AK105" s="10"/>
      </tp>
      <tp t="e">
        <v>#N/A</v>
        <stp/>
        <stp>BDH|16302891907655670565</stp>
        <tr r="K112" s="10"/>
      </tp>
      <tp t="e">
        <v>#N/A</v>
        <stp/>
        <stp>BDH|16093160224488774391</stp>
        <tr r="AE144" s="10"/>
      </tp>
      <tp t="e">
        <v>#N/A</v>
        <stp/>
        <stp>BDH|15130748877293832860</stp>
        <tr r="AT35" s="10"/>
      </tp>
      <tp t="e">
        <v>#N/A</v>
        <stp/>
        <stp>BDH|17900924534234655759</stp>
        <tr r="H176" s="10"/>
      </tp>
      <tp t="e">
        <v>#N/A</v>
        <stp/>
        <stp>BDH|17048131248244692817</stp>
        <tr r="X100" s="10"/>
      </tp>
      <tp t="e">
        <v>#N/A</v>
        <stp/>
        <stp>BDH|16852897629951125351</stp>
        <tr r="AW178" s="10"/>
      </tp>
      <tp t="e">
        <v>#N/A</v>
        <stp/>
        <stp>BDH|15832960871984043131</stp>
        <tr r="Y63" s="10"/>
      </tp>
      <tp t="e">
        <v>#N/A</v>
        <stp/>
        <stp>BDH|17509625535434670888</stp>
        <tr r="AW42" s="10"/>
      </tp>
      <tp t="e">
        <v>#N/A</v>
        <stp/>
        <stp>BDH|17144811223331705288</stp>
        <tr r="AQ3" s="10"/>
      </tp>
      <tp t="e">
        <v>#N/A</v>
        <stp/>
        <stp>BDH|14756921390473998905</stp>
        <tr r="AA6" s="10"/>
      </tp>
      <tp t="e">
        <v>#N/A</v>
        <stp/>
        <stp>BDH|15118036811588862278</stp>
        <tr r="T125" s="10"/>
      </tp>
      <tp t="e">
        <v>#N/A</v>
        <stp/>
        <stp>BDH|12913369158462361886</stp>
        <tr r="X161" s="10"/>
      </tp>
      <tp t="e">
        <v>#N/A</v>
        <stp/>
        <stp>BDH|14730303354769679593</stp>
        <tr r="AW102" s="10"/>
      </tp>
      <tp t="e">
        <v>#N/A</v>
        <stp/>
        <stp>BDH|12238285615219131627</stp>
        <tr r="O151" s="10"/>
      </tp>
      <tp t="e">
        <v>#N/A</v>
        <stp/>
        <stp>BDH|13981626061909726415</stp>
        <tr r="AA18" s="10"/>
      </tp>
      <tp t="e">
        <v>#N/A</v>
        <stp/>
        <stp>BDH|18047640159261637475</stp>
        <tr r="AA164" s="10"/>
      </tp>
      <tp t="e">
        <v>#N/A</v>
        <stp/>
        <stp>BDH|16175630340779608387</stp>
        <tr r="AR96" s="10"/>
      </tp>
      <tp t="e">
        <v>#N/A</v>
        <stp/>
        <stp>BDH|12541654070535907853</stp>
        <tr r="F63" s="10"/>
      </tp>
      <tp t="e">
        <v>#N/A</v>
        <stp/>
        <stp>BDH|18146500180112454996</stp>
        <tr r="AM6" s="10"/>
      </tp>
      <tp t="e">
        <v>#N/A</v>
        <stp/>
        <stp>BDH|12968571265679736639</stp>
        <tr r="AJ71" s="10"/>
      </tp>
      <tp t="e">
        <v>#N/A</v>
        <stp/>
        <stp>BDH|15753853648873315464</stp>
        <tr r="Q80" s="10"/>
      </tp>
      <tp t="e">
        <v>#N/A</v>
        <stp/>
        <stp>BDH|17857755665731493934</stp>
        <tr r="AU187" s="10"/>
      </tp>
      <tp t="e">
        <v>#N/A</v>
        <stp/>
        <stp>BDH|15433456172860864841</stp>
        <tr r="AW49" s="10"/>
      </tp>
      <tp t="e">
        <v>#N/A</v>
        <stp/>
        <stp>BDH|13268181540739053158</stp>
        <tr r="P3" s="10"/>
      </tp>
      <tp t="e">
        <v>#N/A</v>
        <stp/>
        <stp>BDH|16626413299546709369</stp>
        <tr r="AO28" s="10"/>
      </tp>
      <tp t="e">
        <v>#N/A</v>
        <stp/>
        <stp>BDH|16430118933948954205</stp>
        <tr r="AO101" s="10"/>
      </tp>
      <tp t="e">
        <v>#N/A</v>
        <stp/>
        <stp>BDH|16862695192135432283</stp>
        <tr r="AT67" s="10"/>
      </tp>
      <tp t="e">
        <v>#N/A</v>
        <stp/>
        <stp>BDH|14833840897133341877</stp>
        <tr r="AI156" s="10"/>
      </tp>
      <tp t="e">
        <v>#N/A</v>
        <stp/>
        <stp>BDH|18310537900051879277</stp>
        <tr r="P125" s="10"/>
      </tp>
      <tp t="e">
        <v>#N/A</v>
        <stp/>
        <stp>BDH|10610970909722268556</stp>
        <tr r="M130" s="10"/>
      </tp>
      <tp t="e">
        <v>#N/A</v>
        <stp/>
        <stp>BDH|11321045541468814316</stp>
        <tr r="AF163" s="10"/>
      </tp>
      <tp t="e">
        <v>#N/A</v>
        <stp/>
        <stp>BDH|16734510333996388896</stp>
        <tr r="V101" s="10"/>
      </tp>
      <tp t="e">
        <v>#N/A</v>
        <stp/>
        <stp>BDH|11060346868242081822</stp>
        <tr r="AK83" s="10"/>
      </tp>
      <tp t="e">
        <v>#N/A</v>
        <stp/>
        <stp>BDH|11835133101806677827</stp>
        <tr r="AO114" s="10"/>
      </tp>
      <tp t="e">
        <v>#N/A</v>
        <stp/>
        <stp>BDH|13114799493942487111</stp>
        <tr r="AF63" s="10"/>
      </tp>
      <tp t="e">
        <v>#N/A</v>
        <stp/>
        <stp>BDH|11227406136241399993</stp>
        <tr r="AI55" s="10"/>
      </tp>
      <tp t="e">
        <v>#N/A</v>
        <stp/>
        <stp>BDH|13799981236351085670</stp>
        <tr r="J11" s="10"/>
      </tp>
      <tp t="e">
        <v>#N/A</v>
        <stp/>
        <stp>BDH|10961762013699201100</stp>
        <tr r="S61" s="10"/>
      </tp>
      <tp t="e">
        <v>#N/A</v>
        <stp/>
        <stp>BDH|13304004757560812827</stp>
        <tr r="F52" s="10"/>
      </tp>
      <tp t="e">
        <v>#N/A</v>
        <stp/>
        <stp>BDH|10546513419392600852</stp>
        <tr r="AA144" s="10"/>
      </tp>
      <tp t="e">
        <v>#N/A</v>
        <stp/>
        <stp>BDH|13275680143899608619</stp>
        <tr r="L167" s="10"/>
      </tp>
      <tp t="e">
        <v>#N/A</v>
        <stp/>
        <stp>BDH|17031894916096187609</stp>
        <tr r="AL149" s="10"/>
      </tp>
      <tp t="e">
        <v>#N/A</v>
        <stp/>
        <stp>BDH|16961407393913657629</stp>
        <tr r="AQ179" s="10"/>
      </tp>
    </main>
    <main first="bofaddin.rtdserver">
      <tp t="s">
        <v>#N/A Requesting Data...2983081132</v>
        <stp/>
        <stp>BDP|18194316938546011108</stp>
        <tr r="F14" s="2"/>
        <tr r="F86" s="2"/>
      </tp>
      <tp t="s">
        <v>#N/A Requesting Data...2273785408</v>
        <stp/>
        <stp>BDP|10003022588820638772</stp>
        <tr r="B31" s="1"/>
      </tp>
      <tp t="s">
        <v>#N/A Requesting Data...3850077912</v>
        <stp/>
        <stp>BDP|17964929807303216232</stp>
        <tr r="O21" s="1"/>
      </tp>
      <tp t="s">
        <v>#N/A Requesting Data...2655991668</v>
        <stp/>
        <stp>BDP|18284022610174916253</stp>
        <tr r="B12" s="6"/>
        <tr r="E7" s="1"/>
        <tr r="H12" s="2"/>
        <tr r="H31" s="2"/>
        <tr r="H99" s="2"/>
      </tp>
      <tp t="s">
        <v>#N/A Requesting Data...855394331</v>
        <stp/>
        <stp>BDP|14951880901674916769</stp>
        <tr r="F143" s="2"/>
      </tp>
      <tp t="s">
        <v>#N/A Requesting Data...4039009437</v>
        <stp/>
        <stp>BDP|10493545697216631517</stp>
        <tr r="B23" s="1"/>
      </tp>
      <tp t="s">
        <v>#N/A Requesting Data...1934459153</v>
        <stp/>
        <stp>BDP|12657236404226170909</stp>
        <tr r="B27" s="1"/>
      </tp>
      <tp t="s">
        <v>#N/A Requesting Data...3750329254</v>
        <stp/>
        <stp>BDP|16098861943671248479</stp>
        <tr r="D41" s="1"/>
      </tp>
      <tp t="s">
        <v>#N/A Requesting Data...3433356642</v>
        <stp/>
        <stp>BDP|16018894928556012549</stp>
        <tr r="F8" s="2"/>
        <tr r="F65" s="2"/>
        <tr r="F76" s="2"/>
      </tp>
      <tp t="s">
        <v>#N/A Requesting Data...3097898688</v>
        <stp/>
        <stp>BDP|16677511115765166860</stp>
        <tr r="F100" s="2"/>
      </tp>
      <tp t="s">
        <v>#N/A Requesting Data...99889814</v>
        <stp/>
        <stp>BDP|16499098585548969947</stp>
        <tr r="B41" s="1"/>
      </tp>
      <tp t="s">
        <v>#N/A Requesting Data...938483059</v>
        <stp/>
        <stp>BDP|17183889954204170180</stp>
        <tr r="F10" s="2"/>
        <tr r="F27" s="2"/>
      </tp>
      <tp t="s">
        <v>#N/A Requesting Data...3056998422</v>
        <stp/>
        <stp>BDP|11218056760048393033</stp>
        <tr r="B48" s="1"/>
      </tp>
      <tp t="s">
        <v>#N/A Requesting Data...2530891300</v>
        <stp/>
        <stp>BDP|12581818881539054426</stp>
        <tr r="D26" s="1"/>
      </tp>
      <tp t="s">
        <v>#N/A Requesting Data...2224835330</v>
        <stp/>
        <stp>BDP|17700816211868667975</stp>
        <tr r="D42" s="6"/>
        <tr r="H31" s="1"/>
      </tp>
      <tp t="s">
        <v>#N/A Requesting Data...4278377716</v>
        <stp/>
        <stp>BDP|11172992979141508121</stp>
        <tr r="D13" s="6"/>
        <tr r="H8" s="1"/>
      </tp>
      <tp t="e">
        <v>#N/A</v>
        <stp/>
        <stp>BDH|14777471927618530538</stp>
        <tr r="AR174" s="10"/>
      </tp>
      <tp t="e">
        <v>#N/A</v>
        <stp/>
        <stp>BDH|14100923904287598531</stp>
        <tr r="L13" s="10"/>
      </tp>
      <tp t="e">
        <v>#N/A</v>
        <stp/>
        <stp>BDH|13550176261943250800</stp>
        <tr r="W166" s="10"/>
      </tp>
      <tp t="e">
        <v>#N/A</v>
        <stp/>
        <stp>BDH|10714080929438301546</stp>
        <tr r="AP136" s="10"/>
      </tp>
      <tp t="e">
        <v>#N/A</v>
        <stp/>
        <stp>BDH|14429058983132601158</stp>
        <tr r="I49" s="10"/>
      </tp>
      <tp t="e">
        <v>#N/A</v>
        <stp/>
        <stp>BDH|17432810311863714228</stp>
        <tr r="Z98" s="10"/>
      </tp>
      <tp t="e">
        <v>#N/A</v>
        <stp/>
        <stp>BDH|10120616647655642806</stp>
        <tr r="J60" s="10"/>
      </tp>
      <tp t="e">
        <v>#N/A</v>
        <stp/>
        <stp>BDH|15060628793632388737</stp>
        <tr r="AH92" s="10"/>
      </tp>
      <tp t="e">
        <v>#N/A</v>
        <stp/>
        <stp>BDH|17478313047286086938</stp>
        <tr r="K135" s="10"/>
      </tp>
      <tp t="e">
        <v>#N/A</v>
        <stp/>
        <stp>BDH|12899218969578108101</stp>
        <tr r="O155" s="10"/>
      </tp>
      <tp t="e">
        <v>#N/A</v>
        <stp/>
        <stp>BDH|10924832348637570465</stp>
        <tr r="V64" s="10"/>
      </tp>
      <tp t="e">
        <v>#N/A</v>
        <stp/>
        <stp>BDH|17610975234452470003</stp>
        <tr r="M144" s="10"/>
      </tp>
      <tp t="e">
        <v>#N/A</v>
        <stp/>
        <stp>BDH|12992566070789646696</stp>
        <tr r="AT75" s="10"/>
      </tp>
      <tp t="e">
        <v>#N/A</v>
        <stp/>
        <stp>BDH|12017118171178101312</stp>
        <tr r="G154" s="10"/>
      </tp>
      <tp t="e">
        <v>#N/A</v>
        <stp/>
        <stp>BDH|17733820845473876789</stp>
        <tr r="Q188" s="10"/>
      </tp>
      <tp t="e">
        <v>#N/A</v>
        <stp/>
        <stp>BDH|16409452090170335428</stp>
        <tr r="K56" s="10"/>
      </tp>
      <tp t="e">
        <v>#N/A</v>
        <stp/>
        <stp>BDH|10442589524610933817</stp>
        <tr r="AE46" s="10"/>
      </tp>
      <tp t="e">
        <v>#N/A</v>
        <stp/>
        <stp>BDH|18270458731866008666</stp>
        <tr r="AI152" s="10"/>
      </tp>
      <tp t="e">
        <v>#N/A</v>
        <stp/>
        <stp>BDH|11447910423423004660</stp>
        <tr r="X63" s="10"/>
      </tp>
      <tp t="e">
        <v>#N/A</v>
        <stp/>
        <stp>BDH|16691575685811107554</stp>
        <tr r="AT68" s="10"/>
      </tp>
      <tp t="e">
        <v>#N/A</v>
        <stp/>
        <stp>BDH|15949550935354946803</stp>
        <tr r="AH31" s="10"/>
      </tp>
      <tp t="e">
        <v>#N/A</v>
        <stp/>
        <stp>BDH|17275608839264283993</stp>
        <tr r="Q51" s="10"/>
      </tp>
      <tp t="e">
        <v>#N/A</v>
        <stp/>
        <stp>BDH|17033712782310721746</stp>
        <tr r="O49" s="10"/>
      </tp>
      <tp t="e">
        <v>#N/A</v>
        <stp/>
        <stp>BDH|18119775629250600293</stp>
        <tr r="G26" s="10"/>
      </tp>
      <tp t="e">
        <v>#N/A</v>
        <stp/>
        <stp>BDH|10321355550469045062</stp>
        <tr r="X77" s="10"/>
      </tp>
      <tp t="e">
        <v>#N/A</v>
        <stp/>
        <stp>BDH|16837748383664619298</stp>
        <tr r="AI176" s="10"/>
      </tp>
      <tp t="e">
        <v>#N/A</v>
        <stp/>
        <stp>BDH|14809480907779131660</stp>
        <tr r="AK81" s="10"/>
      </tp>
      <tp t="e">
        <v>#N/A</v>
        <stp/>
        <stp>BDH|16373825501720196126</stp>
        <tr r="K184" s="10"/>
      </tp>
      <tp t="e">
        <v>#N/A</v>
        <stp/>
        <stp>BDH|10096155851668353346</stp>
        <tr r="T46" s="10"/>
      </tp>
      <tp t="e">
        <v>#N/A</v>
        <stp/>
        <stp>BDH|11531806856220084307</stp>
        <tr r="AO5" s="10"/>
      </tp>
      <tp t="e">
        <v>#N/A</v>
        <stp/>
        <stp>BDH|11357503262964115936</stp>
        <tr r="S3" s="10"/>
      </tp>
      <tp t="e">
        <v>#N/A</v>
        <stp/>
        <stp>BDH|12638439124762312913</stp>
        <tr r="AW124" s="10"/>
      </tp>
      <tp t="e">
        <v>#N/A</v>
        <stp/>
        <stp>BDH|18417004022962576704</stp>
        <tr r="AR175" s="10"/>
      </tp>
      <tp t="e">
        <v>#N/A</v>
        <stp/>
        <stp>BDH|15701173954106791808</stp>
        <tr r="U180" s="10"/>
      </tp>
      <tp t="e">
        <v>#N/A</v>
        <stp/>
        <stp>BDH|17254864026361377327</stp>
        <tr r="AC11" s="10"/>
      </tp>
      <tp t="e">
        <v>#N/A</v>
        <stp/>
        <stp>BDH|12501170300585466952</stp>
        <tr r="AT193" s="10"/>
      </tp>
      <tp t="e">
        <v>#N/A</v>
        <stp/>
        <stp>BDH|10113478514559134308</stp>
        <tr r="X141" s="10"/>
      </tp>
      <tp t="e">
        <v>#N/A</v>
        <stp/>
        <stp>BDH|16972676681651594698</stp>
        <tr r="Q9" s="10"/>
      </tp>
      <tp t="e">
        <v>#N/A</v>
        <stp/>
        <stp>BDH|13977239807879716792</stp>
        <tr r="X179" s="10"/>
      </tp>
      <tp t="e">
        <v>#N/A</v>
        <stp/>
        <stp>BDH|11591753112151270939</stp>
        <tr r="Y32" s="10"/>
      </tp>
      <tp t="e">
        <v>#N/A</v>
        <stp/>
        <stp>BDH|16543873233560352213</stp>
        <tr r="S121" s="10"/>
      </tp>
      <tp t="e">
        <v>#N/A</v>
        <stp/>
        <stp>BDH|15201321015980411832</stp>
        <tr r="H58" s="10"/>
      </tp>
      <tp t="e">
        <v>#N/A</v>
        <stp/>
        <stp>BDH|15106931059355892311</stp>
        <tr r="F119" s="10"/>
      </tp>
      <tp t="e">
        <v>#N/A</v>
        <stp/>
        <stp>BDH|11414110172900173840</stp>
        <tr r="AT77" s="10"/>
      </tp>
      <tp t="e">
        <v>#N/A</v>
        <stp/>
        <stp>BDH|14181873475955041119</stp>
        <tr r="Q63" s="10"/>
      </tp>
      <tp t="e">
        <v>#N/A</v>
        <stp/>
        <stp>BDH|15680539603017578818</stp>
        <tr r="M169" s="10"/>
      </tp>
      <tp t="e">
        <v>#N/A</v>
        <stp/>
        <stp>BDH|16956078281414955540</stp>
        <tr r="AD158" s="10"/>
      </tp>
      <tp t="e">
        <v>#N/A</v>
        <stp/>
        <stp>BDH|16023200884075604600</stp>
        <tr r="AD137" s="10"/>
      </tp>
      <tp t="e">
        <v>#N/A</v>
        <stp/>
        <stp>BDH|15606422890793361451</stp>
        <tr r="W187" s="10"/>
      </tp>
      <tp t="e">
        <v>#N/A</v>
        <stp/>
        <stp>BDH|14901435598081564753</stp>
        <tr r="D26" s="10"/>
      </tp>
      <tp t="e">
        <v>#N/A</v>
        <stp/>
        <stp>BDH|15364452895785773263</stp>
        <tr r="E150" s="10"/>
      </tp>
      <tp t="e">
        <v>#N/A</v>
        <stp/>
        <stp>BDH|15188439559678149384</stp>
        <tr r="Y150" s="10"/>
      </tp>
      <tp t="e">
        <v>#N/A</v>
        <stp/>
        <stp>BDH|12874693451289253705</stp>
        <tr r="AM27" s="10"/>
      </tp>
      <tp t="e">
        <v>#N/A</v>
        <stp/>
        <stp>BDH|18283685143004326189</stp>
        <tr r="AU13" s="10"/>
      </tp>
      <tp t="e">
        <v>#N/A</v>
        <stp/>
        <stp>BDH|16306512750430239921</stp>
        <tr r="AR49" s="10"/>
      </tp>
      <tp t="e">
        <v>#N/A</v>
        <stp/>
        <stp>BDH|12835590748624906821</stp>
        <tr r="V55" s="10"/>
      </tp>
      <tp t="e">
        <v>#N/A</v>
        <stp/>
        <stp>BDH|15923098797505197642</stp>
        <tr r="G171" s="10"/>
      </tp>
      <tp t="e">
        <v>#N/A</v>
        <stp/>
        <stp>BDH|10532740650768379578</stp>
        <tr r="Z86" s="10"/>
      </tp>
      <tp t="e">
        <v>#N/A</v>
        <stp/>
        <stp>BDH|17438404198850149581</stp>
        <tr r="AS71" s="10"/>
      </tp>
      <tp t="e">
        <v>#N/A</v>
        <stp/>
        <stp>BDH|10363732985987835787</stp>
        <tr r="C40" s="10"/>
      </tp>
      <tp t="e">
        <v>#N/A</v>
        <stp/>
        <stp>BDH|16480893260260022782</stp>
        <tr r="AE79" s="10"/>
      </tp>
      <tp t="e">
        <v>#N/A</v>
        <stp/>
        <stp>BDH|16731168680258692828</stp>
        <tr r="R81" s="10"/>
      </tp>
      <tp t="e">
        <v>#N/A</v>
        <stp/>
        <stp>BDH|11574940230221527518</stp>
        <tr r="Y60" s="10"/>
      </tp>
      <tp t="e">
        <v>#N/A</v>
        <stp/>
        <stp>BDH|17842488881466645222</stp>
        <tr r="AQ53" s="10"/>
      </tp>
      <tp t="e">
        <v>#N/A</v>
        <stp/>
        <stp>BDH|11000415389485933743</stp>
        <tr r="I24" s="10"/>
      </tp>
      <tp t="e">
        <v>#N/A</v>
        <stp/>
        <stp>BDH|15932844155237462095</stp>
        <tr r="W82" s="10"/>
      </tp>
      <tp t="e">
        <v>#N/A</v>
        <stp/>
        <stp>BDH|14846922730798654990</stp>
        <tr r="AL18" s="10"/>
      </tp>
      <tp t="e">
        <v>#N/A</v>
        <stp/>
        <stp>BDH|17020903518480514080</stp>
        <tr r="AV135" s="10"/>
      </tp>
      <tp t="e">
        <v>#N/A</v>
        <stp/>
        <stp>BDH|13197150748450878901</stp>
        <tr r="D68" s="10"/>
      </tp>
      <tp t="e">
        <v>#N/A</v>
        <stp/>
        <stp>BDH|15001958465335118051</stp>
        <tr r="AK7" s="10"/>
      </tp>
      <tp t="e">
        <v>#N/A</v>
        <stp/>
        <stp>BDH|16096699787253310498</stp>
        <tr r="AT133" s="10"/>
      </tp>
      <tp t="e">
        <v>#N/A</v>
        <stp/>
        <stp>BDH|14653872149846436187</stp>
        <tr r="AT84" s="10"/>
      </tp>
      <tp t="e">
        <v>#N/A</v>
        <stp/>
        <stp>BDH|10640577616589451279</stp>
        <tr r="AM178" s="10"/>
      </tp>
      <tp t="e">
        <v>#N/A</v>
        <stp/>
        <stp>BDH|13154658993726621552</stp>
        <tr r="I155" s="10"/>
      </tp>
      <tp t="e">
        <v>#N/A</v>
        <stp/>
        <stp>BDH|17094961225230578324</stp>
        <tr r="AD159" s="10"/>
      </tp>
      <tp t="e">
        <v>#N/A</v>
        <stp/>
        <stp>BDH|11812678558939213418</stp>
        <tr r="D162" s="10"/>
      </tp>
      <tp t="e">
        <v>#N/A</v>
        <stp/>
        <stp>BDH|16091296130369817155</stp>
        <tr r="X19" s="10"/>
      </tp>
      <tp t="e">
        <v>#N/A</v>
        <stp/>
        <stp>BDH|13852026148959739116</stp>
        <tr r="AN182" s="10"/>
      </tp>
      <tp t="e">
        <v>#N/A</v>
        <stp/>
        <stp>BDH|17185534630736329856</stp>
        <tr r="AN163" s="10"/>
      </tp>
      <tp t="e">
        <v>#N/A</v>
        <stp/>
        <stp>BDH|18182424757505869381</stp>
        <tr r="Y126" s="10"/>
      </tp>
      <tp t="e">
        <v>#N/A</v>
        <stp/>
        <stp>BDH|13921970895695788982</stp>
        <tr r="AM151" s="10"/>
      </tp>
      <tp t="e">
        <v>#N/A</v>
        <stp/>
        <stp>BDH|14578118860635854982</stp>
        <tr r="Y21" s="10"/>
      </tp>
      <tp t="e">
        <v>#N/A</v>
        <stp/>
        <stp>BDH|16444884539885249732</stp>
        <tr r="K100" s="10"/>
      </tp>
      <tp t="e">
        <v>#N/A</v>
        <stp/>
        <stp>BDH|11663087365908877072</stp>
        <tr r="L169" s="10"/>
      </tp>
      <tp t="e">
        <v>#N/A</v>
        <stp/>
        <stp>BDH|13768474392924126575</stp>
        <tr r="W97" s="10"/>
      </tp>
      <tp t="e">
        <v>#N/A</v>
        <stp/>
        <stp>BDH|16802385315252454951</stp>
        <tr r="AP182" s="10"/>
      </tp>
      <tp t="e">
        <v>#N/A</v>
        <stp/>
        <stp>BDH|17553725502709836696</stp>
        <tr r="S69" s="10"/>
      </tp>
      <tp t="e">
        <v>#N/A</v>
        <stp/>
        <stp>BDH|15487761517958095418</stp>
        <tr r="R60" s="10"/>
      </tp>
      <tp t="e">
        <v>#N/A</v>
        <stp/>
        <stp>BDH|11969596679464878854</stp>
        <tr r="Y138" s="10"/>
      </tp>
      <tp t="e">
        <v>#N/A</v>
        <stp/>
        <stp>BDH|17320206486674478653</stp>
        <tr r="AN170" s="10"/>
      </tp>
      <tp t="e">
        <v>#N/A</v>
        <stp/>
        <stp>BDH|17549123375757226947</stp>
        <tr r="Q99" s="10"/>
      </tp>
      <tp t="e">
        <v>#N/A</v>
        <stp/>
        <stp>BDH|17682678489252846443</stp>
        <tr r="T14" s="10"/>
      </tp>
      <tp t="e">
        <v>#N/A</v>
        <stp/>
        <stp>BDH|13256475400959554149</stp>
        <tr r="H187" s="10"/>
      </tp>
      <tp t="e">
        <v>#N/A</v>
        <stp/>
        <stp>BDH|14152115213888015340</stp>
        <tr r="D72" s="10"/>
      </tp>
      <tp t="e">
        <v>#N/A</v>
        <stp/>
        <stp>BDH|11043871230912672764</stp>
        <tr r="AF131" s="10"/>
      </tp>
      <tp t="e">
        <v>#N/A</v>
        <stp/>
        <stp>BDH|15068818070072654705</stp>
        <tr r="X79" s="10"/>
      </tp>
      <tp t="e">
        <v>#N/A</v>
        <stp/>
        <stp>BDH|12583265973429078173</stp>
        <tr r="Y73" s="10"/>
      </tp>
      <tp t="e">
        <v>#N/A</v>
        <stp/>
        <stp>BDH|17505755611957325953</stp>
        <tr r="E75" s="10"/>
      </tp>
      <tp t="e">
        <v>#N/A</v>
        <stp/>
        <stp>BDH|12169679392271231312</stp>
        <tr r="U157" s="10"/>
      </tp>
      <tp t="e">
        <v>#N/A</v>
        <stp/>
        <stp>BDH|16556302342589461747</stp>
        <tr r="AT95" s="10"/>
      </tp>
      <tp t="e">
        <v>#N/A</v>
        <stp/>
        <stp>BDH|17004139157719495574</stp>
        <tr r="V168" s="10"/>
      </tp>
      <tp t="e">
        <v>#N/A</v>
        <stp/>
        <stp>BDH|16212990828010133253</stp>
        <tr r="Q138" s="10"/>
      </tp>
      <tp t="e">
        <v>#N/A</v>
        <stp/>
        <stp>BDH|14183027285583092015</stp>
        <tr r="AW149" s="10"/>
      </tp>
      <tp t="e">
        <v>#N/A</v>
        <stp/>
        <stp>BDH|14972650193560158493</stp>
        <tr r="I189" s="10"/>
      </tp>
      <tp t="e">
        <v>#N/A</v>
        <stp/>
        <stp>BDH|13322635176308219531</stp>
        <tr r="AD46" s="10"/>
      </tp>
      <tp t="e">
        <v>#N/A</v>
        <stp/>
        <stp>BDH|15519702165153399851</stp>
        <tr r="O48" s="10"/>
      </tp>
      <tp t="e">
        <v>#N/A</v>
        <stp/>
        <stp>BDH|14898993872444069151</stp>
        <tr r="AI127" s="10"/>
      </tp>
      <tp t="e">
        <v>#N/A</v>
        <stp/>
        <stp>BDH|11536715673829204736</stp>
        <tr r="R58" s="10"/>
      </tp>
      <tp t="e">
        <v>#N/A</v>
        <stp/>
        <stp>BDH|17659097629473568958</stp>
        <tr r="R141" s="10"/>
      </tp>
      <tp t="e">
        <v>#N/A</v>
        <stp/>
        <stp>BDH|10075958776629404814</stp>
        <tr r="X33" s="10"/>
      </tp>
      <tp t="e">
        <v>#N/A</v>
        <stp/>
        <stp>BDH|15749934526334363576</stp>
        <tr r="Z191" s="10"/>
      </tp>
      <tp t="e">
        <v>#N/A</v>
        <stp/>
        <stp>BDH|10458598587525200711</stp>
        <tr r="D174" s="10"/>
      </tp>
      <tp t="e">
        <v>#N/A</v>
        <stp/>
        <stp>BDH|14753786882376786230</stp>
        <tr r="C15" s="10"/>
      </tp>
      <tp t="e">
        <v>#N/A</v>
        <stp/>
        <stp>BDH|14889933913687620470</stp>
        <tr r="AK96" s="10"/>
      </tp>
      <tp t="e">
        <v>#N/A</v>
        <stp/>
        <stp>BDH|17601886708174691491</stp>
        <tr r="AP164" s="10"/>
      </tp>
      <tp t="e">
        <v>#N/A</v>
        <stp/>
        <stp>BDH|13832952946720246101</stp>
        <tr r="J98" s="10"/>
      </tp>
      <tp t="e">
        <v>#N/A</v>
        <stp/>
        <stp>BDH|13662432012028946173</stp>
        <tr r="AN14" s="10"/>
      </tp>
      <tp t="e">
        <v>#N/A</v>
        <stp/>
        <stp>BDH|12925144907005300904</stp>
        <tr r="P171" s="10"/>
      </tp>
      <tp t="e">
        <v>#N/A</v>
        <stp/>
        <stp>BDH|10174423534371630986</stp>
        <tr r="X38" s="10"/>
      </tp>
      <tp t="e">
        <v>#N/A</v>
        <stp/>
        <stp>BDH|17969331365245140870</stp>
        <tr r="AG86" s="10"/>
      </tp>
      <tp t="e">
        <v>#N/A</v>
        <stp/>
        <stp>BDH|12333981025354464230</stp>
        <tr r="AN105" s="10"/>
      </tp>
      <tp t="e">
        <v>#N/A</v>
        <stp/>
        <stp>BDH|11166948867749366889</stp>
        <tr r="Y24" s="10"/>
      </tp>
      <tp t="e">
        <v>#N/A</v>
        <stp/>
        <stp>BDH|14120792697776191378</stp>
        <tr r="AB117" s="10"/>
      </tp>
      <tp t="e">
        <v>#N/A</v>
        <stp/>
        <stp>BDH|13845172179073806973</stp>
        <tr r="F27" s="10"/>
      </tp>
      <tp t="e">
        <v>#N/A</v>
        <stp/>
        <stp>BDH|16593281583755328650</stp>
        <tr r="AU42" s="10"/>
      </tp>
      <tp t="e">
        <v>#N/A</v>
        <stp/>
        <stp>BDH|12810598379466597959</stp>
        <tr r="AP160" s="10"/>
      </tp>
      <tp t="e">
        <v>#N/A</v>
        <stp/>
        <stp>BDH|11094271148571045975</stp>
        <tr r="C126" s="10"/>
      </tp>
      <tp t="e">
        <v>#N/A</v>
        <stp/>
        <stp>BDH|13044176144369337081</stp>
        <tr r="AB63" s="10"/>
      </tp>
      <tp t="e">
        <v>#N/A</v>
        <stp/>
        <stp>BDH|16272114498417053631</stp>
        <tr r="AV191" s="10"/>
      </tp>
      <tp t="e">
        <v>#N/A</v>
        <stp/>
        <stp>BDH|17323335088327358433</stp>
        <tr r="S62" s="10"/>
      </tp>
      <tp t="e">
        <v>#N/A</v>
        <stp/>
        <stp>BDH|12699209565700935925</stp>
        <tr r="AW57" s="10"/>
      </tp>
      <tp t="e">
        <v>#N/A</v>
        <stp/>
        <stp>BDH|15719330410469874142</stp>
        <tr r="P135" s="10"/>
      </tp>
      <tp t="e">
        <v>#N/A</v>
        <stp/>
        <stp>BDH|13229145386672060780</stp>
        <tr r="AT10" s="10"/>
      </tp>
      <tp t="e">
        <v>#N/A</v>
        <stp/>
        <stp>BDH|11898457384647773568</stp>
        <tr r="AW58" s="10"/>
      </tp>
      <tp t="e">
        <v>#N/A</v>
        <stp/>
        <stp>BDH|11823518391430798271</stp>
        <tr r="I87" s="10"/>
      </tp>
      <tp t="e">
        <v>#N/A</v>
        <stp/>
        <stp>BDH|11084886486179694702</stp>
        <tr r="G34" s="10"/>
      </tp>
      <tp t="e">
        <v>#N/A</v>
        <stp/>
        <stp>BDH|13268130280380940505</stp>
        <tr r="AH32" s="10"/>
      </tp>
      <tp t="e">
        <v>#N/A</v>
        <stp/>
        <stp>BDH|12853874961076021558</stp>
        <tr r="S74" s="10"/>
      </tp>
      <tp t="e">
        <v>#N/A</v>
        <stp/>
        <stp>BDH|17280437299462718740</stp>
        <tr r="N71" s="10"/>
      </tp>
      <tp t="e">
        <v>#N/A</v>
        <stp/>
        <stp>BDH|15880897126660805040</stp>
        <tr r="AG117" s="10"/>
      </tp>
      <tp t="e">
        <v>#N/A</v>
        <stp/>
        <stp>BDH|11797042988544420244</stp>
        <tr r="AA163" s="10"/>
      </tp>
      <tp t="e">
        <v>#N/A</v>
        <stp/>
        <stp>BDH|10907837202710584760</stp>
        <tr r="X73" s="10"/>
      </tp>
      <tp t="e">
        <v>#N/A</v>
        <stp/>
        <stp>BDH|12610823577357982511</stp>
        <tr r="L153" s="10"/>
      </tp>
      <tp t="e">
        <v>#N/A</v>
        <stp/>
        <stp>BDH|10424360257808600185</stp>
        <tr r="L182" s="10"/>
      </tp>
      <tp t="e">
        <v>#N/A</v>
        <stp/>
        <stp>BDH|13839807886618598405</stp>
        <tr r="P66" s="10"/>
      </tp>
      <tp t="e">
        <v>#N/A</v>
        <stp/>
        <stp>BDH|10823079848048513397</stp>
        <tr r="AK64" s="10"/>
      </tp>
      <tp t="e">
        <v>#N/A</v>
        <stp/>
        <stp>BDH|14020444014559389786</stp>
        <tr r="V62" s="10"/>
      </tp>
      <tp t="e">
        <v>#N/A</v>
        <stp/>
        <stp>BDH|16935988346837807341</stp>
        <tr r="R167" s="10"/>
      </tp>
      <tp t="e">
        <v>#N/A</v>
        <stp/>
        <stp>BDH|15466069049827419947</stp>
        <tr r="AC19" s="10"/>
      </tp>
      <tp t="e">
        <v>#N/A</v>
        <stp/>
        <stp>BDH|16956061920952547918</stp>
        <tr r="AV78" s="10"/>
      </tp>
      <tp t="e">
        <v>#N/A</v>
        <stp/>
        <stp>BDH|10931417764504714900</stp>
        <tr r="AS48" s="10"/>
      </tp>
      <tp t="e">
        <v>#N/A</v>
        <stp/>
        <stp>BDH|18313955551102826941</stp>
        <tr r="H76" s="10"/>
      </tp>
      <tp t="e">
        <v>#N/A</v>
        <stp/>
        <stp>BDH|11847839356392795112</stp>
        <tr r="G190" s="10"/>
      </tp>
      <tp t="e">
        <v>#N/A</v>
        <stp/>
        <stp>BDH|16073813879755420375</stp>
        <tr r="D36" s="10"/>
      </tp>
      <tp t="e">
        <v>#N/A</v>
        <stp/>
        <stp>BDH|12053729169368638476</stp>
        <tr r="Y36" s="10"/>
      </tp>
      <tp t="e">
        <v>#N/A</v>
        <stp/>
        <stp>BDH|11673808353306783589</stp>
        <tr r="J114" s="10"/>
      </tp>
      <tp t="e">
        <v>#N/A</v>
        <stp/>
        <stp>BDH|17806843618481815067</stp>
        <tr r="AG123" s="10"/>
      </tp>
      <tp t="e">
        <v>#N/A</v>
        <stp/>
        <stp>BDH|16963845715568629844</stp>
        <tr r="AQ168" s="10"/>
      </tp>
      <tp t="e">
        <v>#N/A</v>
        <stp/>
        <stp>BDH|12650432737219826301</stp>
        <tr r="AK131" s="10"/>
      </tp>
      <tp t="e">
        <v>#N/A</v>
        <stp/>
        <stp>BDH|12097132835929808639</stp>
        <tr r="AI113" s="10"/>
      </tp>
      <tp t="e">
        <v>#N/A</v>
        <stp/>
        <stp>BDH|18090308837195993236</stp>
        <tr r="AS57" s="10"/>
      </tp>
      <tp t="e">
        <v>#N/A</v>
        <stp/>
        <stp>BDH|11739704299011615158</stp>
        <tr r="AA77" s="10"/>
      </tp>
      <tp t="e">
        <v>#N/A</v>
        <stp/>
        <stp>BDH|10425600388170716160</stp>
        <tr r="AL70" s="10"/>
      </tp>
      <tp t="e">
        <v>#N/A</v>
        <stp/>
        <stp>BDH|15001239527662840819</stp>
        <tr r="I25" s="10"/>
      </tp>
      <tp t="e">
        <v>#N/A</v>
        <stp/>
        <stp>BDH|16420509784600949448</stp>
        <tr r="F154" s="10"/>
      </tp>
      <tp t="e">
        <v>#N/A</v>
        <stp/>
        <stp>BDH|16147856839536049403</stp>
        <tr r="AM136" s="10"/>
      </tp>
      <tp t="e">
        <v>#N/A</v>
        <stp/>
        <stp>BDH|18343030469791066043</stp>
        <tr r="AC18" s="10"/>
      </tp>
      <tp t="e">
        <v>#N/A</v>
        <stp/>
        <stp>BDH|14427996801470939285</stp>
        <tr r="W11" s="10"/>
      </tp>
      <tp t="e">
        <v>#N/A</v>
        <stp/>
        <stp>BDH|10494120188610366613</stp>
        <tr r="AV6" s="10"/>
      </tp>
      <tp t="e">
        <v>#N/A</v>
        <stp/>
        <stp>BDH|12654680703423213838</stp>
        <tr r="Z111" s="10"/>
      </tp>
      <tp t="e">
        <v>#N/A</v>
        <stp/>
        <stp>BDH|17437490180957732366</stp>
        <tr r="AB10" s="10"/>
      </tp>
      <tp t="e">
        <v>#N/A</v>
        <stp/>
        <stp>BDH|10214259924489644696</stp>
        <tr r="E65" s="10"/>
      </tp>
      <tp t="e">
        <v>#N/A</v>
        <stp/>
        <stp>BDH|17852748388721159692</stp>
        <tr r="AO143" s="10"/>
      </tp>
      <tp t="e">
        <v>#N/A</v>
        <stp/>
        <stp>BDH|17630559880084736184</stp>
        <tr r="AH171" s="10"/>
      </tp>
      <tp t="e">
        <v>#N/A</v>
        <stp/>
        <stp>BDH|11638164749002307965</stp>
        <tr r="M6" s="10"/>
      </tp>
      <tp t="e">
        <v>#N/A</v>
        <stp/>
        <stp>BDH|14857235634913695952</stp>
        <tr r="AC100" s="10"/>
      </tp>
      <tp t="e">
        <v>#N/A</v>
        <stp/>
        <stp>BDH|15805372896956626639</stp>
        <tr r="AG53" s="10"/>
      </tp>
      <tp t="e">
        <v>#N/A</v>
        <stp/>
        <stp>BDH|18227861023755268892</stp>
        <tr r="AO178" s="10"/>
      </tp>
      <tp t="e">
        <v>#N/A</v>
        <stp/>
        <stp>BDH|12261503781814923468</stp>
        <tr r="S15" s="10"/>
      </tp>
      <tp t="e">
        <v>#N/A</v>
        <stp/>
        <stp>BDH|14586228482045827415</stp>
        <tr r="Z43" s="10"/>
      </tp>
      <tp t="e">
        <v>#N/A</v>
        <stp/>
        <stp>BDH|18337257232604916214</stp>
        <tr r="AE89" s="10"/>
      </tp>
      <tp t="e">
        <v>#N/A</v>
        <stp/>
        <stp>BDH|18416875742259459297</stp>
        <tr r="O78" s="10"/>
      </tp>
      <tp t="e">
        <v>#N/A</v>
        <stp/>
        <stp>BDH|15436790580541563444</stp>
        <tr r="AS179" s="10"/>
      </tp>
      <tp t="e">
        <v>#N/A</v>
        <stp/>
        <stp>BDH|14460216148144403955</stp>
        <tr r="AR52" s="10"/>
      </tp>
      <tp t="e">
        <v>#N/A</v>
        <stp/>
        <stp>BDH|15386851849453529555</stp>
        <tr r="U135" s="10"/>
      </tp>
      <tp t="e">
        <v>#N/A</v>
        <stp/>
        <stp>BDH|17214497691064788126</stp>
        <tr r="AT151" s="10"/>
      </tp>
      <tp t="e">
        <v>#N/A</v>
        <stp/>
        <stp>BDH|10944025931164564808</stp>
        <tr r="H6" s="10"/>
      </tp>
      <tp t="e">
        <v>#N/A</v>
        <stp/>
        <stp>BDH|12799518138069474258</stp>
        <tr r="AC31" s="10"/>
      </tp>
      <tp t="e">
        <v>#N/A</v>
        <stp/>
        <stp>BDH|15308636589572756615</stp>
        <tr r="AI99" s="10"/>
      </tp>
      <tp t="e">
        <v>#N/A</v>
        <stp/>
        <stp>BDH|11462137566159819063</stp>
        <tr r="C57" s="10"/>
      </tp>
      <tp t="e">
        <v>#N/A</v>
        <stp/>
        <stp>BDH|11164499601303568938</stp>
        <tr r="H159" s="10"/>
      </tp>
      <tp t="e">
        <v>#N/A</v>
        <stp/>
        <stp>BDH|14981729196346675347</stp>
        <tr r="O179" s="10"/>
      </tp>
      <tp t="e">
        <v>#N/A</v>
        <stp/>
        <stp>BDH|16107466958731918997</stp>
        <tr r="AI93" s="10"/>
      </tp>
      <tp t="e">
        <v>#N/A</v>
        <stp/>
        <stp>BDH|11217724109338604103</stp>
        <tr r="AE127" s="10"/>
      </tp>
      <tp t="e">
        <v>#N/A</v>
        <stp/>
        <stp>BDH|12190699460848152577</stp>
        <tr r="AD90" s="10"/>
      </tp>
      <tp t="e">
        <v>#N/A</v>
        <stp/>
        <stp>BDH|17580614757269520283</stp>
        <tr r="F94" s="10"/>
      </tp>
      <tp t="e">
        <v>#N/A</v>
        <stp/>
        <stp>BDH|12069358389476748052</stp>
        <tr r="S135" s="10"/>
      </tp>
      <tp t="e">
        <v>#N/A</v>
        <stp/>
        <stp>BDH|17647187092599452960</stp>
        <tr r="R95" s="10"/>
      </tp>
      <tp t="e">
        <v>#N/A</v>
        <stp/>
        <stp>BDH|16519347568445058970</stp>
        <tr r="AJ74" s="10"/>
      </tp>
      <tp t="e">
        <v>#N/A</v>
        <stp/>
        <stp>BDH|14870800833766726624</stp>
        <tr r="X156" s="10"/>
      </tp>
      <tp t="e">
        <v>#N/A</v>
        <stp/>
        <stp>BDH|16127381445916459869</stp>
        <tr r="Y75" s="10"/>
      </tp>
      <tp t="e">
        <v>#N/A</v>
        <stp/>
        <stp>BDH|11566297516624321973</stp>
        <tr r="AH87" s="10"/>
      </tp>
      <tp t="e">
        <v>#N/A</v>
        <stp/>
        <stp>BDH|10550821979412126217</stp>
        <tr r="AV36" s="10"/>
      </tp>
      <tp t="e">
        <v>#N/A</v>
        <stp/>
        <stp>BDH|14191811172544898040</stp>
        <tr r="AL81" s="10"/>
      </tp>
      <tp t="e">
        <v>#N/A</v>
        <stp/>
        <stp>BDH|12053590222379708322</stp>
        <tr r="L125" s="10"/>
      </tp>
      <tp t="e">
        <v>#N/A</v>
        <stp/>
        <stp>BDH|11484625586691981177</stp>
        <tr r="AM162" s="10"/>
      </tp>
      <tp t="s">
        <v>#N/A Requesting Data...2594270819</v>
        <stp/>
        <stp>BDP|15493465426026475992</stp>
        <tr r="I15" s="1"/>
      </tp>
      <tp t="s">
        <v>#N/A Requesting Data...211591133</v>
        <stp/>
        <stp>BDP|18353190656764338478</stp>
        <tr r="O47" s="1"/>
      </tp>
      <tp t="s">
        <v>#N/A Requesting Data...1207386394</v>
        <stp/>
        <stp>BDP|11035725764095756993</stp>
        <tr r="B30" s="1"/>
      </tp>
      <tp t="s">
        <v>#N/A Requesting Data...3596971109</v>
        <stp/>
        <stp>BDP|18190347357423944168</stp>
        <tr r="B52" s="6"/>
        <tr r="E42" s="1"/>
        <tr r="H134" s="2"/>
      </tp>
      <tp t="s">
        <v>#N/A Requesting Data...1267122021</v>
        <stp/>
        <stp>BDP|15669862520817652496</stp>
        <tr r="D44" s="1"/>
      </tp>
      <tp t="s">
        <v>#N/A Requesting Data...3671009327</v>
        <stp/>
        <stp>BDP|15611594410779816478</stp>
        <tr r="B55" s="6"/>
        <tr r="E46" s="1"/>
        <tr r="H139" s="2"/>
      </tp>
      <tp t="s">
        <v>#N/A Requesting Data...1112917036</v>
        <stp/>
        <stp>BDP|17648265383950330130</stp>
        <tr r="I45" s="1"/>
      </tp>
      <tp t="s">
        <v>#N/A Requesting Data...1150279125</v>
        <stp/>
        <stp>BDP|10037091099343184626</stp>
        <tr r="O12" s="1"/>
      </tp>
      <tp t="s">
        <v>#N/A Requesting Data...3097329228</v>
        <stp/>
        <stp>BDP|11550528632149510233</stp>
        <tr r="D55" s="6"/>
        <tr r="H46" s="1"/>
      </tp>
      <tp t="s">
        <v>#N/A Requesting Data...4065769060</v>
        <stp/>
        <stp>BDP|17951314610299935059</stp>
        <tr r="O25" s="1"/>
      </tp>
      <tp t="s">
        <v>#N/A Requesting Data...2521465597</v>
        <stp/>
        <stp>BDP|10690892720281058791</stp>
        <tr r="B8" s="1"/>
      </tp>
      <tp t="e">
        <v>#N/A</v>
        <stp/>
        <stp>BDH|16473583999846316077</stp>
        <tr r="U115" s="10"/>
      </tp>
      <tp t="e">
        <v>#N/A</v>
        <stp/>
        <stp>BDH|12591860550652767155</stp>
        <tr r="M148" s="10"/>
      </tp>
      <tp t="e">
        <v>#N/A</v>
        <stp/>
        <stp>BDH|10532598969868228762</stp>
        <tr r="K137" s="10"/>
      </tp>
      <tp t="e">
        <v>#N/A</v>
        <stp/>
        <stp>BDH|10350877838515805257</stp>
        <tr r="AU59" s="10"/>
      </tp>
      <tp t="e">
        <v>#N/A</v>
        <stp/>
        <stp>BDH|16269017597251026251</stp>
        <tr r="AH27" s="10"/>
      </tp>
      <tp t="e">
        <v>#N/A</v>
        <stp/>
        <stp>BDH|16697301325962776956</stp>
        <tr r="AL4" s="10"/>
      </tp>
      <tp t="e">
        <v>#N/A</v>
        <stp/>
        <stp>BDH|16942990420130501145</stp>
        <tr r="AF122" s="10"/>
      </tp>
      <tp t="e">
        <v>#N/A</v>
        <stp/>
        <stp>BDH|10273741325249323016</stp>
        <tr r="AG31" s="10"/>
      </tp>
      <tp t="e">
        <v>#N/A</v>
        <stp/>
        <stp>BDH|14151003797260118163</stp>
        <tr r="Q186" s="10"/>
      </tp>
      <tp t="e">
        <v>#N/A</v>
        <stp/>
        <stp>BDH|17077939625789387944</stp>
        <tr r="Y46" s="10"/>
      </tp>
      <tp t="e">
        <v>#N/A</v>
        <stp/>
        <stp>BDH|13876567814419264289</stp>
        <tr r="O162" s="10"/>
      </tp>
      <tp t="e">
        <v>#N/A</v>
        <stp/>
        <stp>BDH|13274278020879095655</stp>
        <tr r="AO109" s="10"/>
      </tp>
      <tp t="e">
        <v>#N/A</v>
        <stp/>
        <stp>BDH|12926792554374083844</stp>
        <tr r="AQ95" s="10"/>
      </tp>
      <tp t="e">
        <v>#N/A</v>
        <stp/>
        <stp>BDH|17948308371078846705</stp>
        <tr r="N97" s="10"/>
      </tp>
      <tp t="e">
        <v>#N/A</v>
        <stp/>
        <stp>BDH|11072564526512277822</stp>
        <tr r="AD189" s="10"/>
      </tp>
      <tp t="e">
        <v>#N/A</v>
        <stp/>
        <stp>BDH|10236680963414071897</stp>
        <tr r="D180" s="10"/>
      </tp>
      <tp t="e">
        <v>#N/A</v>
        <stp/>
        <stp>BDH|12966604324028949240</stp>
        <tr r="W26" s="10"/>
      </tp>
      <tp t="e">
        <v>#N/A</v>
        <stp/>
        <stp>BDH|16994948418364206677</stp>
        <tr r="AB87" s="10"/>
      </tp>
      <tp t="e">
        <v>#N/A</v>
        <stp/>
        <stp>BDH|14398573538387580995</stp>
        <tr r="W164" s="10"/>
      </tp>
      <tp t="e">
        <v>#N/A</v>
        <stp/>
        <stp>BDH|17202465425145252835</stp>
        <tr r="AC130" s="10"/>
      </tp>
      <tp t="e">
        <v>#N/A</v>
        <stp/>
        <stp>BDH|15939941006476094684</stp>
        <tr r="Z158" s="10"/>
      </tp>
      <tp t="e">
        <v>#N/A</v>
        <stp/>
        <stp>BDH|11736235881250553738</stp>
        <tr r="AE138" s="10"/>
      </tp>
      <tp t="e">
        <v>#N/A</v>
        <stp/>
        <stp>BDH|12379229147871270979</stp>
        <tr r="AG143" s="10"/>
      </tp>
      <tp t="e">
        <v>#N/A</v>
        <stp/>
        <stp>BDH|18099945244228717147</stp>
        <tr r="X126" s="10"/>
      </tp>
      <tp t="e">
        <v>#N/A</v>
        <stp/>
        <stp>BDH|15788293479219239567</stp>
        <tr r="AV93" s="10"/>
      </tp>
      <tp t="e">
        <v>#N/A</v>
        <stp/>
        <stp>BDH|15983387187930078256</stp>
        <tr r="AF155" s="10"/>
      </tp>
      <tp t="e">
        <v>#N/A</v>
        <stp/>
        <stp>BDH|18370690948206772065</stp>
        <tr r="AG100" s="10"/>
      </tp>
      <tp t="e">
        <v>#N/A</v>
        <stp/>
        <stp>BDH|11722422345275121827</stp>
        <tr r="H109" s="10"/>
      </tp>
      <tp t="e">
        <v>#N/A</v>
        <stp/>
        <stp>BDH|16107018669135383994</stp>
        <tr r="J95" s="10"/>
      </tp>
      <tp t="e">
        <v>#N/A</v>
        <stp/>
        <stp>BDH|10406965931081724772</stp>
        <tr r="T118" s="10"/>
      </tp>
      <tp t="e">
        <v>#N/A</v>
        <stp/>
        <stp>BDH|15860207891457216580</stp>
        <tr r="G193" s="10"/>
      </tp>
      <tp t="e">
        <v>#N/A</v>
        <stp/>
        <stp>BDH|17291861164080379514</stp>
        <tr r="AF82" s="10"/>
      </tp>
      <tp t="e">
        <v>#N/A</v>
        <stp/>
        <stp>BDH|12873098611377150830</stp>
        <tr r="AU90" s="10"/>
      </tp>
      <tp t="e">
        <v>#N/A</v>
        <stp/>
        <stp>BDH|13259718584261403110</stp>
        <tr r="AA21" s="10"/>
      </tp>
      <tp t="e">
        <v>#N/A</v>
        <stp/>
        <stp>BDH|10992958373007979549</stp>
        <tr r="AJ149" s="10"/>
      </tp>
      <tp t="e">
        <v>#N/A</v>
        <stp/>
        <stp>BDH|12999807642235969705</stp>
        <tr r="E28" s="10"/>
      </tp>
      <tp t="e">
        <v>#N/A</v>
        <stp/>
        <stp>BDH|11306210692993227505</stp>
        <tr r="AB121" s="10"/>
      </tp>
      <tp t="e">
        <v>#N/A</v>
        <stp/>
        <stp>BDH|13666672459294988830</stp>
        <tr r="G73" s="10"/>
      </tp>
      <tp t="e">
        <v>#N/A</v>
        <stp/>
        <stp>BDH|16844510904779867678</stp>
        <tr r="AG57" s="10"/>
      </tp>
      <tp t="e">
        <v>#N/A</v>
        <stp/>
        <stp>BDH|12360518481712330127</stp>
        <tr r="AI172" s="10"/>
      </tp>
      <tp t="e">
        <v>#N/A</v>
        <stp/>
        <stp>BDH|15150335121449470151</stp>
        <tr r="I57" s="10"/>
      </tp>
      <tp t="e">
        <v>#N/A</v>
        <stp/>
        <stp>BDH|17362590533998285596</stp>
        <tr r="E40" s="10"/>
      </tp>
      <tp t="e">
        <v>#N/A</v>
        <stp/>
        <stp>BDH|11812741390125967676</stp>
        <tr r="Y184" s="10"/>
      </tp>
      <tp t="e">
        <v>#N/A</v>
        <stp/>
        <stp>BDH|13307957382259147770</stp>
        <tr r="AV136" s="10"/>
      </tp>
      <tp t="e">
        <v>#N/A</v>
        <stp/>
        <stp>BDH|17152439645988571302</stp>
        <tr r="K178" s="10"/>
      </tp>
      <tp t="e">
        <v>#N/A</v>
        <stp/>
        <stp>BDH|17827364289856180641</stp>
        <tr r="X87" s="10"/>
      </tp>
      <tp t="e">
        <v>#N/A</v>
        <stp/>
        <stp>BDH|17142040310639659311</stp>
        <tr r="AK157" s="10"/>
      </tp>
      <tp t="e">
        <v>#N/A</v>
        <stp/>
        <stp>BDH|11463868810462458649</stp>
        <tr r="AK168" s="10"/>
      </tp>
      <tp t="e">
        <v>#N/A</v>
        <stp/>
        <stp>BDH|10352131934408838699</stp>
        <tr r="AL112" s="10"/>
      </tp>
      <tp t="e">
        <v>#N/A</v>
        <stp/>
        <stp>BDH|14596275213192105955</stp>
        <tr r="E26" s="10"/>
      </tp>
      <tp t="e">
        <v>#N/A</v>
        <stp/>
        <stp>BDH|16321508390542141473</stp>
        <tr r="N37" s="10"/>
      </tp>
      <tp t="e">
        <v>#N/A</v>
        <stp/>
        <stp>BDH|16381776504758322563</stp>
        <tr r="X158" s="10"/>
      </tp>
      <tp t="e">
        <v>#N/A</v>
        <stp/>
        <stp>BDH|17338979181532149813</stp>
        <tr r="X29" s="10"/>
      </tp>
      <tp t="e">
        <v>#N/A</v>
        <stp/>
        <stp>BDH|11022326097172681562</stp>
        <tr r="N123" s="10"/>
      </tp>
      <tp t="e">
        <v>#N/A</v>
        <stp/>
        <stp>BDH|10895546854789963542</stp>
        <tr r="AK138" s="10"/>
      </tp>
      <tp t="e">
        <v>#N/A</v>
        <stp/>
        <stp>BDH|14512955356501536561</stp>
        <tr r="AQ68" s="10"/>
      </tp>
      <tp t="e">
        <v>#N/A</v>
        <stp/>
        <stp>BDH|18322320863430368143</stp>
        <tr r="AA62" s="10"/>
      </tp>
      <tp t="e">
        <v>#N/A</v>
        <stp/>
        <stp>BDH|12215545834619126161</stp>
        <tr r="Q182" s="10"/>
      </tp>
      <tp t="e">
        <v>#N/A</v>
        <stp/>
        <stp>BDH|18065521175431358716</stp>
        <tr r="AS53" s="10"/>
      </tp>
      <tp t="e">
        <v>#N/A</v>
        <stp/>
        <stp>BDH|18135583733896687497</stp>
        <tr r="N68" s="10"/>
      </tp>
      <tp t="e">
        <v>#N/A</v>
        <stp/>
        <stp>BDH|10912925754189309992</stp>
        <tr r="D103" s="10"/>
      </tp>
      <tp t="e">
        <v>#N/A</v>
        <stp/>
        <stp>BDH|17511326887258239870</stp>
        <tr r="AW166" s="10"/>
      </tp>
      <tp t="e">
        <v>#N/A</v>
        <stp/>
        <stp>BDH|14822830942840499485</stp>
        <tr r="F137" s="10"/>
      </tp>
      <tp t="e">
        <v>#N/A</v>
        <stp/>
        <stp>BDH|11426343685543053505</stp>
        <tr r="AR51" s="10"/>
      </tp>
      <tp t="e">
        <v>#N/A</v>
        <stp/>
        <stp>BDH|17789648345648638151</stp>
        <tr r="Q113" s="10"/>
      </tp>
      <tp t="e">
        <v>#N/A</v>
        <stp/>
        <stp>BDH|11198877124806741119</stp>
        <tr r="S27" s="10"/>
      </tp>
      <tp t="e">
        <v>#N/A</v>
        <stp/>
        <stp>BDH|11206609090795711715</stp>
        <tr r="AP63" s="10"/>
      </tp>
      <tp t="e">
        <v>#N/A</v>
        <stp/>
        <stp>BDH|13087620043534724920</stp>
        <tr r="P26" s="10"/>
      </tp>
      <tp t="e">
        <v>#N/A</v>
        <stp/>
        <stp>BDH|14165317373835727904</stp>
        <tr r="J91" s="10"/>
      </tp>
      <tp t="e">
        <v>#N/A</v>
        <stp/>
        <stp>BDH|17793387192787929605</stp>
        <tr r="AJ147" s="10"/>
      </tp>
      <tp t="e">
        <v>#N/A</v>
        <stp/>
        <stp>BDH|15777614807676308968</stp>
        <tr r="AL83" s="10"/>
      </tp>
      <tp t="e">
        <v>#N/A</v>
        <stp/>
        <stp>BDH|15874148699802501344</stp>
        <tr r="AG104" s="10"/>
      </tp>
      <tp t="e">
        <v>#N/A</v>
        <stp/>
        <stp>BDH|11078693588165267672</stp>
        <tr r="AD16" s="10"/>
      </tp>
      <tp t="e">
        <v>#N/A</v>
        <stp/>
        <stp>BDH|12329865177447757610</stp>
        <tr r="AK6" s="10"/>
      </tp>
      <tp t="e">
        <v>#N/A</v>
        <stp/>
        <stp>BDH|16571250333533339845</stp>
        <tr r="R120" s="10"/>
      </tp>
      <tp t="e">
        <v>#N/A</v>
        <stp/>
        <stp>BDH|17702339981159177934</stp>
        <tr r="AP118" s="10"/>
      </tp>
      <tp t="e">
        <v>#N/A</v>
        <stp/>
        <stp>BDH|13912559182862991002</stp>
        <tr r="AP97" s="10"/>
      </tp>
      <tp t="e">
        <v>#N/A</v>
        <stp/>
        <stp>BDH|13386954063069527975</stp>
        <tr r="AI124" s="10"/>
      </tp>
      <tp t="e">
        <v>#N/A</v>
        <stp/>
        <stp>BDH|16286347297409648905</stp>
        <tr r="V174" s="10"/>
      </tp>
      <tp t="e">
        <v>#N/A</v>
        <stp/>
        <stp>BDH|17024911923532183246</stp>
        <tr r="O149" s="10"/>
      </tp>
      <tp t="e">
        <v>#N/A</v>
        <stp/>
        <stp>BDH|16896187900409057270</stp>
        <tr r="AP15" s="10"/>
      </tp>
      <tp t="e">
        <v>#N/A</v>
        <stp/>
        <stp>BDH|16565355973917258961</stp>
        <tr r="R47" s="10"/>
      </tp>
      <tp t="e">
        <v>#N/A</v>
        <stp/>
        <stp>BDH|11759521989207279792</stp>
        <tr r="C164" s="10"/>
      </tp>
      <tp t="e">
        <v>#N/A</v>
        <stp/>
        <stp>BDH|16804191193137647537</stp>
        <tr r="F26" s="10"/>
      </tp>
      <tp t="e">
        <v>#N/A</v>
        <stp/>
        <stp>BDH|12123068544269680323</stp>
        <tr r="AB43" s="10"/>
      </tp>
      <tp t="e">
        <v>#N/A</v>
        <stp/>
        <stp>BDH|17662320458748302583</stp>
        <tr r="J118" s="10"/>
      </tp>
      <tp t="e">
        <v>#N/A</v>
        <stp/>
        <stp>BDH|17212608785415926098</stp>
        <tr r="W31" s="10"/>
      </tp>
      <tp t="e">
        <v>#N/A</v>
        <stp/>
        <stp>BDH|13159319775848102330</stp>
        <tr r="AH109" s="10"/>
      </tp>
      <tp t="e">
        <v>#N/A</v>
        <stp/>
        <stp>BDH|11762479156338256420</stp>
        <tr r="AN89" s="10"/>
      </tp>
      <tp t="e">
        <v>#N/A</v>
        <stp/>
        <stp>BDH|15027378190280154305</stp>
        <tr r="AO191" s="10"/>
      </tp>
      <tp t="e">
        <v>#N/A</v>
        <stp/>
        <stp>BDH|17849976729089254929</stp>
        <tr r="V104" s="10"/>
      </tp>
      <tp t="e">
        <v>#N/A</v>
        <stp/>
        <stp>BDH|17159822767035196033</stp>
        <tr r="AW113" s="10"/>
      </tp>
      <tp t="e">
        <v>#N/A</v>
        <stp/>
        <stp>BDH|11570437797895763502</stp>
        <tr r="AU134" s="10"/>
      </tp>
      <tp t="e">
        <v>#N/A</v>
        <stp/>
        <stp>BDH|10540351076221806984</stp>
        <tr r="L61" s="10"/>
      </tp>
      <tp t="e">
        <v>#N/A</v>
        <stp/>
        <stp>BDH|12257132794414402270</stp>
        <tr r="D49" s="10"/>
      </tp>
      <tp t="e">
        <v>#N/A</v>
        <stp/>
        <stp>BDH|12508100093386944095</stp>
        <tr r="AK38" s="10"/>
      </tp>
      <tp t="e">
        <v>#N/A</v>
        <stp/>
        <stp>BDH|14746597101564855912</stp>
        <tr r="J122" s="10"/>
      </tp>
      <tp t="e">
        <v>#N/A</v>
        <stp/>
        <stp>BDH|15591968144442336627</stp>
        <tr r="O21" s="10"/>
      </tp>
      <tp t="e">
        <v>#N/A</v>
        <stp/>
        <stp>BDH|15944855404476674782</stp>
        <tr r="AT73" s="10"/>
      </tp>
      <tp t="e">
        <v>#N/A</v>
        <stp/>
        <stp>BDH|12444946887549540644</stp>
        <tr r="AG58" s="10"/>
      </tp>
      <tp t="e">
        <v>#N/A</v>
        <stp/>
        <stp>BDH|11633422355388522426</stp>
        <tr r="AL60" s="10"/>
      </tp>
      <tp t="e">
        <v>#N/A</v>
        <stp/>
        <stp>BDH|15067387828439509133</stp>
        <tr r="AI119" s="10"/>
      </tp>
      <tp t="e">
        <v>#N/A</v>
        <stp/>
        <stp>BDH|10475506516571450904</stp>
        <tr r="R185" s="10"/>
      </tp>
      <tp t="e">
        <v>#N/A</v>
        <stp/>
        <stp>BDH|14692404186001392551</stp>
        <tr r="AC164" s="10"/>
      </tp>
      <tp t="e">
        <v>#N/A</v>
        <stp/>
        <stp>BDH|14225562855100231856</stp>
        <tr r="AG135" s="10"/>
      </tp>
      <tp t="e">
        <v>#N/A</v>
        <stp/>
        <stp>BDH|12025510939479931171</stp>
        <tr r="AL102" s="10"/>
      </tp>
      <tp t="e">
        <v>#N/A</v>
        <stp/>
        <stp>BDH|15183654074611168978</stp>
        <tr r="AQ59" s="10"/>
      </tp>
      <tp t="e">
        <v>#N/A</v>
        <stp/>
        <stp>BDH|10921752312998514222</stp>
        <tr r="M101" s="10"/>
      </tp>
      <tp t="e">
        <v>#N/A</v>
        <stp/>
        <stp>BDH|12533999335814895083</stp>
        <tr r="AA133" s="10"/>
      </tp>
      <tp t="e">
        <v>#N/A</v>
        <stp/>
        <stp>BDH|15049546922568939667</stp>
        <tr r="AS101" s="10"/>
      </tp>
      <tp t="e">
        <v>#N/A</v>
        <stp/>
        <stp>BDH|10451905748357741625</stp>
        <tr r="AN110" s="10"/>
      </tp>
      <tp t="e">
        <v>#N/A</v>
        <stp/>
        <stp>BDH|13486190555763460858</stp>
        <tr r="Z125" s="10"/>
      </tp>
      <tp t="e">
        <v>#N/A</v>
        <stp/>
        <stp>BDH|10317706509482742947</stp>
        <tr r="Y23" s="10"/>
      </tp>
      <tp t="e">
        <v>#N/A</v>
        <stp/>
        <stp>BDH|14521618488495474319</stp>
        <tr r="AF98" s="10"/>
      </tp>
      <tp t="e">
        <v>#N/A</v>
        <stp/>
        <stp>BDH|11387752108158723209</stp>
        <tr r="AW26" s="10"/>
      </tp>
      <tp t="e">
        <v>#N/A</v>
        <stp/>
        <stp>BDH|13001097070730845883</stp>
        <tr r="AQ77" s="10"/>
      </tp>
      <tp t="e">
        <v>#N/A</v>
        <stp/>
        <stp>BDH|13500042249838052318</stp>
        <tr r="Z5" s="10"/>
      </tp>
      <tp t="e">
        <v>#N/A</v>
        <stp/>
        <stp>BDH|11093055782312712798</stp>
        <tr r="O76" s="10"/>
      </tp>
      <tp t="e">
        <v>#N/A</v>
        <stp/>
        <stp>BDH|14967830268157321183</stp>
        <tr r="I95" s="10"/>
      </tp>
      <tp t="e">
        <v>#N/A</v>
        <stp/>
        <stp>BDH|15861507466228627217</stp>
        <tr r="AL158" s="10"/>
      </tp>
      <tp t="e">
        <v>#N/A</v>
        <stp/>
        <stp>BDH|14825037995695313447</stp>
        <tr r="H163" s="10"/>
      </tp>
      <tp t="e">
        <v>#N/A</v>
        <stp/>
        <stp>BDH|13302613497136942652</stp>
        <tr r="K62" s="10"/>
      </tp>
      <tp t="e">
        <v>#N/A</v>
        <stp/>
        <stp>BDH|14897730275768082072</stp>
        <tr r="N17" s="10"/>
      </tp>
      <tp t="e">
        <v>#N/A</v>
        <stp/>
        <stp>BDH|12340524558879887798</stp>
        <tr r="AR157" s="10"/>
      </tp>
      <tp t="e">
        <v>#N/A</v>
        <stp/>
        <stp>BDH|15293257602049494298</stp>
        <tr r="K169" s="10"/>
      </tp>
      <tp t="e">
        <v>#N/A</v>
        <stp/>
        <stp>BDH|15785667917027889968</stp>
        <tr r="AM7" s="10"/>
      </tp>
      <tp t="e">
        <v>#N/A</v>
        <stp/>
        <stp>BDH|10557605525918153093</stp>
        <tr r="I94" s="10"/>
      </tp>
      <tp t="e">
        <v>#N/A</v>
        <stp/>
        <stp>BDH|12813774586927738661</stp>
        <tr r="AD163" s="10"/>
      </tp>
      <tp t="e">
        <v>#N/A</v>
        <stp/>
        <stp>BDH|14239911356540480491</stp>
        <tr r="AF39" s="10"/>
      </tp>
      <tp t="e">
        <v>#N/A</v>
        <stp/>
        <stp>BDH|15195405842900246992</stp>
        <tr r="AP178" s="10"/>
      </tp>
      <tp t="e">
        <v>#N/A</v>
        <stp/>
        <stp>BDH|17215940731483842270</stp>
        <tr r="K123" s="10"/>
      </tp>
      <tp t="e">
        <v>#N/A</v>
        <stp/>
        <stp>BDH|14552013784171835105</stp>
        <tr r="AB12" s="10"/>
      </tp>
      <tp t="e">
        <v>#N/A</v>
        <stp/>
        <stp>BDH|10835953706801284411</stp>
        <tr r="L148" s="10"/>
      </tp>
      <tp t="e">
        <v>#N/A</v>
        <stp/>
        <stp>BDH|16896988408134335733</stp>
        <tr r="AV50" s="10"/>
      </tp>
      <tp t="e">
        <v>#N/A</v>
        <stp/>
        <stp>BDH|16646820088423212966</stp>
        <tr r="F190" s="10"/>
      </tp>
      <tp t="e">
        <v>#N/A</v>
        <stp/>
        <stp>BDH|17386912155411680691</stp>
        <tr r="K141" s="10"/>
      </tp>
      <tp t="e">
        <v>#N/A</v>
        <stp/>
        <stp>BDH|14051922241151906423</stp>
        <tr r="I152" s="10"/>
      </tp>
      <tp t="e">
        <v>#N/A</v>
        <stp/>
        <stp>BDH|17801444954913167923</stp>
        <tr r="L60" s="10"/>
      </tp>
      <tp t="e">
        <v>#N/A</v>
        <stp/>
        <stp>BDH|10561878038422958587</stp>
        <tr r="U94" s="10"/>
      </tp>
      <tp t="e">
        <v>#N/A</v>
        <stp/>
        <stp>BDH|11690599555504129904</stp>
        <tr r="D115" s="10"/>
      </tp>
      <tp t="e">
        <v>#N/A</v>
        <stp/>
        <stp>BDH|10104022651259049093</stp>
        <tr r="AV134" s="10"/>
      </tp>
      <tp t="e">
        <v>#N/A</v>
        <stp/>
        <stp>BDH|10916314391796620046</stp>
        <tr r="AV188" s="10"/>
      </tp>
      <tp t="e">
        <v>#N/A</v>
        <stp/>
        <stp>BDH|16859836418221023285</stp>
        <tr r="G126" s="10"/>
      </tp>
      <tp t="e">
        <v>#N/A</v>
        <stp/>
        <stp>BDH|17507610078769446337</stp>
        <tr r="R21" s="10"/>
      </tp>
      <tp t="e">
        <v>#N/A</v>
        <stp/>
        <stp>BDH|11281800720347040085</stp>
        <tr r="AI42" s="10"/>
      </tp>
      <tp t="e">
        <v>#N/A</v>
        <stp/>
        <stp>BDH|17652767954430771998</stp>
        <tr r="AH34" s="10"/>
      </tp>
      <tp t="e">
        <v>#N/A</v>
        <stp/>
        <stp>BDH|16060691833098387730</stp>
        <tr r="AB96" s="10"/>
      </tp>
      <tp t="e">
        <v>#N/A</v>
        <stp/>
        <stp>BDH|13131643287556831708</stp>
        <tr r="I34" s="10"/>
      </tp>
      <tp t="e">
        <v>#N/A</v>
        <stp/>
        <stp>BDH|13388032666371938857</stp>
        <tr r="AD77" s="10"/>
      </tp>
      <tp t="e">
        <v>#N/A</v>
        <stp/>
        <stp>BDH|18300495865792514401</stp>
        <tr r="Q129" s="10"/>
      </tp>
      <tp t="e">
        <v>#N/A</v>
        <stp/>
        <stp>BDH|16454383337522983889</stp>
        <tr r="R145" s="10"/>
      </tp>
      <tp t="e">
        <v>#N/A</v>
        <stp/>
        <stp>BDH|13695289690581508514</stp>
        <tr r="AE146" s="10"/>
      </tp>
      <tp t="e">
        <v>#N/A</v>
        <stp/>
        <stp>BDH|17992360524603978988</stp>
        <tr r="S169" s="10"/>
      </tp>
      <tp t="e">
        <v>#N/A</v>
        <stp/>
        <stp>BDH|15837835677323343551</stp>
        <tr r="F180" s="10"/>
      </tp>
      <tp t="e">
        <v>#N/A</v>
        <stp/>
        <stp>BDH|10001375386625819236</stp>
        <tr r="AI143" s="10"/>
      </tp>
      <tp t="e">
        <v>#N/A</v>
        <stp/>
        <stp>BDH|18125449218541561053</stp>
        <tr r="AM50" s="10"/>
      </tp>
      <tp t="e">
        <v>#N/A</v>
        <stp/>
        <stp>BDH|12861921945567582473</stp>
        <tr r="Q108" s="10"/>
      </tp>
      <tp t="e">
        <v>#N/A</v>
        <stp/>
        <stp>BDH|17899582344469958303</stp>
        <tr r="I93" s="10"/>
      </tp>
      <tp t="e">
        <v>#N/A</v>
        <stp/>
        <stp>BDH|16299915505335250695</stp>
        <tr r="P163" s="10"/>
      </tp>
      <tp t="e">
        <v>#N/A</v>
        <stp/>
        <stp>BDH|15622566504855952906</stp>
        <tr r="AA117" s="10"/>
      </tp>
      <tp t="e">
        <v>#N/A</v>
        <stp/>
        <stp>BDH|11382278993435886321</stp>
        <tr r="AT80" s="10"/>
      </tp>
      <tp t="e">
        <v>#N/A</v>
        <stp/>
        <stp>BDH|10068078192416869300</stp>
        <tr r="AF87" s="10"/>
      </tp>
      <tp t="e">
        <v>#N/A</v>
        <stp/>
        <stp>BDH|10176948354222590295</stp>
        <tr r="V154" s="10"/>
      </tp>
      <tp t="e">
        <v>#N/A</v>
        <stp/>
        <stp>BDH|14280795317958737666</stp>
        <tr r="AI148" s="10"/>
      </tp>
      <tp t="e">
        <v>#N/A</v>
        <stp/>
        <stp>BDH|12139823268272670202</stp>
        <tr r="AG177" s="10"/>
      </tp>
      <tp t="e">
        <v>#N/A</v>
        <stp/>
        <stp>BDH|13573046781622937540</stp>
        <tr r="P63" s="10"/>
      </tp>
      <tp t="e">
        <v>#N/A</v>
        <stp/>
        <stp>BDH|18384856595490783589</stp>
        <tr r="X15" s="10"/>
      </tp>
      <tp t="e">
        <v>#N/A</v>
        <stp/>
        <stp>BDH|11707597758118943539</stp>
        <tr r="AL132" s="10"/>
      </tp>
      <tp t="e">
        <v>#N/A</v>
        <stp/>
        <stp>BDH|17977524584286139028</stp>
        <tr r="AS112" s="10"/>
      </tp>
      <tp t="e">
        <v>#N/A</v>
        <stp/>
        <stp>BDH|17869728042000376877</stp>
        <tr r="AO192" s="10"/>
      </tp>
      <tp t="e">
        <v>#N/A</v>
        <stp/>
        <stp>BDH|12801629291583161264</stp>
        <tr r="K70" s="10"/>
      </tp>
      <tp t="e">
        <v>#N/A</v>
        <stp/>
        <stp>BDH|13133802270392461297</stp>
        <tr r="AP20" s="10"/>
      </tp>
      <tp t="e">
        <v>#N/A</v>
        <stp/>
        <stp>BDH|14324972908731070000</stp>
        <tr r="S166" s="10"/>
      </tp>
      <tp t="e">
        <v>#N/A</v>
        <stp/>
        <stp>BDH|12362996243260121347</stp>
        <tr r="AN83" s="10"/>
      </tp>
      <tp t="e">
        <v>#N/A</v>
        <stp/>
        <stp>BDH|13867412487112269106</stp>
        <tr r="Z44" s="10"/>
      </tp>
      <tp t="e">
        <v>#N/A</v>
        <stp/>
        <stp>BDH|14229545359378779079</stp>
        <tr r="K171" s="10"/>
      </tp>
      <tp t="e">
        <v>#N/A</v>
        <stp/>
        <stp>BDH|14255612302689939778</stp>
        <tr r="Q69" s="10"/>
      </tp>
      <tp t="e">
        <v>#N/A</v>
        <stp/>
        <stp>BDH|15984906916301840080</stp>
        <tr r="AH165" s="10"/>
      </tp>
      <tp t="e">
        <v>#N/A</v>
        <stp/>
        <stp>BDH|17096518949653699911</stp>
        <tr r="AW60" s="10"/>
      </tp>
      <tp t="e">
        <v>#N/A</v>
        <stp/>
        <stp>BDH|11170150203259100598</stp>
        <tr r="K79" s="10"/>
      </tp>
      <tp t="e">
        <v>#N/A</v>
        <stp/>
        <stp>BDH|10965056720259677758</stp>
        <tr r="E169" s="10"/>
      </tp>
      <tp t="e">
        <v>#N/A</v>
        <stp/>
        <stp>BDH|12324290898173974647</stp>
        <tr r="M172" s="10"/>
      </tp>
      <tp t="e">
        <v>#N/A</v>
        <stp/>
        <stp>BDH|10686545975118977618</stp>
        <tr r="AV43" s="10"/>
      </tp>
      <tp t="e">
        <v>#N/A</v>
        <stp/>
        <stp>BDH|17410022236589849171</stp>
        <tr r="AO49" s="10"/>
      </tp>
      <tp t="e">
        <v>#N/A</v>
        <stp/>
        <stp>BDH|16919500504279096628</stp>
        <tr r="AP135" s="10"/>
      </tp>
      <tp t="e">
        <v>#N/A</v>
        <stp/>
        <stp>BDH|13355961148743619143</stp>
        <tr r="T6" s="10"/>
      </tp>
      <tp t="e">
        <v>#N/A</v>
        <stp/>
        <stp>BDH|16923252807199477107</stp>
        <tr r="AP173" s="10"/>
      </tp>
      <tp t="e">
        <v>#N/A</v>
        <stp/>
        <stp>BDH|18007206608066317046</stp>
        <tr r="AH8" s="10"/>
      </tp>
      <tp t="e">
        <v>#N/A</v>
        <stp/>
        <stp>BDH|15508391580013025134</stp>
        <tr r="AD107" s="10"/>
      </tp>
      <tp t="e">
        <v>#N/A</v>
        <stp/>
        <stp>BDH|12333604149319161545</stp>
        <tr r="AD146" s="10"/>
      </tp>
      <tp t="e">
        <v>#N/A</v>
        <stp/>
        <stp>BDH|10601685245246122853</stp>
        <tr r="Z141" s="10"/>
      </tp>
      <tp t="e">
        <v>#N/A</v>
        <stp/>
        <stp>BDH|16707938230958230894</stp>
        <tr r="U164" s="10"/>
      </tp>
      <tp t="e">
        <v>#N/A</v>
        <stp/>
        <stp>BDH|16068810170482667781</stp>
        <tr r="O82" s="10"/>
      </tp>
      <tp t="e">
        <v>#N/A</v>
        <stp/>
        <stp>BDH|13876997602003513594</stp>
        <tr r="W62" s="10"/>
      </tp>
      <tp t="e">
        <v>#N/A</v>
        <stp/>
        <stp>BDH|12244728471837629982</stp>
        <tr r="Q27" s="10"/>
      </tp>
      <tp t="e">
        <v>#N/A</v>
        <stp/>
        <stp>BDH|15228597534007487849</stp>
        <tr r="AM94" s="10"/>
      </tp>
      <tp t="e">
        <v>#N/A</v>
        <stp/>
        <stp>BDH|10471150092036870244</stp>
        <tr r="Y55" s="10"/>
      </tp>
      <tp t="e">
        <v>#N/A</v>
        <stp/>
        <stp>BDH|16086592091175398358</stp>
        <tr r="AM110" s="10"/>
      </tp>
      <tp t="e">
        <v>#N/A</v>
        <stp/>
        <stp>BDH|11382396822529522533</stp>
        <tr r="AF71" s="10"/>
      </tp>
      <tp t="e">
        <v>#N/A</v>
        <stp/>
        <stp>BDH|11864943285638788403</stp>
        <tr r="J146" s="10"/>
      </tp>
      <tp t="e">
        <v>#N/A</v>
        <stp/>
        <stp>BDH|18370029129342633403</stp>
        <tr r="W48" s="10"/>
      </tp>
      <tp t="e">
        <v>#N/A</v>
        <stp/>
        <stp>BDH|13824389009969598527</stp>
        <tr r="AS64" s="10"/>
      </tp>
      <tp t="e">
        <v>#N/A</v>
        <stp/>
        <stp>BDH|16298336682875599482</stp>
        <tr r="R104" s="10"/>
      </tp>
      <tp t="e">
        <v>#N/A</v>
        <stp/>
        <stp>BDH|12404243937597171887</stp>
        <tr r="H92" s="10"/>
      </tp>
      <tp t="e">
        <v>#N/A</v>
        <stp/>
        <stp>BDH|15005797231898234549</stp>
        <tr r="AC116" s="10"/>
      </tp>
      <tp t="e">
        <v>#N/A</v>
        <stp/>
        <stp>BDH|16884085048839405721</stp>
        <tr r="AT142" s="10"/>
      </tp>
      <tp t="s">
        <v>#N/A Requesting Data...3628083486</v>
        <stp/>
        <stp>BDP|17985159338270857840</stp>
        <tr r="I3" s="1"/>
      </tp>
      <tp t="s">
        <v>#N/A Requesting Data...3046049722</v>
        <stp/>
        <stp>BDP|11241361889650680708</stp>
        <tr r="F134" s="2"/>
      </tp>
      <tp t="s">
        <v>#N/A Requesting Data...1806062319</v>
        <stp/>
        <stp>BDP|15700303607508219390</stp>
        <tr r="D22" s="6"/>
        <tr r="H15" s="1"/>
      </tp>
      <tp t="s">
        <v>#N/A Requesting Data...2857689401</v>
        <stp/>
        <stp>BDP|12921968407435620325</stp>
        <tr r="D43" s="1"/>
      </tp>
      <tp t="s">
        <v>#N/A Requesting Data...1854219282</v>
        <stp/>
        <stp>BDP|14460188361859886765</stp>
        <tr r="D38" s="6"/>
        <tr r="H27" s="1"/>
      </tp>
      <tp t="s">
        <v>#N/A Requesting Data...842630528</v>
        <stp/>
        <stp>BDP|18021366625226725217</stp>
        <tr r="G43" s="3"/>
        <tr r="G45" s="3"/>
        <tr r="G46" s="3"/>
        <tr r="G47" s="3"/>
        <tr r="G48" s="3"/>
        <tr r="B57" s="6"/>
        <tr r="H147" s="2"/>
        <tr r="H150" s="2"/>
        <tr r="H151" s="2"/>
        <tr r="H152" s="2"/>
        <tr r="H153" s="2"/>
      </tp>
      <tp t="s">
        <v>#N/A Requesting Data...412541888</v>
        <stp/>
        <stp>BDP|15667187582337194694</stp>
        <tr r="D4" s="1"/>
      </tp>
      <tp t="s">
        <v>#N/A Requesting Data...369985946</v>
        <stp/>
        <stp>BDP|15376471287564530025</stp>
        <tr r="I6" s="1"/>
      </tp>
      <tp t="s">
        <v>#N/A Requesting Data...544353528</v>
        <stp/>
        <stp>BDP|11506980692408866409</stp>
        <tr r="B22" s="1"/>
      </tp>
      <tp t="s">
        <v>#N/A Requesting Data...3665238313</v>
        <stp/>
        <stp>BDP|16664151863215741907</stp>
        <tr r="F132" s="2"/>
      </tp>
      <tp t="e">
        <v>#N/A</v>
        <stp/>
        <stp>BDH|15264866564784290235</stp>
        <tr r="AU111" s="10"/>
      </tp>
      <tp t="e">
        <v>#N/A</v>
        <stp/>
        <stp>BDH|16144348520242344871</stp>
        <tr r="AW91" s="10"/>
      </tp>
      <tp t="e">
        <v>#N/A</v>
        <stp/>
        <stp>BDH|11030685684882533087</stp>
        <tr r="AJ35" s="10"/>
      </tp>
      <tp t="e">
        <v>#N/A</v>
        <stp/>
        <stp>BDH|15087861280189119163</stp>
        <tr r="K19" s="10"/>
      </tp>
      <tp t="e">
        <v>#N/A</v>
        <stp/>
        <stp>BDH|10326249869059789089</stp>
        <tr r="AD167" s="10"/>
      </tp>
      <tp t="e">
        <v>#N/A</v>
        <stp/>
        <stp>BDH|15365277983153500139</stp>
        <tr r="Y28" s="10"/>
      </tp>
      <tp t="e">
        <v>#N/A</v>
        <stp/>
        <stp>BDH|17680707184883099631</stp>
        <tr r="AW71" s="10"/>
      </tp>
      <tp t="e">
        <v>#N/A</v>
        <stp/>
        <stp>BDH|13716951431885420164</stp>
        <tr r="E35" s="10"/>
      </tp>
      <tp t="e">
        <v>#N/A</v>
        <stp/>
        <stp>BDH|13823694359574879919</stp>
        <tr r="AB16" s="10"/>
      </tp>
      <tp t="e">
        <v>#N/A</v>
        <stp/>
        <stp>BDH|11490157690374500051</stp>
        <tr r="AF29" s="10"/>
      </tp>
      <tp t="e">
        <v>#N/A</v>
        <stp/>
        <stp>BDH|17678623666068154222</stp>
        <tr r="G161" s="10"/>
      </tp>
      <tp t="e">
        <v>#N/A</v>
        <stp/>
        <stp>BDH|14178109287428400839</stp>
        <tr r="AS130" s="10"/>
      </tp>
      <tp t="e">
        <v>#N/A</v>
        <stp/>
        <stp>BDH|17848686848648974004</stp>
        <tr r="AT58" s="10"/>
      </tp>
      <tp t="e">
        <v>#N/A</v>
        <stp/>
        <stp>BDH|15160174992614170446</stp>
        <tr r="Z64" s="10"/>
      </tp>
      <tp t="e">
        <v>#N/A</v>
        <stp/>
        <stp>BDH|10049842844047293624</stp>
        <tr r="AH24" s="10"/>
      </tp>
      <tp t="e">
        <v>#N/A</v>
        <stp/>
        <stp>BDH|15247506339808342685</stp>
        <tr r="AL52" s="10"/>
      </tp>
      <tp t="e">
        <v>#N/A</v>
        <stp/>
        <stp>BDH|10235267375831943982</stp>
        <tr r="AL128" s="10"/>
      </tp>
      <tp t="e">
        <v>#N/A</v>
        <stp/>
        <stp>BDH|12157647764909800691</stp>
        <tr r="P78" s="10"/>
      </tp>
      <tp t="e">
        <v>#N/A</v>
        <stp/>
        <stp>BDH|17265326481329224839</stp>
        <tr r="AH193" s="10"/>
      </tp>
      <tp t="e">
        <v>#N/A</v>
        <stp/>
        <stp>BDH|18212636731956242622</stp>
        <tr r="AU127" s="10"/>
      </tp>
      <tp t="e">
        <v>#N/A</v>
        <stp/>
        <stp>BDH|14238688494842650489</stp>
        <tr r="F85" s="10"/>
      </tp>
      <tp t="e">
        <v>#N/A</v>
        <stp/>
        <stp>BDH|16628204163887739823</stp>
        <tr r="N63" s="10"/>
      </tp>
      <tp t="e">
        <v>#N/A</v>
        <stp/>
        <stp>BDH|10707628191515457709</stp>
        <tr r="F84" s="10"/>
      </tp>
      <tp t="e">
        <v>#N/A</v>
        <stp/>
        <stp>BDH|14192727187694370278</stp>
        <tr r="AA105" s="10"/>
      </tp>
      <tp t="e">
        <v>#N/A</v>
        <stp/>
        <stp>BDH|10073518341909484549</stp>
        <tr r="T75" s="10"/>
      </tp>
      <tp t="e">
        <v>#N/A</v>
        <stp/>
        <stp>BDH|11258063898641517496</stp>
        <tr r="I56" s="10"/>
      </tp>
      <tp t="e">
        <v>#N/A</v>
        <stp/>
        <stp>BDH|15435892565354848200</stp>
        <tr r="C165" s="10"/>
      </tp>
      <tp t="e">
        <v>#N/A</v>
        <stp/>
        <stp>BDH|15950137749149024437</stp>
        <tr r="AB113" s="10"/>
      </tp>
      <tp t="e">
        <v>#N/A</v>
        <stp/>
        <stp>BDH|18062756773544272147</stp>
        <tr r="AI36" s="10"/>
      </tp>
      <tp t="e">
        <v>#N/A</v>
        <stp/>
        <stp>BDH|14562545473792194939</stp>
        <tr r="R146" s="10"/>
      </tp>
      <tp t="e">
        <v>#N/A</v>
        <stp/>
        <stp>BDH|10068014240081566840</stp>
        <tr r="F54" s="10"/>
      </tp>
      <tp t="e">
        <v>#N/A</v>
        <stp/>
        <stp>BDH|15313819351513830684</stp>
        <tr r="AM114" s="10"/>
      </tp>
      <tp t="e">
        <v>#N/A</v>
        <stp/>
        <stp>BDH|11799065158128376193</stp>
        <tr r="K14" s="10"/>
      </tp>
      <tp t="e">
        <v>#N/A</v>
        <stp/>
        <stp>BDH|17169597253973034982</stp>
        <tr r="AI184" s="10"/>
      </tp>
      <tp t="e">
        <v>#N/A</v>
        <stp/>
        <stp>BDH|14420338889542936044</stp>
        <tr r="AV152" s="10"/>
      </tp>
      <tp t="e">
        <v>#N/A</v>
        <stp/>
        <stp>BDH|10097591092283973212</stp>
        <tr r="W66" s="10"/>
      </tp>
      <tp t="e">
        <v>#N/A</v>
        <stp/>
        <stp>BDH|18216526221990284208</stp>
        <tr r="AG109" s="10"/>
      </tp>
      <tp t="e">
        <v>#N/A</v>
        <stp/>
        <stp>BDH|13360151137815300911</stp>
        <tr r="W183" s="10"/>
      </tp>
      <tp t="e">
        <v>#N/A</v>
        <stp/>
        <stp>BDH|14178770596773589466</stp>
        <tr r="R8" s="10"/>
      </tp>
      <tp t="e">
        <v>#N/A</v>
        <stp/>
        <stp>BDH|10989364786264994234</stp>
        <tr r="M13" s="10"/>
      </tp>
      <tp t="e">
        <v>#N/A</v>
        <stp/>
        <stp>BDH|16139061053117168967</stp>
        <tr r="AM105" s="10"/>
      </tp>
      <tp t="e">
        <v>#N/A</v>
        <stp/>
        <stp>BDH|14793593408869778524</stp>
        <tr r="Y89" s="10"/>
      </tp>
      <tp t="e">
        <v>#N/A</v>
        <stp/>
        <stp>BDH|17341922973691169507</stp>
        <tr r="AN126" s="10"/>
      </tp>
      <tp t="e">
        <v>#N/A</v>
        <stp/>
        <stp>BDH|12730822545480208314</stp>
        <tr r="AC91" s="10"/>
      </tp>
      <tp t="e">
        <v>#N/A</v>
        <stp/>
        <stp>BDH|12535274481835784076</stp>
        <tr r="AT127" s="10"/>
      </tp>
      <tp t="e">
        <v>#N/A</v>
        <stp/>
        <stp>BDH|11978696725378441026</stp>
        <tr r="G163" s="10"/>
      </tp>
      <tp t="e">
        <v>#N/A</v>
        <stp/>
        <stp>BDH|13170350990643608717</stp>
        <tr r="AD44" s="10"/>
      </tp>
      <tp t="e">
        <v>#N/A</v>
        <stp/>
        <stp>BDH|14055321633121212801</stp>
        <tr r="AJ43" s="10"/>
      </tp>
      <tp t="e">
        <v>#N/A</v>
        <stp/>
        <stp>BDH|12273948989908886656</stp>
        <tr r="Z87" s="10"/>
      </tp>
      <tp t="e">
        <v>#N/A</v>
        <stp/>
        <stp>BDH|11019310782225592245</stp>
        <tr r="I58" s="10"/>
      </tp>
      <tp t="e">
        <v>#N/A</v>
        <stp/>
        <stp>BDH|17994037188155014703</stp>
        <tr r="AP75" s="10"/>
      </tp>
      <tp t="e">
        <v>#N/A</v>
        <stp/>
        <stp>BDH|15429192098843701304</stp>
        <tr r="U119" s="10"/>
      </tp>
      <tp t="e">
        <v>#N/A</v>
        <stp/>
        <stp>BDH|16336951845025254334</stp>
        <tr r="J85" s="10"/>
      </tp>
      <tp t="e">
        <v>#N/A</v>
        <stp/>
        <stp>BDH|15090151086639749869</stp>
        <tr r="Z163" s="10"/>
      </tp>
      <tp t="e">
        <v>#N/A</v>
        <stp/>
        <stp>BDH|15258799995025866349</stp>
        <tr r="C53" s="10"/>
      </tp>
      <tp t="e">
        <v>#N/A</v>
        <stp/>
        <stp>BDH|14467278963309589476</stp>
        <tr r="O111" s="10"/>
      </tp>
      <tp t="e">
        <v>#N/A</v>
        <stp/>
        <stp>BDH|10010519081917214702</stp>
        <tr r="AG108" s="10"/>
      </tp>
      <tp t="e">
        <v>#N/A</v>
        <stp/>
        <stp>BDH|15125423675503277861</stp>
        <tr r="E138" s="10"/>
      </tp>
      <tp t="e">
        <v>#N/A</v>
        <stp/>
        <stp>BDH|18227472860961695616</stp>
        <tr r="AC97" s="10"/>
      </tp>
      <tp t="e">
        <v>#N/A</v>
        <stp/>
        <stp>BDH|11805296916177600833</stp>
        <tr r="N102" s="10"/>
      </tp>
      <tp t="e">
        <v>#N/A</v>
        <stp/>
        <stp>BDH|13351932789918838747</stp>
        <tr r="C135" s="10"/>
      </tp>
      <tp t="e">
        <v>#N/A</v>
        <stp/>
        <stp>BDH|18326574962670482671</stp>
        <tr r="W190" s="10"/>
      </tp>
      <tp t="e">
        <v>#N/A</v>
        <stp/>
        <stp>BDH|11983014056051312884</stp>
        <tr r="M146" s="10"/>
      </tp>
      <tp t="e">
        <v>#N/A</v>
        <stp/>
        <stp>BDH|13514918466633654215</stp>
        <tr r="AB26" s="10"/>
      </tp>
      <tp t="e">
        <v>#N/A</v>
        <stp/>
        <stp>BDH|12742819673255267526</stp>
        <tr r="J66" s="10"/>
      </tp>
      <tp t="e">
        <v>#N/A</v>
        <stp/>
        <stp>BDH|14372704082732725435</stp>
        <tr r="J20" s="10"/>
      </tp>
      <tp t="e">
        <v>#N/A</v>
        <stp/>
        <stp>BDH|13884489730949027058</stp>
        <tr r="V137" s="10"/>
      </tp>
      <tp t="e">
        <v>#N/A</v>
        <stp/>
        <stp>BDH|15269812896131939897</stp>
        <tr r="E44" s="10"/>
      </tp>
      <tp t="e">
        <v>#N/A</v>
        <stp/>
        <stp>BDH|13814091394053775470</stp>
        <tr r="X76" s="10"/>
      </tp>
      <tp t="e">
        <v>#N/A</v>
        <stp/>
        <stp>BDH|16450202391378004803</stp>
        <tr r="K124" s="10"/>
      </tp>
      <tp t="e">
        <v>#N/A</v>
        <stp/>
        <stp>BDH|13629726452484307807</stp>
        <tr r="AM16" s="10"/>
      </tp>
      <tp t="e">
        <v>#N/A</v>
        <stp/>
        <stp>BDH|12129360674052172973</stp>
        <tr r="AK32" s="10"/>
      </tp>
      <tp t="e">
        <v>#N/A</v>
        <stp/>
        <stp>BDH|12077947441383448141</stp>
        <tr r="AP126" s="10"/>
      </tp>
      <tp t="e">
        <v>#N/A</v>
        <stp/>
        <stp>BDH|13238950007040148742</stp>
        <tr r="AR153" s="10"/>
      </tp>
      <tp t="e">
        <v>#N/A</v>
        <stp/>
        <stp>BDH|17023180186525914622</stp>
        <tr r="AT139" s="10"/>
      </tp>
      <tp t="e">
        <v>#N/A</v>
        <stp/>
        <stp>BDH|15962861964210960668</stp>
        <tr r="S14" s="10"/>
      </tp>
      <tp t="e">
        <v>#N/A</v>
        <stp/>
        <stp>BDH|16696349508941627980</stp>
        <tr r="T36" s="10"/>
      </tp>
      <tp t="e">
        <v>#N/A</v>
        <stp/>
        <stp>BDH|14850615250613568988</stp>
        <tr r="S125" s="10"/>
      </tp>
      <tp t="e">
        <v>#N/A</v>
        <stp/>
        <stp>BDH|12697103670898192133</stp>
        <tr r="AU179" s="10"/>
      </tp>
      <tp t="e">
        <v>#N/A</v>
        <stp/>
        <stp>BDH|15599208156668492731</stp>
        <tr r="D189" s="10"/>
      </tp>
      <tp t="e">
        <v>#N/A</v>
        <stp/>
        <stp>BDH|11688413133233316836</stp>
        <tr r="AO177" s="10"/>
      </tp>
      <tp t="e">
        <v>#N/A</v>
        <stp/>
        <stp>BDH|13525997950031983311</stp>
        <tr r="K23" s="10"/>
      </tp>
      <tp t="e">
        <v>#N/A</v>
        <stp/>
        <stp>BDH|11104019338789855647</stp>
        <tr r="K146" s="10"/>
      </tp>
      <tp t="e">
        <v>#N/A</v>
        <stp/>
        <stp>BDH|17019530282451043652</stp>
        <tr r="AL118" s="10"/>
      </tp>
      <tp t="e">
        <v>#N/A</v>
        <stp/>
        <stp>BDH|12211149261040020839</stp>
        <tr r="AI53" s="10"/>
      </tp>
      <tp t="e">
        <v>#N/A</v>
        <stp/>
        <stp>BDH|10860346896691877662</stp>
        <tr r="H9" s="10"/>
      </tp>
      <tp t="e">
        <v>#N/A</v>
        <stp/>
        <stp>BDH|14040943067306477032</stp>
        <tr r="AR137" s="10"/>
      </tp>
      <tp t="e">
        <v>#N/A</v>
        <stp/>
        <stp>BDH|11010429825639595367</stp>
        <tr r="AK163" s="10"/>
      </tp>
      <tp t="e">
        <v>#N/A</v>
        <stp/>
        <stp>BDH|10099907370933551012</stp>
        <tr r="AG141" s="10"/>
      </tp>
      <tp t="e">
        <v>#N/A</v>
        <stp/>
        <stp>BDH|10053117942539033173</stp>
        <tr r="N132" s="10"/>
      </tp>
      <tp t="e">
        <v>#N/A</v>
        <stp/>
        <stp>BDH|10757166915085821885</stp>
        <tr r="AU64" s="10"/>
      </tp>
      <tp t="e">
        <v>#N/A</v>
        <stp/>
        <stp>BDH|14772186684981517192</stp>
        <tr r="E181" s="10"/>
      </tp>
      <tp t="e">
        <v>#N/A</v>
        <stp/>
        <stp>BDH|17111419198094722381</stp>
        <tr r="AD192" s="10"/>
      </tp>
      <tp t="e">
        <v>#N/A</v>
        <stp/>
        <stp>BDH|12069742793512318339</stp>
        <tr r="V52" s="10"/>
      </tp>
      <tp t="e">
        <v>#N/A</v>
        <stp/>
        <stp>BDH|12899946264242604295</stp>
        <tr r="C84" s="10"/>
      </tp>
      <tp t="e">
        <v>#N/A</v>
        <stp/>
        <stp>BDH|11493852550430080169</stp>
        <tr r="AA84" s="10"/>
      </tp>
      <tp t="e">
        <v>#N/A</v>
        <stp/>
        <stp>BDH|15069507017618034408</stp>
        <tr r="L24" s="10"/>
      </tp>
      <tp t="e">
        <v>#N/A</v>
        <stp/>
        <stp>BDH|12698762883198531815</stp>
        <tr r="C8" s="10"/>
      </tp>
      <tp t="e">
        <v>#N/A</v>
        <stp/>
        <stp>BDH|13005231441661397962</stp>
        <tr r="AN177" s="10"/>
      </tp>
      <tp t="e">
        <v>#N/A</v>
        <stp/>
        <stp>BDH|12696879087037066817</stp>
        <tr r="AS5" s="10"/>
      </tp>
      <tp t="e">
        <v>#N/A</v>
        <stp/>
        <stp>BDH|16553745306458819482</stp>
        <tr r="V155" s="10"/>
      </tp>
      <tp t="e">
        <v>#N/A</v>
        <stp/>
        <stp>BDH|14779255935501838983</stp>
        <tr r="I178" s="10"/>
      </tp>
      <tp t="e">
        <v>#N/A</v>
        <stp/>
        <stp>BDH|10047562400730972881</stp>
        <tr r="AP107" s="10"/>
      </tp>
      <tp t="e">
        <v>#N/A</v>
        <stp/>
        <stp>BDH|11770136970863188925</stp>
        <tr r="G37" s="10"/>
      </tp>
      <tp t="e">
        <v>#N/A</v>
        <stp/>
        <stp>BDH|18405266256635454771</stp>
        <tr r="AI90" s="10"/>
      </tp>
      <tp t="e">
        <v>#N/A</v>
        <stp/>
        <stp>BDH|12494823552241526375</stp>
        <tr r="W117" s="10"/>
      </tp>
      <tp t="e">
        <v>#N/A</v>
        <stp/>
        <stp>BDH|12057715352558410519</stp>
        <tr r="X27" s="10"/>
      </tp>
      <tp t="e">
        <v>#N/A</v>
        <stp/>
        <stp>BDH|13804791235448392211</stp>
        <tr r="U107" s="10"/>
      </tp>
      <tp t="e">
        <v>#N/A</v>
        <stp/>
        <stp>BDH|17660894845994911259</stp>
        <tr r="I50" s="10"/>
      </tp>
      <tp t="e">
        <v>#N/A</v>
        <stp/>
        <stp>BDH|15631865951670135561</stp>
        <tr r="V38" s="10"/>
      </tp>
      <tp t="e">
        <v>#N/A</v>
        <stp/>
        <stp>BDH|11018418685883467365</stp>
        <tr r="AH68" s="10"/>
      </tp>
      <tp t="e">
        <v>#N/A</v>
        <stp/>
        <stp>BDH|17022604006868974498</stp>
        <tr r="V123" s="10"/>
      </tp>
      <tp t="e">
        <v>#N/A</v>
        <stp/>
        <stp>BDH|12095906467491695172</stp>
        <tr r="O89" s="10"/>
      </tp>
      <tp t="e">
        <v>#N/A</v>
        <stp/>
        <stp>BDH|14562645159549929374</stp>
        <tr r="AS66" s="10"/>
      </tp>
      <tp t="e">
        <v>#N/A</v>
        <stp/>
        <stp>BDH|17035297153274828944</stp>
        <tr r="AB152" s="10"/>
      </tp>
      <tp t="e">
        <v>#N/A</v>
        <stp/>
        <stp>BDH|10235215641463363874</stp>
        <tr r="AV58" s="10"/>
      </tp>
      <tp t="e">
        <v>#N/A</v>
        <stp/>
        <stp>BDH|14538527036718208753</stp>
        <tr r="AG103" s="10"/>
      </tp>
      <tp t="e">
        <v>#N/A</v>
        <stp/>
        <stp>BDH|11740879874091753258</stp>
        <tr r="Z152" s="10"/>
      </tp>
      <tp t="e">
        <v>#N/A</v>
        <stp/>
        <stp>BDH|13434238147510104878</stp>
        <tr r="AN75" s="10"/>
      </tp>
      <tp t="e">
        <v>#N/A</v>
        <stp/>
        <stp>BDH|17936647680603933727</stp>
        <tr r="AO94" s="10"/>
      </tp>
      <tp t="e">
        <v>#N/A</v>
        <stp/>
        <stp>BDH|11637413730423696886</stp>
        <tr r="M177" s="10"/>
      </tp>
      <tp t="e">
        <v>#N/A</v>
        <stp/>
        <stp>BDH|15715142097368525889</stp>
        <tr r="L6" s="10"/>
      </tp>
      <tp t="e">
        <v>#N/A</v>
        <stp/>
        <stp>BDH|12204198758863326898</stp>
        <tr r="Q45" s="10"/>
      </tp>
      <tp t="e">
        <v>#N/A</v>
        <stp/>
        <stp>BDH|10224237092340392692</stp>
        <tr r="K81" s="10"/>
      </tp>
      <tp t="e">
        <v>#N/A</v>
        <stp/>
        <stp>BDH|13933595176464676898</stp>
        <tr r="AQ29" s="10"/>
      </tp>
      <tp t="e">
        <v>#N/A</v>
        <stp/>
        <stp>BDH|15919268335638193127</stp>
        <tr r="S117" s="10"/>
      </tp>
      <tp t="e">
        <v>#N/A</v>
        <stp/>
        <stp>BDH|17367994551502188438</stp>
        <tr r="D97" s="10"/>
      </tp>
      <tp t="e">
        <v>#N/A</v>
        <stp/>
        <stp>BDH|16673583883633754531</stp>
        <tr r="AL127" s="10"/>
      </tp>
      <tp t="e">
        <v>#N/A</v>
        <stp/>
        <stp>BDH|11606496895156182729</stp>
        <tr r="AW153" s="10"/>
      </tp>
      <tp t="e">
        <v>#N/A</v>
        <stp/>
        <stp>BDH|11374894290848395504</stp>
        <tr r="O186" s="10"/>
      </tp>
      <tp t="e">
        <v>#N/A</v>
        <stp/>
        <stp>BDH|12267196017478385769</stp>
        <tr r="AT120" s="10"/>
      </tp>
      <tp t="e">
        <v>#N/A</v>
        <stp/>
        <stp>BDH|15340064911440468997</stp>
        <tr r="K20" s="10"/>
      </tp>
      <tp t="e">
        <v>#N/A</v>
        <stp/>
        <stp>BDH|13903918962758192922</stp>
        <tr r="AC165" s="10"/>
      </tp>
      <tp t="e">
        <v>#N/A</v>
        <stp/>
        <stp>BDH|16854034473329710578</stp>
        <tr r="E42" s="10"/>
      </tp>
      <tp t="e">
        <v>#N/A</v>
        <stp/>
        <stp>BDH|12366607568969304607</stp>
        <tr r="N145" s="10"/>
      </tp>
      <tp t="e">
        <v>#N/A</v>
        <stp/>
        <stp>BDH|16915568413438415701</stp>
        <tr r="AT188" s="10"/>
      </tp>
      <tp t="e">
        <v>#N/A</v>
        <stp/>
        <stp>BDH|15386764692183858574</stp>
        <tr r="AO66" s="10"/>
      </tp>
      <tp t="e">
        <v>#N/A</v>
        <stp/>
        <stp>BDH|10378327265238823042</stp>
        <tr r="Z62" s="10"/>
      </tp>
      <tp t="e">
        <v>#N/A</v>
        <stp/>
        <stp>BDH|17690430136778882534</stp>
        <tr r="AA193" s="10"/>
      </tp>
      <tp t="e">
        <v>#N/A</v>
        <stp/>
        <stp>BDH|15297802644622750699</stp>
        <tr r="AI123" s="10"/>
      </tp>
      <tp t="e">
        <v>#N/A</v>
        <stp/>
        <stp>BDH|17457422029665778901</stp>
        <tr r="M14" s="10"/>
      </tp>
      <tp t="e">
        <v>#N/A</v>
        <stp/>
        <stp>BDH|12451985713280607714</stp>
        <tr r="I21" s="10"/>
      </tp>
      <tp t="e">
        <v>#N/A</v>
        <stp/>
        <stp>BDH|14682370707068786296</stp>
        <tr r="I100" s="10"/>
      </tp>
      <tp t="e">
        <v>#N/A</v>
        <stp/>
        <stp>BDH|17101902125279446882</stp>
        <tr r="AD179" s="10"/>
      </tp>
      <tp t="e">
        <v>#N/A</v>
        <stp/>
        <stp>BDH|16986347497317707658</stp>
        <tr r="AD181" s="10"/>
      </tp>
      <tp t="e">
        <v>#N/A</v>
        <stp/>
        <stp>BDH|13166843771802956361</stp>
        <tr r="AJ23" s="10"/>
      </tp>
      <tp t="e">
        <v>#N/A</v>
        <stp/>
        <stp>BDH|11847714681920722342</stp>
        <tr r="AB171" s="10"/>
      </tp>
      <tp t="e">
        <v>#N/A</v>
        <stp/>
        <stp>BDH|18389383642140209209</stp>
        <tr r="AF121" s="10"/>
      </tp>
      <tp t="e">
        <v>#N/A</v>
        <stp/>
        <stp>BDH|18263212172185338594</stp>
        <tr r="Z36" s="10"/>
      </tp>
      <tp t="e">
        <v>#N/A</v>
        <stp/>
        <stp>BDH|13741266276702550997</stp>
        <tr r="J94" s="10"/>
      </tp>
      <tp t="e">
        <v>#N/A</v>
        <stp/>
        <stp>BDH|14938680283736154185</stp>
        <tr r="S155" s="10"/>
      </tp>
      <tp t="e">
        <v>#N/A</v>
        <stp/>
        <stp>BDH|15486933863263844479</stp>
        <tr r="AM93" s="10"/>
      </tp>
      <tp t="e">
        <v>#N/A</v>
        <stp/>
        <stp>BDH|15200892434282684133</stp>
        <tr r="AI94" s="10"/>
      </tp>
      <tp t="e">
        <v>#N/A</v>
        <stp/>
        <stp>BDH|16737952637293819279</stp>
        <tr r="C74" s="10"/>
      </tp>
      <tp t="e">
        <v>#N/A</v>
        <stp/>
        <stp>BDH|15255290986781115369</stp>
        <tr r="Y169" s="10"/>
      </tp>
      <tp t="e">
        <v>#N/A</v>
        <stp/>
        <stp>BDH|16020970873163894664</stp>
        <tr r="AP91" s="10"/>
      </tp>
      <tp t="e">
        <v>#N/A</v>
        <stp/>
        <stp>BDH|18282256329276010343</stp>
        <tr r="AM19" s="10"/>
      </tp>
      <tp t="e">
        <v>#N/A</v>
        <stp/>
        <stp>BDH|18095851489484069164</stp>
        <tr r="AI41" s="10"/>
      </tp>
      <tp t="e">
        <v>#N/A</v>
        <stp/>
        <stp>BDH|16355458178269566114</stp>
        <tr r="K102" s="10"/>
      </tp>
      <tp t="e">
        <v>#N/A</v>
        <stp/>
        <stp>BDH|11964662777764163938</stp>
        <tr r="S190" s="10"/>
      </tp>
      <tp t="e">
        <v>#N/A</v>
        <stp/>
        <stp>BDH|10335892047621618015</stp>
        <tr r="AE189" s="10"/>
      </tp>
      <tp t="e">
        <v>#N/A</v>
        <stp/>
        <stp>BDH|10315376078070525936</stp>
        <tr r="P107" s="10"/>
      </tp>
      <tp t="e">
        <v>#N/A</v>
        <stp/>
        <stp>BDH|16100407094224632295</stp>
        <tr r="D69" s="10"/>
      </tp>
      <tp t="e">
        <v>#N/A</v>
        <stp/>
        <stp>BDH|12485258489551679443</stp>
        <tr r="AK192" s="10"/>
      </tp>
      <tp t="e">
        <v>#N/A</v>
        <stp/>
        <stp>BDH|14457887987708921181</stp>
        <tr r="AD66" s="10"/>
      </tp>
      <tp t="e">
        <v>#N/A</v>
        <stp/>
        <stp>BDH|18200466729251142265</stp>
        <tr r="L173" s="10"/>
      </tp>
      <tp t="e">
        <v>#N/A</v>
        <stp/>
        <stp>BDH|18329129539272053557</stp>
        <tr r="AB91" s="10"/>
      </tp>
      <tp t="e">
        <v>#N/A</v>
        <stp/>
        <stp>BDH|17240919400387617484</stp>
        <tr r="X99" s="10"/>
      </tp>
      <tp t="e">
        <v>#N/A</v>
        <stp/>
        <stp>BDH|14754493492146184205</stp>
        <tr r="AR95" s="10"/>
      </tp>
      <tp t="e">
        <v>#N/A</v>
        <stp/>
        <stp>BDH|13214548581217864425</stp>
        <tr r="AA132" s="10"/>
      </tp>
      <tp t="e">
        <v>#N/A</v>
        <stp/>
        <stp>BDH|11445449205650117895</stp>
        <tr r="D185" s="10"/>
      </tp>
      <tp t="e">
        <v>#N/A</v>
        <stp/>
        <stp>BDH|18142679976197514383</stp>
        <tr r="V49" s="10"/>
      </tp>
      <tp t="e">
        <v>#N/A</v>
        <stp/>
        <stp>BDH|16223997614194719758</stp>
        <tr r="AC23" s="10"/>
      </tp>
      <tp t="e">
        <v>#N/A</v>
        <stp/>
        <stp>BDH|15568719429094074905</stp>
        <tr r="AF23" s="10"/>
      </tp>
      <tp t="e">
        <v>#N/A</v>
        <stp/>
        <stp>BDH|11564690841549895789</stp>
        <tr r="AU118" s="10"/>
      </tp>
      <tp t="e">
        <v>#N/A</v>
        <stp/>
        <stp>BDH|17724616658370049930</stp>
        <tr r="D99" s="10"/>
      </tp>
      <tp t="e">
        <v>#N/A</v>
        <stp/>
        <stp>BDH|17240662442288802037</stp>
        <tr r="AM109" s="10"/>
      </tp>
      <tp t="e">
        <v>#N/A</v>
        <stp/>
        <stp>BDH|13225534599742415013</stp>
        <tr r="U36" s="10"/>
      </tp>
      <tp t="e">
        <v>#N/A</v>
        <stp/>
        <stp>BDH|18028587702389022976</stp>
        <tr r="AP150" s="10"/>
      </tp>
      <tp t="e">
        <v>#N/A</v>
        <stp/>
        <stp>BDH|12596951309041395770</stp>
        <tr r="F15" s="10"/>
      </tp>
      <tp t="e">
        <v>#N/A</v>
        <stp/>
        <stp>BDH|18320768038835871484</stp>
        <tr r="H83" s="10"/>
      </tp>
      <tp t="e">
        <v>#N/A</v>
        <stp/>
        <stp>BDH|11025197911639470514</stp>
        <tr r="F108" s="10"/>
      </tp>
      <tp t="e">
        <v>#N/A</v>
        <stp/>
        <stp>BDH|17891657807905040973</stp>
        <tr r="AH25" s="10"/>
      </tp>
      <tp t="e">
        <v>#N/A</v>
        <stp/>
        <stp>BDH|16273868724820555185</stp>
        <tr r="H139" s="10"/>
      </tp>
      <tp t="e">
        <v>#N/A</v>
        <stp/>
        <stp>BDH|16026912666725810120</stp>
        <tr r="AQ51" s="10"/>
      </tp>
      <tp t="e">
        <v>#N/A</v>
        <stp/>
        <stp>BDH|11778518420873220891</stp>
        <tr r="AQ40" s="10"/>
      </tp>
      <tp t="e">
        <v>#N/A</v>
        <stp/>
        <stp>BDH|12869992069913598300</stp>
        <tr r="C3" s="10"/>
      </tp>
      <tp t="e">
        <v>#N/A</v>
        <stp/>
        <stp>BDH|13779944367907189686</stp>
        <tr r="AP124" s="10"/>
      </tp>
      <tp t="e">
        <v>#N/A</v>
        <stp/>
        <stp>BDH|13194831894196322992</stp>
        <tr r="H180" s="10"/>
      </tp>
      <tp t="e">
        <v>#N/A</v>
        <stp/>
        <stp>BDH|12998730425038396208</stp>
        <tr r="AR77" s="10"/>
      </tp>
      <tp t="e">
        <v>#N/A</v>
        <stp/>
        <stp>BDH|15720714188340203708</stp>
        <tr r="D74" s="10"/>
      </tp>
      <tp t="e">
        <v>#N/A</v>
        <stp/>
        <stp>BDH|16731293301290269919</stp>
        <tr r="C20" s="10"/>
      </tp>
      <tp t="e">
        <v>#N/A</v>
        <stp/>
        <stp>BDH|11717595875068255653</stp>
        <tr r="AI109" s="10"/>
      </tp>
      <tp t="e">
        <v>#N/A</v>
        <stp/>
        <stp>BDH|16819421647403758860</stp>
        <tr r="R168" s="10"/>
      </tp>
      <tp t="e">
        <v>#N/A</v>
        <stp/>
        <stp>BDH|14204963091749073093</stp>
        <tr r="Z130" s="10"/>
      </tp>
      <tp t="e">
        <v>#N/A</v>
        <stp/>
        <stp>BDH|16853863017393249171</stp>
        <tr r="Q101" s="10"/>
      </tp>
      <tp t="e">
        <v>#N/A</v>
        <stp/>
        <stp>BDH|17461240098332679325</stp>
        <tr r="AN128" s="10"/>
      </tp>
      <tp t="e">
        <v>#N/A</v>
        <stp/>
        <stp>BDH|10171019796262835629</stp>
        <tr r="AO131" s="10"/>
      </tp>
      <tp t="e">
        <v>#N/A</v>
        <stp/>
        <stp>BDH|18234784322923475332</stp>
        <tr r="AI132" s="10"/>
      </tp>
      <tp t="e">
        <v>#N/A</v>
        <stp/>
        <stp>BDH|16183634534157132984</stp>
        <tr r="E74" s="10"/>
      </tp>
      <tp t="e">
        <v>#N/A</v>
        <stp/>
        <stp>BDH|17647788611135608964</stp>
        <tr r="AI5" s="10"/>
      </tp>
      <tp t="e">
        <v>#N/A</v>
        <stp/>
        <stp>BDH|11385657529028873081</stp>
        <tr r="AB49" s="10"/>
      </tp>
      <tp t="e">
        <v>#N/A</v>
        <stp/>
        <stp>BDH|11379480863518082672</stp>
        <tr r="AN65" s="10"/>
      </tp>
      <tp t="e">
        <v>#N/A</v>
        <stp/>
        <stp>BDH|15803968475084020245</stp>
        <tr r="AG37" s="10"/>
      </tp>
      <tp t="e">
        <v>#N/A</v>
        <stp/>
        <stp>BDH|13401616077917520882</stp>
        <tr r="S92" s="10"/>
      </tp>
      <tp t="e">
        <v>#N/A</v>
        <stp/>
        <stp>BDH|11156689586344233622</stp>
        <tr r="T44" s="10"/>
      </tp>
      <tp t="e">
        <v>#N/A</v>
        <stp/>
        <stp>BDH|13860304514378643458</stp>
        <tr r="AS142" s="10"/>
      </tp>
      <tp t="e">
        <v>#N/A</v>
        <stp/>
        <stp>BDH|12827710497910142103</stp>
        <tr r="Z51" s="10"/>
      </tp>
      <tp t="e">
        <v>#N/A</v>
        <stp/>
        <stp>BDH|18333528696058189190</stp>
        <tr r="AL110" s="10"/>
      </tp>
      <tp t="e">
        <v>#N/A</v>
        <stp/>
        <stp>BDH|15940635987182204402</stp>
        <tr r="AB159" s="10"/>
      </tp>
      <tp t="e">
        <v>#N/A</v>
        <stp/>
        <stp>BDH|12861873328770113591</stp>
        <tr r="AF102" s="10"/>
      </tp>
      <tp t="e">
        <v>#N/A</v>
        <stp/>
        <stp>BDH|13862677271719741660</stp>
        <tr r="N129" s="10"/>
      </tp>
      <tp t="e">
        <v>#N/A</v>
        <stp/>
        <stp>BDH|17714794667543404821</stp>
        <tr r="J102" s="10"/>
      </tp>
      <tp t="e">
        <v>#N/A</v>
        <stp/>
        <stp>BDH|17029688950101658818</stp>
        <tr r="AD103" s="10"/>
      </tp>
      <tp t="e">
        <v>#N/A</v>
        <stp/>
        <stp>BDH|14409222797574809661</stp>
        <tr r="N128" s="10"/>
      </tp>
      <tp t="e">
        <v>#N/A</v>
        <stp/>
        <stp>BDH|18295633757701101789</stp>
        <tr r="Z114" s="10"/>
      </tp>
      <tp t="e">
        <v>#N/A</v>
        <stp/>
        <stp>BDH|12357161991900274780</stp>
        <tr r="AJ73" s="10"/>
      </tp>
      <tp t="e">
        <v>#N/A</v>
        <stp/>
        <stp>BDH|10484501256374564994</stp>
        <tr r="S25" s="10"/>
      </tp>
      <tp t="e">
        <v>#N/A</v>
        <stp/>
        <stp>BDH|13862009896151474646</stp>
        <tr r="AR63" s="10"/>
      </tp>
      <tp t="e">
        <v>#N/A</v>
        <stp/>
        <stp>BDH|13580793197841422112</stp>
        <tr r="AB110" s="10"/>
      </tp>
      <tp t="e">
        <v>#N/A</v>
        <stp/>
        <stp>BDH|12385779369787138927</stp>
        <tr r="Q74" s="10"/>
      </tp>
      <tp t="e">
        <v>#N/A</v>
        <stp/>
        <stp>BDH|13308050618488028707</stp>
        <tr r="AH142" s="10"/>
      </tp>
      <tp t="e">
        <v>#N/A</v>
        <stp/>
        <stp>BDH|14629760779639265052</stp>
        <tr r="M175" s="10"/>
      </tp>
      <tp t="e">
        <v>#N/A</v>
        <stp/>
        <stp>BDH|18391309038182698738</stp>
        <tr r="AU191" s="10"/>
      </tp>
      <tp t="e">
        <v>#N/A</v>
        <stp/>
        <stp>BDH|15868475595306126355</stp>
        <tr r="AH128" s="10"/>
      </tp>
      <tp t="e">
        <v>#N/A</v>
        <stp/>
        <stp>BDH|10371516743149807577</stp>
        <tr r="U113" s="10"/>
      </tp>
      <tp t="e">
        <v>#N/A</v>
        <stp/>
        <stp>BDH|12126871750571032382</stp>
        <tr r="AA122" s="10"/>
      </tp>
      <tp t="e">
        <v>#N/A</v>
        <stp/>
        <stp>BDH|13269486293644573727</stp>
        <tr r="Q177" s="10"/>
      </tp>
      <tp t="e">
        <v>#N/A</v>
        <stp/>
        <stp>BDH|15964027002469287158</stp>
        <tr r="X128" s="10"/>
      </tp>
      <tp t="e">
        <v>#N/A</v>
        <stp/>
        <stp>BDH|15412845458310424521</stp>
        <tr r="AB83" s="10"/>
      </tp>
      <tp t="s">
        <v>#N/A Requesting Data...1218748366</v>
        <stp/>
        <stp>BDP|13555853289131399010</stp>
        <tr r="I43" s="1"/>
      </tp>
      <tp t="s">
        <v>#N/A Requesting Data...1590648360</v>
        <stp/>
        <stp>BDP|14935450544401094776</stp>
        <tr r="D52" s="6"/>
        <tr r="H42" s="1"/>
      </tp>
      <tp t="s">
        <v>#N/A Requesting Data...2950433472</v>
        <stp/>
        <stp>BDP|10202917398937308598</stp>
        <tr r="O46" s="1"/>
      </tp>
      <tp t="s">
        <v>#N/A Requesting Data...2013609555</v>
        <stp/>
        <stp>BDP|16996207712414902327</stp>
        <tr r="D12" s="6"/>
        <tr r="H7" s="1"/>
      </tp>
      <tp t="s">
        <v>#N/A Requesting Data...1447918083</v>
        <stp/>
        <stp>BDP|12099556252300639028</stp>
        <tr r="B13" s="6"/>
        <tr r="E8" s="1"/>
        <tr r="H13" s="2"/>
      </tp>
      <tp t="s">
        <v>#N/A Requesting Data...918318620</v>
        <stp/>
        <stp>BDP|17847561678182236568</stp>
        <tr r="F36" s="2"/>
        <tr r="F38" s="2"/>
        <tr r="F39" s="2"/>
        <tr r="F90" s="2"/>
      </tp>
      <tp t="s">
        <v>#N/A Requesting Data...2000704066</v>
        <stp/>
        <stp>BDP|17558917292397896298</stp>
        <tr r="I42" s="1"/>
      </tp>
      <tp t="s">
        <v>#N/A Requesting Data...816746151</v>
        <stp/>
        <stp>BDP|12767733006306321160</stp>
        <tr r="D4" s="6"/>
        <tr r="H3" s="1"/>
      </tp>
      <tp t="e">
        <v>#N/A</v>
        <stp/>
        <stp>BDH|16780500906241212020</stp>
        <tr r="AR91" s="10"/>
      </tp>
      <tp t="e">
        <v>#N/A</v>
        <stp/>
        <stp>BDH|11652380720986964461</stp>
        <tr r="AT55" s="10"/>
      </tp>
      <tp t="e">
        <v>#N/A</v>
        <stp/>
        <stp>BDH|17414385319354144358</stp>
        <tr r="AO180" s="10"/>
      </tp>
      <tp t="e">
        <v>#N/A</v>
        <stp/>
        <stp>BDH|13012239013977596543</stp>
        <tr r="F73" s="10"/>
      </tp>
      <tp t="e">
        <v>#N/A</v>
        <stp/>
        <stp>BDH|16698452800158738856</stp>
        <tr r="O97" s="10"/>
      </tp>
      <tp t="e">
        <v>#N/A</v>
        <stp/>
        <stp>BDH|12184230647883376579</stp>
        <tr r="Y187" s="10"/>
      </tp>
      <tp t="e">
        <v>#N/A</v>
        <stp/>
        <stp>BDH|11021781828036970089</stp>
        <tr r="S51" s="10"/>
      </tp>
      <tp t="e">
        <v>#N/A</v>
        <stp/>
        <stp>BDH|16386595019318237800</stp>
        <tr r="L97" s="10"/>
      </tp>
      <tp t="e">
        <v>#N/A</v>
        <stp/>
        <stp>BDH|14396717870720492672</stp>
        <tr r="AG130" s="10"/>
      </tp>
      <tp t="e">
        <v>#N/A</v>
        <stp/>
        <stp>BDH|16384250913697343078</stp>
        <tr r="AS4" s="10"/>
      </tp>
      <tp t="e">
        <v>#N/A</v>
        <stp/>
        <stp>BDH|12172532926624309363</stp>
        <tr r="AG113" s="10"/>
      </tp>
      <tp t="e">
        <v>#N/A</v>
        <stp/>
        <stp>BDH|15026545245791810786</stp>
        <tr r="AR11" s="10"/>
      </tp>
      <tp t="e">
        <v>#N/A</v>
        <stp/>
        <stp>BDH|16522799640816866153</stp>
        <tr r="AJ193" s="10"/>
      </tp>
      <tp t="e">
        <v>#N/A</v>
        <stp/>
        <stp>BDH|16788719361826681304</stp>
        <tr r="AH175" s="10"/>
      </tp>
      <tp t="e">
        <v>#N/A</v>
        <stp/>
        <stp>BDH|13615783539335235047</stp>
        <tr r="G36" s="10"/>
      </tp>
      <tp t="e">
        <v>#N/A</v>
        <stp/>
        <stp>BDH|12585073045500392453</stp>
        <tr r="AB134" s="10"/>
      </tp>
      <tp t="e">
        <v>#N/A</v>
        <stp/>
        <stp>BDH|12995132779905002339</stp>
        <tr r="N23" s="10"/>
      </tp>
      <tp t="e">
        <v>#N/A</v>
        <stp/>
        <stp>BDH|10617681698649197474</stp>
        <tr r="AJ3" s="10"/>
      </tp>
      <tp t="e">
        <v>#N/A</v>
        <stp/>
        <stp>BDH|11349572360885082548</stp>
        <tr r="L151" s="10"/>
      </tp>
      <tp t="e">
        <v>#N/A</v>
        <stp/>
        <stp>BDH|16876586187830059971</stp>
        <tr r="K129" s="10"/>
      </tp>
      <tp t="e">
        <v>#N/A</v>
        <stp/>
        <stp>BDH|12238254029668745897</stp>
        <tr r="T65" s="10"/>
      </tp>
      <tp t="e">
        <v>#N/A</v>
        <stp/>
        <stp>BDH|14027146616386248001</stp>
        <tr r="C36" s="10"/>
      </tp>
      <tp t="e">
        <v>#N/A</v>
        <stp/>
        <stp>BDH|14792119011422228451</stp>
        <tr r="AS51" s="10"/>
      </tp>
      <tp t="e">
        <v>#N/A</v>
        <stp/>
        <stp>BDH|18416714133008770615</stp>
        <tr r="AE16" s="10"/>
      </tp>
      <tp t="e">
        <v>#N/A</v>
        <stp/>
        <stp>BDH|17069178217447247228</stp>
        <tr r="E118" s="10"/>
      </tp>
      <tp t="e">
        <v>#N/A</v>
        <stp/>
        <stp>BDH|13438251830088253831</stp>
        <tr r="AJ90" s="10"/>
      </tp>
      <tp t="e">
        <v>#N/A</v>
        <stp/>
        <stp>BDH|12563827649528632481</stp>
        <tr r="D123" s="10"/>
      </tp>
      <tp t="e">
        <v>#N/A</v>
        <stp/>
        <stp>BDH|11191807545668084745</stp>
        <tr r="AT107" s="10"/>
      </tp>
      <tp t="e">
        <v>#N/A</v>
        <stp/>
        <stp>BDH|16672286092768957756</stp>
        <tr r="M139" s="10"/>
      </tp>
      <tp t="e">
        <v>#N/A</v>
        <stp/>
        <stp>BDH|17217961649841888954</stp>
        <tr r="C191" s="10"/>
      </tp>
      <tp t="e">
        <v>#N/A</v>
        <stp/>
        <stp>BDH|16254244394518729752</stp>
        <tr r="AV33" s="10"/>
      </tp>
      <tp t="e">
        <v>#N/A</v>
        <stp/>
        <stp>BDH|17820298522791950493</stp>
        <tr r="AH176" s="10"/>
      </tp>
      <tp t="e">
        <v>#N/A</v>
        <stp/>
        <stp>BDH|10607423065343527378</stp>
        <tr r="AK91" s="10"/>
      </tp>
      <tp t="e">
        <v>#N/A</v>
        <stp/>
        <stp>BDH|12656725392918541604</stp>
        <tr r="M65" s="10"/>
      </tp>
      <tp t="e">
        <v>#N/A</v>
        <stp/>
        <stp>BDH|14128289706161539590</stp>
        <tr r="AT187" s="10"/>
      </tp>
      <tp t="e">
        <v>#N/A</v>
        <stp/>
        <stp>BDH|10619559650660127214</stp>
        <tr r="W119" s="10"/>
      </tp>
      <tp t="e">
        <v>#N/A</v>
        <stp/>
        <stp>BDH|11974665646101281083</stp>
        <tr r="F19" s="10"/>
      </tp>
      <tp t="e">
        <v>#N/A</v>
        <stp/>
        <stp>BDH|17822175546130882020</stp>
        <tr r="AJ111" s="10"/>
      </tp>
      <tp t="e">
        <v>#N/A</v>
        <stp/>
        <stp>BDH|10895177017162358087</stp>
        <tr r="P64" s="10"/>
      </tp>
      <tp t="e">
        <v>#N/A</v>
        <stp/>
        <stp>BDH|11385230684738625110</stp>
        <tr r="AN32" s="10"/>
      </tp>
      <tp t="e">
        <v>#N/A</v>
        <stp/>
        <stp>BDH|13429909985416438660</stp>
        <tr r="I98" s="10"/>
      </tp>
      <tp t="e">
        <v>#N/A</v>
        <stp/>
        <stp>BDH|16934169918380561413</stp>
        <tr r="T92" s="10"/>
      </tp>
      <tp t="e">
        <v>#N/A</v>
        <stp/>
        <stp>BDH|14374312560115680670</stp>
        <tr r="Q96" s="10"/>
      </tp>
      <tp t="e">
        <v>#N/A</v>
        <stp/>
        <stp>BDH|17003620605093064045</stp>
        <tr r="S30" s="10"/>
      </tp>
      <tp t="e">
        <v>#N/A</v>
        <stp/>
        <stp>BDH|14684250833893238411</stp>
        <tr r="AB53" s="10"/>
      </tp>
      <tp t="e">
        <v>#N/A</v>
        <stp/>
        <stp>BDH|14692209945731135116</stp>
        <tr r="T86" s="10"/>
      </tp>
      <tp t="e">
        <v>#N/A</v>
        <stp/>
        <stp>BDH|16771406921127227573</stp>
        <tr r="AS121" s="10"/>
      </tp>
      <tp t="e">
        <v>#N/A</v>
        <stp/>
        <stp>BDH|14157127365704338567</stp>
        <tr r="AV30" s="10"/>
      </tp>
      <tp t="e">
        <v>#N/A</v>
        <stp/>
        <stp>BDH|16659522809446749796</stp>
        <tr r="H99" s="10"/>
      </tp>
      <tp t="e">
        <v>#N/A</v>
        <stp/>
        <stp>BDH|14098228901592417644</stp>
        <tr r="T159" s="10"/>
      </tp>
      <tp t="e">
        <v>#N/A</v>
        <stp/>
        <stp>BDH|12806260659252408502</stp>
        <tr r="AJ146" s="10"/>
      </tp>
      <tp t="e">
        <v>#N/A</v>
        <stp/>
        <stp>BDH|10028122267793223645</stp>
        <tr r="I41" s="10"/>
      </tp>
      <tp t="e">
        <v>#N/A</v>
        <stp/>
        <stp>BDH|12105770607334430360</stp>
        <tr r="AL16" s="10"/>
      </tp>
      <tp t="e">
        <v>#N/A</v>
        <stp/>
        <stp>BDH|14834434068146269227</stp>
        <tr r="L51" s="10"/>
      </tp>
      <tp t="e">
        <v>#N/A</v>
        <stp/>
        <stp>BDH|14331883699733329423</stp>
        <tr r="AK14" s="10"/>
      </tp>
      <tp t="e">
        <v>#N/A</v>
        <stp/>
        <stp>BDH|10869333939745469751</stp>
        <tr r="X30" s="10"/>
      </tp>
      <tp t="e">
        <v>#N/A</v>
        <stp/>
        <stp>BDH|11312841278584574896</stp>
        <tr r="AN168" s="10"/>
      </tp>
      <tp t="e">
        <v>#N/A</v>
        <stp/>
        <stp>BDH|14607563673992370639</stp>
        <tr r="AG89" s="10"/>
      </tp>
      <tp t="e">
        <v>#N/A</v>
        <stp/>
        <stp>BDH|17501175245433074342</stp>
        <tr r="AP42" s="10"/>
      </tp>
      <tp t="e">
        <v>#N/A</v>
        <stp/>
        <stp>BDH|11774173832885615479</stp>
        <tr r="AN79" s="10"/>
      </tp>
      <tp t="e">
        <v>#N/A</v>
        <stp/>
        <stp>BDH|16197071368766979453</stp>
        <tr r="AK80" s="10"/>
      </tp>
      <tp t="e">
        <v>#N/A</v>
        <stp/>
        <stp>BDH|10121160144947264036</stp>
        <tr r="AC25" s="10"/>
      </tp>
      <tp t="e">
        <v>#N/A</v>
        <stp/>
        <stp>BDH|13124347476245384025</stp>
        <tr r="D172" s="10"/>
      </tp>
      <tp t="e">
        <v>#N/A</v>
        <stp/>
        <stp>BDH|11212939275054012960</stp>
        <tr r="AB97" s="10"/>
      </tp>
      <tp t="e">
        <v>#N/A</v>
        <stp/>
        <stp>BDH|17170168124344904284</stp>
        <tr r="AT128" s="10"/>
      </tp>
      <tp t="e">
        <v>#N/A</v>
        <stp/>
        <stp>BDH|12092523270977697562</stp>
        <tr r="K57" s="10"/>
      </tp>
      <tp t="e">
        <v>#N/A</v>
        <stp/>
        <stp>BDH|12439019724096111424</stp>
        <tr r="AT189" s="10"/>
      </tp>
      <tp t="e">
        <v>#N/A</v>
        <stp/>
        <stp>BDH|11483286398529179172</stp>
        <tr r="AP100" s="10"/>
      </tp>
      <tp t="e">
        <v>#N/A</v>
        <stp/>
        <stp>BDH|11219468169360949160</stp>
        <tr r="K165" s="10"/>
      </tp>
      <tp t="e">
        <v>#N/A</v>
        <stp/>
        <stp>BDH|13025754014815665256</stp>
        <tr r="M110" s="10"/>
      </tp>
      <tp t="e">
        <v>#N/A</v>
        <stp/>
        <stp>BDH|10241081835046412799</stp>
        <tr r="O75" s="10"/>
      </tp>
      <tp t="e">
        <v>#N/A</v>
        <stp/>
        <stp>BDH|13798963692274913584</stp>
        <tr r="N190" s="10"/>
      </tp>
      <tp t="e">
        <v>#N/A</v>
        <stp/>
        <stp>BDH|16856479266527820136</stp>
        <tr r="AQ189" s="10"/>
      </tp>
      <tp t="e">
        <v>#N/A</v>
        <stp/>
        <stp>BDH|10485351557352362670</stp>
        <tr r="F66" s="10"/>
      </tp>
      <tp t="e">
        <v>#N/A</v>
        <stp/>
        <stp>BDH|14267340140362201369</stp>
        <tr r="AI117" s="10"/>
      </tp>
      <tp t="e">
        <v>#N/A</v>
        <stp/>
        <stp>BDH|15001473552207469134</stp>
        <tr r="AQ191" s="10"/>
      </tp>
      <tp t="e">
        <v>#N/A</v>
        <stp/>
        <stp>BDH|14255727177346142046</stp>
        <tr r="AR105" s="10"/>
      </tp>
      <tp t="e">
        <v>#N/A</v>
        <stp/>
        <stp>BDH|14120520077035522131</stp>
        <tr r="AH9" s="10"/>
      </tp>
      <tp t="e">
        <v>#N/A</v>
        <stp/>
        <stp>BDH|18103721656358411032</stp>
        <tr r="Q65" s="10"/>
      </tp>
      <tp t="e">
        <v>#N/A</v>
        <stp/>
        <stp>BDH|11548342510959269819</stp>
        <tr r="AQ72" s="10"/>
      </tp>
      <tp t="e">
        <v>#N/A</v>
        <stp/>
        <stp>BDH|17794552076614197374</stp>
        <tr r="AE86" s="10"/>
      </tp>
      <tp t="e">
        <v>#N/A</v>
        <stp/>
        <stp>BDH|16669341614657554113</stp>
        <tr r="AD40" s="10"/>
      </tp>
      <tp t="e">
        <v>#N/A</v>
        <stp/>
        <stp>BDH|10646630208260863476</stp>
        <tr r="AB106" s="10"/>
      </tp>
      <tp t="e">
        <v>#N/A</v>
        <stp/>
        <stp>BDH|11131442452224429614</stp>
        <tr r="P22" s="10"/>
      </tp>
      <tp t="e">
        <v>#N/A</v>
        <stp/>
        <stp>BDH|15939463138536618630</stp>
        <tr r="AG140" s="10"/>
      </tp>
      <tp t="e">
        <v>#N/A</v>
        <stp/>
        <stp>BDH|15054390629981639734</stp>
        <tr r="R83" s="10"/>
      </tp>
      <tp t="e">
        <v>#N/A</v>
        <stp/>
        <stp>BDH|11388452873346619662</stp>
        <tr r="AJ191" s="10"/>
      </tp>
      <tp t="e">
        <v>#N/A</v>
        <stp/>
        <stp>BDH|10877743654412821258</stp>
        <tr r="AH103" s="10"/>
      </tp>
      <tp t="e">
        <v>#N/A</v>
        <stp/>
        <stp>BDH|11729972570264223978</stp>
        <tr r="Q178" s="10"/>
      </tp>
      <tp t="e">
        <v>#N/A</v>
        <stp/>
        <stp>BDH|12640089197259847044</stp>
        <tr r="S58" s="10"/>
      </tp>
      <tp t="e">
        <v>#N/A</v>
        <stp/>
        <stp>BDH|16662145123365298267</stp>
        <tr r="AM34" s="10"/>
      </tp>
      <tp t="e">
        <v>#N/A</v>
        <stp/>
        <stp>BDH|10326068131147244632</stp>
        <tr r="K158" s="10"/>
      </tp>
      <tp t="e">
        <v>#N/A</v>
        <stp/>
        <stp>BDH|15334875027458569538</stp>
        <tr r="K116" s="10"/>
      </tp>
      <tp t="e">
        <v>#N/A</v>
        <stp/>
        <stp>BDH|14692888358932403974</stp>
        <tr r="H177" s="10"/>
      </tp>
      <tp t="e">
        <v>#N/A</v>
        <stp/>
        <stp>BDH|11710851700592143963</stp>
        <tr r="AU21" s="10"/>
      </tp>
      <tp t="e">
        <v>#N/A</v>
        <stp/>
        <stp>BDH|15830261500501271491</stp>
        <tr r="Y94" s="10"/>
      </tp>
      <tp t="e">
        <v>#N/A</v>
        <stp/>
        <stp>BDH|10419393439237905580</stp>
        <tr r="AN150" s="10"/>
      </tp>
      <tp t="e">
        <v>#N/A</v>
        <stp/>
        <stp>BDH|16515686122920994037</stp>
        <tr r="AH11" s="10"/>
      </tp>
      <tp t="e">
        <v>#N/A</v>
        <stp/>
        <stp>BDH|10877573384336661986</stp>
        <tr r="AQ70" s="10"/>
      </tp>
      <tp t="e">
        <v>#N/A</v>
        <stp/>
        <stp>BDH|11554672242320742127</stp>
        <tr r="L69" s="10"/>
      </tp>
      <tp t="e">
        <v>#N/A</v>
        <stp/>
        <stp>BDH|12165853667879395753</stp>
        <tr r="AU172" s="10"/>
      </tp>
      <tp t="e">
        <v>#N/A</v>
        <stp/>
        <stp>BDH|13529731276588132942</stp>
        <tr r="P12" s="10"/>
      </tp>
      <tp t="e">
        <v>#N/A</v>
        <stp/>
        <stp>BDH|15589794154620980544</stp>
        <tr r="AV24" s="10"/>
      </tp>
      <tp t="e">
        <v>#N/A</v>
        <stp/>
        <stp>BDH|10246128783338394350</stp>
        <tr r="V149" s="10"/>
      </tp>
      <tp t="e">
        <v>#N/A</v>
        <stp/>
        <stp>BDH|17581641920600536119</stp>
        <tr r="AW73" s="10"/>
      </tp>
      <tp t="e">
        <v>#N/A</v>
        <stp/>
        <stp>BDH|12678733690078963696</stp>
        <tr r="L8" s="10"/>
      </tp>
      <tp t="e">
        <v>#N/A</v>
        <stp/>
        <stp>BDH|12115866494795133468</stp>
        <tr r="R75" s="10"/>
      </tp>
      <tp t="e">
        <v>#N/A</v>
        <stp/>
        <stp>BDH|17501040955863977395</stp>
        <tr r="Y92" s="10"/>
      </tp>
      <tp t="e">
        <v>#N/A</v>
        <stp/>
        <stp>BDH|18194655920758081609</stp>
        <tr r="AP172" s="10"/>
      </tp>
      <tp t="e">
        <v>#N/A</v>
        <stp/>
        <stp>BDH|17097371360995438578</stp>
        <tr r="H4" s="10"/>
      </tp>
      <tp t="e">
        <v>#N/A</v>
        <stp/>
        <stp>BDH|15635960647968287218</stp>
        <tr r="AA55" s="10"/>
      </tp>
      <tp t="e">
        <v>#N/A</v>
        <stp/>
        <stp>BDH|16565199698164977896</stp>
        <tr r="K118" s="10"/>
      </tp>
      <tp t="e">
        <v>#N/A</v>
        <stp/>
        <stp>BDH|12212150432737984580</stp>
        <tr r="AO59" s="10"/>
      </tp>
      <tp t="e">
        <v>#N/A</v>
        <stp/>
        <stp>BDH|12005828747589860596</stp>
        <tr r="X8" s="10"/>
      </tp>
      <tp t="e">
        <v>#N/A</v>
        <stp/>
        <stp>BDH|13007100194289879088</stp>
        <tr r="AG79" s="10"/>
      </tp>
      <tp t="e">
        <v>#N/A</v>
        <stp/>
        <stp>BDH|11150346423162671048</stp>
        <tr r="U170" s="10"/>
      </tp>
      <tp t="e">
        <v>#N/A</v>
        <stp/>
        <stp>BDH|17040088963381749287</stp>
        <tr r="F88" s="10"/>
      </tp>
      <tp t="e">
        <v>#N/A</v>
        <stp/>
        <stp>BDH|10411302340026927393</stp>
        <tr r="AM116" s="10"/>
      </tp>
      <tp t="e">
        <v>#N/A</v>
        <stp/>
        <stp>BDH|12441609166988516834</stp>
        <tr r="N55" s="10"/>
      </tp>
      <tp t="e">
        <v>#N/A</v>
        <stp/>
        <stp>BDH|11603556971071256042</stp>
        <tr r="AA185" s="10"/>
      </tp>
      <tp t="e">
        <v>#N/A</v>
        <stp/>
        <stp>BDH|11332742352644323525</stp>
        <tr r="F160" s="10"/>
      </tp>
      <tp t="e">
        <v>#N/A</v>
        <stp/>
        <stp>BDH|17703041241510467125</stp>
        <tr r="D193" s="10"/>
      </tp>
      <tp t="e">
        <v>#N/A</v>
        <stp/>
        <stp>BDH|12847426244408844825</stp>
        <tr r="AO67" s="10"/>
      </tp>
      <tp t="e">
        <v>#N/A</v>
        <stp/>
        <stp>BDH|11713130466762388658</stp>
        <tr r="AB162" s="10"/>
      </tp>
      <tp t="e">
        <v>#N/A</v>
        <stp/>
        <stp>BDH|14896770448866672353</stp>
        <tr r="F193" s="10"/>
      </tp>
      <tp t="e">
        <v>#N/A</v>
        <stp/>
        <stp>BDH|13088590388448314456</stp>
        <tr r="N22" s="10"/>
      </tp>
      <tp t="e">
        <v>#N/A</v>
        <stp/>
        <stp>BDH|16920442879484072338</stp>
        <tr r="P60" s="10"/>
      </tp>
      <tp t="e">
        <v>#N/A</v>
        <stp/>
        <stp>BDH|10140943444587281840</stp>
        <tr r="AD45" s="10"/>
      </tp>
      <tp t="e">
        <v>#N/A</v>
        <stp/>
        <stp>BDH|16105376617716632008</stp>
        <tr r="H20" s="10"/>
      </tp>
      <tp t="e">
        <v>#N/A</v>
        <stp/>
        <stp>BDH|15437929843179042326</stp>
        <tr r="W70" s="10"/>
      </tp>
      <tp t="e">
        <v>#N/A</v>
        <stp/>
        <stp>BDH|18386970755401074762</stp>
        <tr r="AC43" s="10"/>
      </tp>
      <tp t="e">
        <v>#N/A</v>
        <stp/>
        <stp>BDH|14726748403580510121</stp>
        <tr r="AV102" s="10"/>
      </tp>
      <tp t="e">
        <v>#N/A</v>
        <stp/>
        <stp>BDH|16239062868764815638</stp>
        <tr r="H19" s="10"/>
      </tp>
      <tp t="e">
        <v>#N/A</v>
        <stp/>
        <stp>BDH|11981017006004974706</stp>
        <tr r="AG97" s="10"/>
      </tp>
      <tp t="e">
        <v>#N/A</v>
        <stp/>
        <stp>BDH|10194076750045450254</stp>
        <tr r="AQ86" s="10"/>
      </tp>
      <tp t="e">
        <v>#N/A</v>
        <stp/>
        <stp>BDH|12976270423255890520</stp>
        <tr r="Y87" s="10"/>
      </tp>
      <tp t="e">
        <v>#N/A</v>
        <stp/>
        <stp>BDH|15512517471247679241</stp>
        <tr r="AM22" s="10"/>
      </tp>
      <tp t="e">
        <v>#N/A</v>
        <stp/>
        <stp>BDH|13125214991328728216</stp>
        <tr r="AI154" s="10"/>
      </tp>
      <tp t="e">
        <v>#N/A</v>
        <stp/>
        <stp>BDH|12681532346744587514</stp>
        <tr r="AD4" s="10"/>
      </tp>
      <tp t="e">
        <v>#N/A</v>
        <stp/>
        <stp>BDH|17667918972888247303</stp>
        <tr r="K103" s="10"/>
      </tp>
      <tp t="e">
        <v>#N/A</v>
        <stp/>
        <stp>BDH|12156529816836416265</stp>
        <tr r="T129" s="10"/>
      </tp>
      <tp t="e">
        <v>#N/A</v>
        <stp/>
        <stp>BDH|11471418814601590737</stp>
        <tr r="T187" s="10"/>
      </tp>
      <tp t="e">
        <v>#N/A</v>
        <stp/>
        <stp>BDH|17252771462490234424</stp>
        <tr r="J103" s="10"/>
      </tp>
      <tp t="e">
        <v>#N/A</v>
        <stp/>
        <stp>BDH|12486547706547091214</stp>
        <tr r="AI62" s="10"/>
      </tp>
      <tp t="e">
        <v>#N/A</v>
        <stp/>
        <stp>BDH|16406719630837232704</stp>
        <tr r="G144" s="10"/>
      </tp>
      <tp t="e">
        <v>#N/A</v>
        <stp/>
        <stp>BDH|13960712127255909113</stp>
        <tr r="AI116" s="10"/>
      </tp>
      <tp t="e">
        <v>#N/A</v>
        <stp/>
        <stp>BDH|15572338747964560435</stp>
        <tr r="AG61" s="10"/>
      </tp>
      <tp t="e">
        <v>#N/A</v>
        <stp/>
        <stp>BDH|17691030149302964328</stp>
        <tr r="AK66" s="10"/>
      </tp>
      <tp t="e">
        <v>#N/A</v>
        <stp/>
        <stp>BDH|11940263009321115001</stp>
        <tr r="Z132" s="10"/>
      </tp>
      <tp t="e">
        <v>#N/A</v>
        <stp/>
        <stp>BDH|14875781164165712242</stp>
        <tr r="T40" s="10"/>
      </tp>
      <tp t="e">
        <v>#N/A</v>
        <stp/>
        <stp>BDH|15359456610885877798</stp>
        <tr r="L20" s="10"/>
      </tp>
      <tp t="e">
        <v>#N/A</v>
        <stp/>
        <stp>BDH|12822510206454984105</stp>
        <tr r="AQ163" s="10"/>
      </tp>
      <tp t="e">
        <v>#N/A</v>
        <stp/>
        <stp>BDH|17649033217803579712</stp>
        <tr r="O136" s="10"/>
      </tp>
      <tp t="e">
        <v>#N/A</v>
        <stp/>
        <stp>BDH|11177111260987425324</stp>
        <tr r="AH47" s="10"/>
      </tp>
      <tp t="e">
        <v>#N/A</v>
        <stp/>
        <stp>BDH|12769023452964523146</stp>
        <tr r="AS116" s="10"/>
      </tp>
      <tp t="e">
        <v>#N/A</v>
        <stp/>
        <stp>BDH|13277925835059788242</stp>
        <tr r="AV100" s="10"/>
      </tp>
      <tp t="e">
        <v>#N/A</v>
        <stp/>
        <stp>BDH|17552531412464665545</stp>
        <tr r="AN35" s="10"/>
      </tp>
      <tp t="e">
        <v>#N/A</v>
        <stp/>
        <stp>BDH|15268561933013649271</stp>
        <tr r="AN13" s="10"/>
      </tp>
      <tp t="e">
        <v>#N/A</v>
        <stp/>
        <stp>BDH|12636424248311838126</stp>
        <tr r="W40" s="10"/>
      </tp>
      <tp t="e">
        <v>#N/A</v>
        <stp/>
        <stp>BDH|13575637195649514706</stp>
        <tr r="C178" s="10"/>
      </tp>
      <tp t="e">
        <v>#N/A</v>
        <stp/>
        <stp>BDH|17248779568810842431</stp>
        <tr r="V157" s="10"/>
      </tp>
      <tp t="e">
        <v>#N/A</v>
        <stp/>
        <stp>BDH|10707395434293843143</stp>
        <tr r="F172" s="10"/>
      </tp>
      <tp t="e">
        <v>#N/A</v>
        <stp/>
        <stp>BDH|17088221844821926294</stp>
        <tr r="AS167" s="10"/>
      </tp>
      <tp t="e">
        <v>#N/A</v>
        <stp/>
        <stp>BDH|10010139645775748280</stp>
        <tr r="E90" s="10"/>
      </tp>
      <tp t="e">
        <v>#N/A</v>
        <stp/>
        <stp>BDH|12992500221192859597</stp>
        <tr r="M188" s="10"/>
      </tp>
      <tp t="e">
        <v>#N/A</v>
        <stp/>
        <stp>BDH|17499393541146657436</stp>
        <tr r="H29" s="10"/>
      </tp>
      <tp t="e">
        <v>#N/A</v>
        <stp/>
        <stp>BDH|10650491900441592737</stp>
        <tr r="H36" s="10"/>
      </tp>
      <tp t="e">
        <v>#N/A</v>
        <stp/>
        <stp>BDH|14623186538362990660</stp>
        <tr r="G167" s="10"/>
      </tp>
      <tp t="e">
        <v>#N/A</v>
        <stp/>
        <stp>BDH|18284766535919132799</stp>
        <tr r="AA39" s="10"/>
      </tp>
      <tp t="e">
        <v>#N/A</v>
        <stp/>
        <stp>BDH|10431384407630017123</stp>
        <tr r="E123" s="10"/>
      </tp>
      <tp t="e">
        <v>#N/A</v>
        <stp/>
        <stp>BDH|15849247533616265042</stp>
        <tr r="X121" s="10"/>
      </tp>
      <tp t="e">
        <v>#N/A</v>
        <stp/>
        <stp>BDH|10691687451863339255</stp>
        <tr r="AK174" s="10"/>
      </tp>
      <tp t="e">
        <v>#N/A</v>
        <stp/>
        <stp>BDH|13235338553151282692</stp>
        <tr r="AQ91" s="10"/>
      </tp>
      <tp t="e">
        <v>#N/A</v>
        <stp/>
        <stp>BDH|13077472612046851247</stp>
        <tr r="X7" s="10"/>
      </tp>
      <tp t="e">
        <v>#N/A</v>
        <stp/>
        <stp>BDH|14717710115277320796</stp>
        <tr r="AP71" s="10"/>
      </tp>
      <tp t="e">
        <v>#N/A</v>
        <stp/>
        <stp>BDH|13927767544610553273</stp>
        <tr r="AJ76" s="10"/>
      </tp>
      <tp t="e">
        <v>#N/A</v>
        <stp/>
        <stp>BDH|10468114378024573011</stp>
        <tr r="R140" s="10"/>
      </tp>
      <tp t="e">
        <v>#N/A</v>
        <stp/>
        <stp>BDH|15636351779854396707</stp>
        <tr r="O161" s="10"/>
      </tp>
      <tp t="e">
        <v>#N/A</v>
        <stp/>
        <stp>BDH|11672125569987199349</stp>
        <tr r="O83" s="10"/>
      </tp>
      <tp t="e">
        <v>#N/A</v>
        <stp/>
        <stp>BDH|10908873341437298955</stp>
        <tr r="AV60" s="10"/>
      </tp>
      <tp t="e">
        <v>#N/A</v>
        <stp/>
        <stp>BDH|17618536926926210494</stp>
        <tr r="H142" s="10"/>
      </tp>
      <tp t="e">
        <v>#N/A</v>
        <stp/>
        <stp>BDH|14853670460896235054</stp>
        <tr r="AV21" s="10"/>
      </tp>
      <tp t="e">
        <v>#N/A</v>
        <stp/>
        <stp>BDH|13861819618418940005</stp>
        <tr r="L74" s="10"/>
      </tp>
      <tp t="e">
        <v>#N/A</v>
        <stp/>
        <stp>BDH|14224693900858564860</stp>
        <tr r="E85" s="10"/>
      </tp>
      <tp t="e">
        <v>#N/A</v>
        <stp/>
        <stp>BDH|17806621732393688365</stp>
        <tr r="AV20" s="10"/>
      </tp>
      <tp t="e">
        <v>#N/A</v>
        <stp/>
        <stp>BDH|11072583032403225601</stp>
        <tr r="F103" s="10"/>
      </tp>
      <tp t="e">
        <v>#N/A</v>
        <stp/>
        <stp>BDH|17435384627215562160</stp>
        <tr r="S10" s="10"/>
      </tp>
      <tp t="e">
        <v>#N/A</v>
        <stp/>
        <stp>BDH|18369328269096248928</stp>
        <tr r="AO12" s="10"/>
      </tp>
      <tp t="e">
        <v>#N/A</v>
        <stp/>
        <stp>BDH|12289639476506616794</stp>
        <tr r="G174" s="10"/>
      </tp>
      <tp t="e">
        <v>#N/A</v>
        <stp/>
        <stp>BDH|14235753046300932501</stp>
        <tr r="I176" s="10"/>
      </tp>
      <tp t="e">
        <v>#N/A</v>
        <stp/>
        <stp>BDH|17886792306256780480</stp>
        <tr r="L34" s="10"/>
      </tp>
      <tp t="e">
        <v>#N/A</v>
        <stp/>
        <stp>BDH|16505491660757713130</stp>
        <tr r="G184" s="10"/>
      </tp>
      <tp t="e">
        <v>#N/A</v>
        <stp/>
        <stp>BDH|13440228728025608408</stp>
        <tr r="O125" s="10"/>
      </tp>
      <tp t="e">
        <v>#N/A</v>
        <stp/>
        <stp>BDH|13633757748891535354</stp>
        <tr r="R142" s="10"/>
      </tp>
      <tp t="e">
        <v>#N/A</v>
        <stp/>
        <stp>BDH|15807378587755142920</stp>
        <tr r="AN109" s="10"/>
      </tp>
      <tp t="e">
        <v>#N/A</v>
        <stp/>
        <stp>BDH|12191757172753972345</stp>
        <tr r="AR103" s="10"/>
      </tp>
      <tp t="e">
        <v>#N/A</v>
        <stp/>
        <stp>BDH|17355864775763211998</stp>
        <tr r="AQ81" s="10"/>
      </tp>
      <tp t="e">
        <v>#N/A</v>
        <stp/>
        <stp>BDH|10214428607643451585</stp>
        <tr r="V183" s="10"/>
      </tp>
      <tp t="e">
        <v>#N/A</v>
        <stp/>
        <stp>BDH|18217956809257182443</stp>
        <tr r="Q106" s="10"/>
      </tp>
      <tp t="e">
        <v>#N/A</v>
        <stp/>
        <stp>BDH|10728091554723017418</stp>
        <tr r="AL177" s="10"/>
      </tp>
      <tp t="e">
        <v>#N/A</v>
        <stp/>
        <stp>BDH|16495546110642319284</stp>
        <tr r="Q169" s="10"/>
      </tp>
      <tp t="e">
        <v>#N/A</v>
        <stp/>
        <stp>BDH|17279487127684031769</stp>
        <tr r="AK41" s="10"/>
      </tp>
      <tp t="e">
        <v>#N/A</v>
        <stp/>
        <stp>BDH|13786514491754598991</stp>
        <tr r="X68" s="10"/>
      </tp>
      <tp t="e">
        <v>#N/A</v>
        <stp/>
        <stp>BDH|12092148032423572181</stp>
        <tr r="O148" s="10"/>
      </tp>
      <tp t="e">
        <v>#N/A</v>
        <stp/>
        <stp>BDH|14772719257382997635</stp>
        <tr r="Q100" s="10"/>
      </tp>
      <tp t="e">
        <v>#N/A</v>
        <stp/>
        <stp>BDH|14885125207885757210</stp>
        <tr r="S165" s="10"/>
      </tp>
      <tp t="e">
        <v>#N/A</v>
        <stp/>
        <stp>BDH|16931594168357466075</stp>
        <tr r="H33" s="10"/>
      </tp>
      <tp t="e">
        <v>#N/A</v>
        <stp/>
        <stp>BDH|15017337516196820363</stp>
        <tr r="Q39" s="10"/>
      </tp>
      <tp t="e">
        <v>#N/A</v>
        <stp/>
        <stp>BDH|11274610414387878359</stp>
        <tr r="AA79" s="10"/>
      </tp>
      <tp t="e">
        <v>#N/A</v>
        <stp/>
        <stp>BDH|11917025925845525416</stp>
        <tr r="Z32" s="10"/>
      </tp>
      <tp t="e">
        <v>#N/A</v>
        <stp/>
        <stp>BDH|11319136333827038694</stp>
        <tr r="R183" s="10"/>
      </tp>
      <tp t="e">
        <v>#N/A</v>
        <stp/>
        <stp>BDH|10155359479805428339</stp>
        <tr r="U93" s="10"/>
      </tp>
      <tp t="e">
        <v>#N/A</v>
        <stp/>
        <stp>BDH|10632265634750763399</stp>
        <tr r="O101" s="10"/>
      </tp>
      <tp t="e">
        <v>#N/A</v>
        <stp/>
        <stp>BDH|13880188318941615045</stp>
        <tr r="AG66" s="10"/>
      </tp>
      <tp t="e">
        <v>#N/A</v>
        <stp/>
        <stp>BDH|11047133036499682897</stp>
        <tr r="N51" s="10"/>
      </tp>
      <tp t="e">
        <v>#N/A</v>
        <stp/>
        <stp>BDH|15976477235962215234</stp>
        <tr r="D78" s="10"/>
      </tp>
      <tp t="e">
        <v>#N/A</v>
        <stp/>
        <stp>BDH|13228494288348005596</stp>
        <tr r="H104" s="10"/>
      </tp>
      <tp t="e">
        <v>#N/A</v>
        <stp/>
        <stp>BDH|16820750747463910494</stp>
        <tr r="AE81" s="10"/>
      </tp>
      <tp t="e">
        <v>#N/A</v>
        <stp/>
        <stp>BDH|12694440624360511699</stp>
        <tr r="O104" s="10"/>
      </tp>
      <tp t="e">
        <v>#N/A</v>
        <stp/>
        <stp>BDH|17441590364042101426</stp>
        <tr r="M181" s="10"/>
      </tp>
      <tp t="e">
        <v>#N/A</v>
        <stp/>
        <stp>BDH|18154206388604167422</stp>
        <tr r="AF10" s="10"/>
      </tp>
      <tp t="e">
        <v>#N/A</v>
        <stp/>
        <stp>BDH|13493980696810316131</stp>
        <tr r="E79" s="10"/>
      </tp>
      <tp t="e">
        <v>#N/A</v>
        <stp/>
        <stp>BDH|12559285307796337434</stp>
        <tr r="AH74" s="10"/>
      </tp>
      <tp t="e">
        <v>#N/A</v>
        <stp/>
        <stp>BDH|11625842423550803935</stp>
        <tr r="AS164" s="10"/>
      </tp>
      <tp t="e">
        <v>#N/A</v>
        <stp/>
        <stp>BDH|14151902266029847055</stp>
        <tr r="K167" s="10"/>
      </tp>
      <tp t="e">
        <v>#N/A</v>
        <stp/>
        <stp>BDH|10266011572446493381</stp>
        <tr r="D135" s="10"/>
      </tp>
      <tp t="e">
        <v>#N/A</v>
        <stp/>
        <stp>BDH|16924537419970861061</stp>
        <tr r="D137" s="10"/>
      </tp>
      <tp t="e">
        <v>#N/A</v>
        <stp/>
        <stp>BDH|10683122364165534083</stp>
        <tr r="AG176" s="10"/>
      </tp>
      <tp t="e">
        <v>#N/A</v>
        <stp/>
        <stp>BDH|14189863421158949427</stp>
        <tr r="T154" s="10"/>
      </tp>
      <tp t="e">
        <v>#N/A</v>
        <stp/>
        <stp>BDH|16235246758343217018</stp>
        <tr r="AJ50" s="10"/>
      </tp>
      <tp t="e">
        <v>#N/A</v>
        <stp/>
        <stp>BDH|10894263853171666463</stp>
        <tr r="AK94" s="10"/>
      </tp>
      <tp t="e">
        <v>#N/A</v>
        <stp/>
        <stp>BDH|15085191907275335306</stp>
        <tr r="E164" s="10"/>
      </tp>
      <tp t="e">
        <v>#N/A</v>
        <stp/>
        <stp>BDH|13238241357934410286</stp>
        <tr r="AE69" s="10"/>
      </tp>
      <tp t="e">
        <v>#N/A</v>
        <stp/>
        <stp>BDH|11045386314182135303</stp>
        <tr r="AN155" s="10"/>
      </tp>
      <tp t="e">
        <v>#N/A</v>
        <stp/>
        <stp>BDH|11117487038527852345</stp>
        <tr r="AH72" s="10"/>
      </tp>
      <tp t="e">
        <v>#N/A</v>
        <stp/>
        <stp>BDH|13846237739065795589</stp>
        <tr r="P79" s="10"/>
      </tp>
      <tp t="e">
        <v>#N/A</v>
        <stp/>
        <stp>BDH|12746061456226233386</stp>
        <tr r="AW125" s="10"/>
      </tp>
      <tp t="e">
        <v>#N/A</v>
        <stp/>
        <stp>BDH|13543886253439218516</stp>
        <tr r="I147" s="10"/>
      </tp>
      <tp t="e">
        <v>#N/A</v>
        <stp/>
        <stp>BDH|17176949328569787772</stp>
        <tr r="U147" s="10"/>
      </tp>
      <tp t="e">
        <v>#N/A</v>
        <stp/>
        <stp>BDH|14158996485755605263</stp>
        <tr r="AP140" s="10"/>
      </tp>
      <tp t="e">
        <v>#N/A</v>
        <stp/>
        <stp>BDH|17172282504657528057</stp>
        <tr r="K121" s="10"/>
      </tp>
      <tp t="e">
        <v>#N/A</v>
        <stp/>
        <stp>BDH|17833043971425727772</stp>
        <tr r="R53" s="10"/>
      </tp>
      <tp t="e">
        <v>#N/A</v>
        <stp/>
        <stp>BDH|14282915193776477099</stp>
        <tr r="G182" s="10"/>
      </tp>
      <tp t="e">
        <v>#N/A</v>
        <stp/>
        <stp>BDH|17711005965831604286</stp>
        <tr r="S97" s="10"/>
      </tp>
      <tp t="e">
        <v>#N/A</v>
        <stp/>
        <stp>BDH|15378300456962110386</stp>
        <tr r="S42" s="10"/>
      </tp>
      <tp t="e">
        <v>#N/A</v>
        <stp/>
        <stp>BDH|11306019108057374456</stp>
        <tr r="Y109" s="10"/>
      </tp>
      <tp t="e">
        <v>#N/A</v>
        <stp/>
        <stp>BDH|17798434146360687589</stp>
        <tr r="I104" s="10"/>
      </tp>
      <tp t="e">
        <v>#N/A</v>
        <stp/>
        <stp>BDH|15480907314496568991</stp>
        <tr r="I185" s="10"/>
      </tp>
      <tp t="e">
        <v>#N/A</v>
        <stp/>
        <stp>BDH|13575035052191802500</stp>
        <tr r="L171" s="10"/>
      </tp>
      <tp t="e">
        <v>#N/A</v>
        <stp/>
        <stp>BDH|15395792415797075639</stp>
        <tr r="AP192" s="10"/>
      </tp>
      <tp t="e">
        <v>#N/A</v>
        <stp/>
        <stp>BDH|10807632522866387060</stp>
        <tr r="V79" s="10"/>
      </tp>
      <tp t="e">
        <v>#N/A</v>
        <stp/>
        <stp>BDH|10473461359545622610</stp>
        <tr r="R178" s="10"/>
      </tp>
      <tp t="e">
        <v>#N/A</v>
        <stp/>
        <stp>BDH|11304895054596700850</stp>
        <tr r="C61" s="10"/>
      </tp>
      <tp t="e">
        <v>#N/A</v>
        <stp/>
        <stp>BDH|13921137503554525405</stp>
        <tr r="AF66" s="10"/>
      </tp>
      <tp t="e">
        <v>#N/A</v>
        <stp/>
        <stp>BDH|10316684325037711152</stp>
        <tr r="I175" s="10"/>
      </tp>
      <tp t="e">
        <v>#N/A</v>
        <stp/>
        <stp>BDH|13873186499588638132</stp>
        <tr r="T11" s="10"/>
      </tp>
      <tp t="e">
        <v>#N/A</v>
        <stp/>
        <stp>BDH|15400511325930726080</stp>
        <tr r="G97" s="10"/>
      </tp>
      <tp t="e">
        <v>#N/A</v>
        <stp/>
        <stp>BDH|14358472526845872550</stp>
        <tr r="D171" s="10"/>
      </tp>
      <tp t="e">
        <v>#N/A</v>
        <stp/>
        <stp>BDH|16980060951943095217</stp>
        <tr r="M153" s="10"/>
      </tp>
      <tp t="e">
        <v>#N/A</v>
        <stp/>
        <stp>BDH|15395266766071812243</stp>
        <tr r="AF123" s="10"/>
      </tp>
      <tp t="e">
        <v>#N/A</v>
        <stp/>
        <stp>BDH|11199482097687875996</stp>
        <tr r="AI145" s="10"/>
      </tp>
      <tp t="e">
        <v>#N/A</v>
        <stp/>
        <stp>BDH|11261717423210980667</stp>
        <tr r="T51" s="10"/>
      </tp>
      <tp t="e">
        <v>#N/A</v>
        <stp/>
        <stp>BDH|13528794068226872630</stp>
        <tr r="AM55" s="10"/>
      </tp>
      <tp t="e">
        <v>#N/A</v>
        <stp/>
        <stp>BDH|17606805670993974909</stp>
        <tr r="E144" s="10"/>
      </tp>
      <tp t="e">
        <v>#N/A</v>
        <stp/>
        <stp>BDH|18235283337749246201</stp>
        <tr r="X152" s="10"/>
      </tp>
      <tp t="e">
        <v>#N/A</v>
        <stp/>
        <stp>BDH|10418680861636576471</stp>
        <tr r="J88" s="10"/>
      </tp>
      <tp t="e">
        <v>#N/A</v>
        <stp/>
        <stp>BDH|11525910129231308910</stp>
        <tr r="E59" s="10"/>
      </tp>
      <tp t="e">
        <v>#N/A</v>
        <stp/>
        <stp>BDH|10967117964275040037</stp>
        <tr r="F98" s="10"/>
      </tp>
      <tp t="e">
        <v>#N/A</v>
        <stp/>
        <stp>BDH|17856360972039718844</stp>
        <tr r="J167" s="10"/>
      </tp>
      <tp t="e">
        <v>#N/A</v>
        <stp/>
        <stp>BDH|16837076450240140113</stp>
        <tr r="AQ104" s="10"/>
      </tp>
      <tp t="e">
        <v>#N/A</v>
        <stp/>
        <stp>BDH|18143978844946560184</stp>
        <tr r="AW103" s="10"/>
      </tp>
      <tp t="e">
        <v>#N/A</v>
        <stp/>
        <stp>BDH|10290213458136454309</stp>
        <tr r="Y192" s="10"/>
      </tp>
      <tp t="e">
        <v>#N/A</v>
        <stp/>
        <stp>BDH|16442212678241738051</stp>
        <tr r="E117" s="10"/>
      </tp>
      <tp t="e">
        <v>#N/A</v>
        <stp/>
        <stp>BDH|10460176300373967050</stp>
        <tr r="AQ108" s="10"/>
      </tp>
      <tp t="e">
        <v>#N/A</v>
        <stp/>
        <stp>BDH|14624983974568119041</stp>
        <tr r="P30" s="10"/>
      </tp>
      <tp t="e">
        <v>#N/A</v>
        <stp/>
        <stp>BDH|13376430763370952348</stp>
        <tr r="O28" s="10"/>
      </tp>
      <tp t="e">
        <v>#N/A</v>
        <stp/>
        <stp>BDH|10180587870583258350</stp>
        <tr r="L109" s="10"/>
      </tp>
      <tp t="e">
        <v>#N/A</v>
        <stp/>
        <stp>BDH|11184499261886721706</stp>
        <tr r="U182" s="10"/>
      </tp>
      <tp t="e">
        <v>#N/A</v>
        <stp/>
        <stp>BDH|16619421908713028328</stp>
        <tr r="O67" s="10"/>
      </tp>
      <tp t="e">
        <v>#N/A</v>
        <stp/>
        <stp>BDH|14275394774195662778</stp>
        <tr r="Q13" s="10"/>
      </tp>
      <tp t="e">
        <v>#N/A</v>
        <stp/>
        <stp>BDH|10015840650377229880</stp>
        <tr r="AS86" s="10"/>
      </tp>
      <tp t="e">
        <v>#N/A</v>
        <stp/>
        <stp>BDH|11352318909315399561</stp>
        <tr r="AV121" s="10"/>
      </tp>
      <tp t="e">
        <v>#N/A</v>
        <stp/>
        <stp>BDH|17091321412800863763</stp>
        <tr r="AM38" s="10"/>
      </tp>
      <tp t="s">
        <v>#N/A Requesting Data...2040370441</v>
        <stp/>
        <stp>BDP|14560457865133338678</stp>
        <tr r="I14" s="1"/>
      </tp>
      <tp t="s">
        <v>#N/A Requesting Data...3563962086</v>
        <stp/>
        <stp>BDP|15174564321962274343</stp>
        <tr r="B13" s="1"/>
      </tp>
      <tp t="s">
        <v>#N/A Requesting Data...2443270451</v>
        <stp/>
        <stp>BDP|16295606166937360249</stp>
        <tr r="B14" s="1"/>
      </tp>
      <tp t="s">
        <v>#N/A Requesting Data...1071569096</v>
        <stp/>
        <stp>BDP|14748244329977703084</stp>
        <tr r="O23" s="1"/>
      </tp>
      <tp t="s">
        <v>#N/A Requesting Data...3099381955</v>
        <stp/>
        <stp>BDP|12751631070055689560</stp>
        <tr r="O28" s="1"/>
      </tp>
      <tp t="s">
        <v>#N/A Requesting Data...3690121108</v>
        <stp/>
        <stp>BDP|11762218171404024301</stp>
        <tr r="O9" s="1"/>
      </tp>
      <tp t="s">
        <v>#N/A Requesting Data...3568174615</v>
        <stp/>
        <stp>BDP|16443981799127392218</stp>
        <tr r="I47" s="1"/>
      </tp>
      <tp t="s">
        <v>#N/A Requesting Data...1753914828</v>
        <stp/>
        <stp>BDP|16566335542985622745</stp>
        <tr r="O15" s="1"/>
      </tp>
      <tp t="s">
        <v>#N/A Requesting Data...866184244</v>
        <stp/>
        <stp>BDP|10795066971317483325</stp>
        <tr r="B37" s="1"/>
      </tp>
      <tp t="s">
        <v>#N/A Requesting Data...3530283789</v>
        <stp/>
        <stp>BDP|11416748614970606445</stp>
        <tr r="F88" s="2"/>
      </tp>
      <tp t="e">
        <v>#N/A</v>
        <stp/>
        <stp>BDH|17998799300312181100</stp>
        <tr r="U158" s="10"/>
      </tp>
      <tp t="e">
        <v>#N/A</v>
        <stp/>
        <stp>BDH|10743978721771824982</stp>
        <tr r="I135" s="10"/>
      </tp>
      <tp t="e">
        <v>#N/A</v>
        <stp/>
        <stp>BDH|14317609037442355066</stp>
        <tr r="AC32" s="10"/>
      </tp>
      <tp t="e">
        <v>#N/A</v>
        <stp/>
        <stp>BDH|13295910649455908823</stp>
        <tr r="U90" s="10"/>
      </tp>
      <tp t="e">
        <v>#N/A</v>
        <stp/>
        <stp>BDH|14335241009500696590</stp>
        <tr r="AL193" s="10"/>
      </tp>
      <tp t="e">
        <v>#N/A</v>
        <stp/>
        <stp>BDH|16047030506886049346</stp>
        <tr r="F16" s="10"/>
      </tp>
      <tp t="e">
        <v>#N/A</v>
        <stp/>
        <stp>BDH|15384001221013323706</stp>
        <tr r="J156" s="10"/>
      </tp>
      <tp t="e">
        <v>#N/A</v>
        <stp/>
        <stp>BDH|10391001812941688365</stp>
        <tr r="AO111" s="10"/>
      </tp>
      <tp t="e">
        <v>#N/A</v>
        <stp/>
        <stp>BDH|12033552794024732970</stp>
        <tr r="X135" s="10"/>
      </tp>
      <tp t="e">
        <v>#N/A</v>
        <stp/>
        <stp>BDH|14697011238196719298</stp>
        <tr r="AD15" s="10"/>
      </tp>
      <tp t="e">
        <v>#N/A</v>
        <stp/>
        <stp>BDH|15080624567613285564</stp>
        <tr r="W7" s="10"/>
      </tp>
      <tp t="e">
        <v>#N/A</v>
        <stp/>
        <stp>BDH|11155401303440422674</stp>
        <tr r="AD111" s="10"/>
      </tp>
      <tp t="e">
        <v>#N/A</v>
        <stp/>
        <stp>BDH|18354956630900073178</stp>
        <tr r="AK134" s="10"/>
      </tp>
      <tp t="e">
        <v>#N/A</v>
        <stp/>
        <stp>BDH|17642462801276028602</stp>
        <tr r="AL187" s="10"/>
      </tp>
      <tp t="e">
        <v>#N/A</v>
        <stp/>
        <stp>BDH|14697653274347552138</stp>
        <tr r="Q166" s="10"/>
      </tp>
      <tp t="e">
        <v>#N/A</v>
        <stp/>
        <stp>BDH|17294378513364788211</stp>
        <tr r="L175" s="10"/>
      </tp>
      <tp t="e">
        <v>#N/A</v>
        <stp/>
        <stp>BDH|17234074335991104615</stp>
        <tr r="AS69" s="10"/>
      </tp>
      <tp t="e">
        <v>#N/A</v>
        <stp/>
        <stp>BDH|17530247144814272670</stp>
        <tr r="J139" s="10"/>
      </tp>
      <tp t="e">
        <v>#N/A</v>
        <stp/>
        <stp>BDH|15608848503026334821</stp>
        <tr r="D119" s="10"/>
      </tp>
      <tp t="e">
        <v>#N/A</v>
        <stp/>
        <stp>BDH|14490643708347006683</stp>
        <tr r="AK169" s="10"/>
      </tp>
      <tp t="e">
        <v>#N/A</v>
        <stp/>
        <stp>BDH|14102349382125732901</stp>
        <tr r="T31" s="10"/>
      </tp>
      <tp t="e">
        <v>#N/A</v>
        <stp/>
        <stp>BDH|10313473674812843287</stp>
        <tr r="I81" s="10"/>
      </tp>
      <tp t="e">
        <v>#N/A</v>
        <stp/>
        <stp>BDH|12353659801763709403</stp>
        <tr r="O192" s="10"/>
      </tp>
      <tp t="e">
        <v>#N/A</v>
        <stp/>
        <stp>BDH|14405212763886617504</stp>
        <tr r="H158" s="10"/>
      </tp>
      <tp t="e">
        <v>#N/A</v>
        <stp/>
        <stp>BDH|17519292112880707794</stp>
        <tr r="AK160" s="10"/>
      </tp>
      <tp t="e">
        <v>#N/A</v>
        <stp/>
        <stp>BDH|14978218743050242196</stp>
        <tr r="AI63" s="10"/>
      </tp>
      <tp t="e">
        <v>#N/A</v>
        <stp/>
        <stp>BDH|15160244340887713727</stp>
        <tr r="AA40" s="10"/>
      </tp>
      <tp t="e">
        <v>#N/A</v>
        <stp/>
        <stp>BDH|12361631894229258763</stp>
        <tr r="AV70" s="10"/>
      </tp>
      <tp t="e">
        <v>#N/A</v>
        <stp/>
        <stp>BDH|14909230610541367591</stp>
        <tr r="AD59" s="10"/>
      </tp>
      <tp t="e">
        <v>#N/A</v>
        <stp/>
        <stp>BDH|17415705536395077522</stp>
        <tr r="AU78" s="10"/>
      </tp>
      <tp t="e">
        <v>#N/A</v>
        <stp/>
        <stp>BDH|16749590035551881239</stp>
        <tr r="AU16" s="10"/>
      </tp>
      <tp t="e">
        <v>#N/A</v>
        <stp/>
        <stp>BDH|16354775003290147260</stp>
        <tr r="AB39" s="10"/>
      </tp>
      <tp t="e">
        <v>#N/A</v>
        <stp/>
        <stp>BDH|15754942203497736874</stp>
        <tr r="I30" s="10"/>
      </tp>
      <tp t="e">
        <v>#N/A</v>
        <stp/>
        <stp>BDH|13615440110602443767</stp>
        <tr r="K67" s="10"/>
      </tp>
      <tp t="e">
        <v>#N/A</v>
        <stp/>
        <stp>BDH|12430046314091270159</stp>
        <tr r="AW150" s="10"/>
      </tp>
      <tp t="e">
        <v>#N/A</v>
        <stp/>
        <stp>BDH|13404079431417750463</stp>
        <tr r="AT126" s="10"/>
      </tp>
      <tp t="e">
        <v>#N/A</v>
        <stp/>
        <stp>BDH|16978298381416633940</stp>
        <tr r="AC112" s="10"/>
      </tp>
      <tp t="e">
        <v>#N/A</v>
        <stp/>
        <stp>BDH|15006993436769997555</stp>
        <tr r="D79" s="10"/>
      </tp>
      <tp t="e">
        <v>#N/A</v>
        <stp/>
        <stp>BDH|14598861692503647546</stp>
        <tr r="AG128" s="10"/>
      </tp>
      <tp t="e">
        <v>#N/A</v>
        <stp/>
        <stp>BDH|16604403917917239706</stp>
        <tr r="AQ99" s="10"/>
      </tp>
      <tp t="e">
        <v>#N/A</v>
        <stp/>
        <stp>BDH|13645650123764156029</stp>
        <tr r="AT76" s="10"/>
      </tp>
      <tp t="e">
        <v>#N/A</v>
        <stp/>
        <stp>BDH|13140017417756590710</stp>
        <tr r="AB79" s="10"/>
      </tp>
      <tp t="e">
        <v>#N/A</v>
        <stp/>
        <stp>BDH|13208085978122383521</stp>
        <tr r="AS136" s="10"/>
      </tp>
      <tp t="e">
        <v>#N/A</v>
        <stp/>
        <stp>BDH|12261340964566863299</stp>
        <tr r="AS70" s="10"/>
      </tp>
      <tp t="e">
        <v>#N/A</v>
        <stp/>
        <stp>BDH|12228748257394238706</stp>
        <tr r="S154" s="10"/>
      </tp>
      <tp t="e">
        <v>#N/A</v>
        <stp/>
        <stp>BDH|13396872505251226908</stp>
        <tr r="Y8" s="10"/>
      </tp>
      <tp t="e">
        <v>#N/A</v>
        <stp/>
        <stp>BDH|16377062477291374322</stp>
        <tr r="AK187" s="10"/>
      </tp>
      <tp t="e">
        <v>#N/A</v>
        <stp/>
        <stp>BDH|15313930444518746302</stp>
        <tr r="P69" s="10"/>
      </tp>
      <tp t="e">
        <v>#N/A</v>
        <stp/>
        <stp>BDH|12562498936334086295</stp>
        <tr r="AO148" s="10"/>
      </tp>
      <tp t="e">
        <v>#N/A</v>
        <stp/>
        <stp>BDH|12692748300465832396</stp>
        <tr r="L152" s="10"/>
      </tp>
      <tp t="e">
        <v>#N/A</v>
        <stp/>
        <stp>BDH|18300881051315048391</stp>
        <tr r="G64" s="10"/>
      </tp>
      <tp t="e">
        <v>#N/A</v>
        <stp/>
        <stp>BDH|13020836973137367806</stp>
        <tr r="AO83" s="10"/>
      </tp>
      <tp t="e">
        <v>#N/A</v>
        <stp/>
        <stp>BDH|17760867598783266685</stp>
        <tr r="Z178" s="10"/>
      </tp>
      <tp t="e">
        <v>#N/A</v>
        <stp/>
        <stp>BDH|15118520831601903182</stp>
        <tr r="C95" s="10"/>
      </tp>
      <tp t="e">
        <v>#N/A</v>
        <stp/>
        <stp>BDH|13626591305387872213</stp>
        <tr r="M73" s="10"/>
      </tp>
      <tp t="e">
        <v>#N/A</v>
        <stp/>
        <stp>BDH|14990490849573954422</stp>
        <tr r="G17" s="10"/>
      </tp>
      <tp t="e">
        <v>#N/A</v>
        <stp/>
        <stp>BDH|16491678205892129150</stp>
        <tr r="AG25" s="10"/>
      </tp>
      <tp t="e">
        <v>#N/A</v>
        <stp/>
        <stp>BDH|15227202457836068774</stp>
        <tr r="AP110" s="10"/>
      </tp>
      <tp t="e">
        <v>#N/A</v>
        <stp/>
        <stp>BDH|16200215723710591571</stp>
        <tr r="AB176" s="10"/>
      </tp>
      <tp t="e">
        <v>#N/A</v>
        <stp/>
        <stp>BDH|15825029078680901194</stp>
        <tr r="I45" s="10"/>
      </tp>
      <tp t="e">
        <v>#N/A</v>
        <stp/>
        <stp>BDH|12365367687678668260</stp>
        <tr r="T66" s="10"/>
      </tp>
      <tp t="e">
        <v>#N/A</v>
        <stp/>
        <stp>BDH|10942657959504642412</stp>
        <tr r="AE41" s="10"/>
      </tp>
      <tp t="e">
        <v>#N/A</v>
        <stp/>
        <stp>BDH|10411504032430156554</stp>
        <tr r="AF61" s="10"/>
      </tp>
      <tp t="e">
        <v>#N/A</v>
        <stp/>
        <stp>BDH|15914066371010451182</stp>
        <tr r="Y146" s="10"/>
      </tp>
      <tp t="e">
        <v>#N/A</v>
        <stp/>
        <stp>BDH|14433967798450170790</stp>
        <tr r="AV114" s="10"/>
      </tp>
      <tp t="e">
        <v>#N/A</v>
        <stp/>
        <stp>BDH|14483646708825805421</stp>
        <tr r="AV19" s="10"/>
      </tp>
      <tp t="e">
        <v>#N/A</v>
        <stp/>
        <stp>BDH|18320951225778939882</stp>
        <tr r="AH149" s="10"/>
      </tp>
      <tp t="e">
        <v>#N/A</v>
        <stp/>
        <stp>BDH|11198270300854628427</stp>
        <tr r="AO133" s="10"/>
      </tp>
      <tp t="e">
        <v>#N/A</v>
        <stp/>
        <stp>BDH|10325210579947819161</stp>
        <tr r="AO190" s="10"/>
      </tp>
      <tp t="e">
        <v>#N/A</v>
        <stp/>
        <stp>BDH|13391619682929142747</stp>
        <tr r="J26" s="10"/>
      </tp>
      <tp t="e">
        <v>#N/A</v>
        <stp/>
        <stp>BDH|16158438683249423004</stp>
        <tr r="J143" s="10"/>
      </tp>
      <tp t="e">
        <v>#N/A</v>
        <stp/>
        <stp>BDH|17180052727804132278</stp>
        <tr r="W73" s="10"/>
      </tp>
      <tp t="e">
        <v>#N/A</v>
        <stp/>
        <stp>BDH|10125550049350986210</stp>
        <tr r="AR180" s="10"/>
      </tp>
      <tp t="e">
        <v>#N/A</v>
        <stp/>
        <stp>BDH|12812888305751586859</stp>
        <tr r="E134" s="10"/>
      </tp>
      <tp t="e">
        <v>#N/A</v>
        <stp/>
        <stp>BDH|15091753901583864294</stp>
        <tr r="AB101" s="10"/>
      </tp>
      <tp t="e">
        <v>#N/A</v>
        <stp/>
        <stp>BDH|16972948015519847452</stp>
        <tr r="AD12" s="10"/>
      </tp>
      <tp t="e">
        <v>#N/A</v>
        <stp/>
        <stp>BDH|17579250216307346003</stp>
        <tr r="AI173" s="10"/>
      </tp>
      <tp t="e">
        <v>#N/A</v>
        <stp/>
        <stp>BDH|12445850789856889756</stp>
        <tr r="E14" s="10"/>
      </tp>
      <tp t="e">
        <v>#N/A</v>
        <stp/>
        <stp>BDH|10644651188644783999</stp>
        <tr r="AB140" s="10"/>
      </tp>
      <tp t="e">
        <v>#N/A</v>
        <stp/>
        <stp>BDH|14645117038654826126</stp>
        <tr r="AV109" s="10"/>
      </tp>
      <tp t="e">
        <v>#N/A</v>
        <stp/>
        <stp>BDH|15919139161617971679</stp>
        <tr r="S104" s="10"/>
      </tp>
      <tp t="e">
        <v>#N/A</v>
        <stp/>
        <stp>BDH|12202488049062580330</stp>
        <tr r="AD122" s="10"/>
      </tp>
      <tp t="e">
        <v>#N/A</v>
        <stp/>
        <stp>BDH|11634507478597941722</stp>
        <tr r="J130" s="10"/>
      </tp>
      <tp t="e">
        <v>#N/A</v>
        <stp/>
        <stp>BDH|10983226291960997869</stp>
        <tr r="I101" s="10"/>
      </tp>
      <tp t="e">
        <v>#N/A</v>
        <stp/>
        <stp>BDH|10015548047706099461</stp>
        <tr r="D192" s="10"/>
      </tp>
      <tp t="e">
        <v>#N/A</v>
        <stp/>
        <stp>BDH|13236090648574143077</stp>
        <tr r="AH37" s="10"/>
      </tp>
      <tp t="e">
        <v>#N/A</v>
        <stp/>
        <stp>BDH|11141726327070497740</stp>
        <tr r="Z171" s="10"/>
      </tp>
      <tp t="e">
        <v>#N/A</v>
        <stp/>
        <stp>BDH|18129213216099120138</stp>
        <tr r="AM49" s="10"/>
      </tp>
      <tp t="e">
        <v>#N/A</v>
        <stp/>
        <stp>BDH|16857365822373862708</stp>
        <tr r="AD36" s="10"/>
      </tp>
      <tp t="e">
        <v>#N/A</v>
        <stp/>
        <stp>BDH|14077269814380046464</stp>
        <tr r="C37" s="10"/>
      </tp>
      <tp t="e">
        <v>#N/A</v>
        <stp/>
        <stp>BDH|17786175364193935093</stp>
        <tr r="M25" s="10"/>
      </tp>
      <tp t="e">
        <v>#N/A</v>
        <stp/>
        <stp>BDH|18005639281150758511</stp>
        <tr r="AD23" s="10"/>
      </tp>
      <tp t="e">
        <v>#N/A</v>
        <stp/>
        <stp>BDH|14294011740106622517</stp>
        <tr r="R190" s="10"/>
      </tp>
      <tp t="e">
        <v>#N/A</v>
        <stp/>
        <stp>BDH|13264798016723816514</stp>
        <tr r="AB108" s="10"/>
      </tp>
      <tp t="e">
        <v>#N/A</v>
        <stp/>
        <stp>BDH|13213258599502854925</stp>
        <tr r="X185" s="10"/>
      </tp>
      <tp t="e">
        <v>#N/A</v>
        <stp/>
        <stp>BDH|16606138314011038459</stp>
        <tr r="Z25" s="10"/>
      </tp>
      <tp t="e">
        <v>#N/A</v>
        <stp/>
        <stp>BDH|15029543541195575245</stp>
        <tr r="AO41" s="10"/>
      </tp>
      <tp t="e">
        <v>#N/A</v>
        <stp/>
        <stp>BDH|13428729276160484002</stp>
        <tr r="G18" s="10"/>
      </tp>
      <tp t="e">
        <v>#N/A</v>
        <stp/>
        <stp>BDH|12455575615806770358</stp>
        <tr r="AJ54" s="10"/>
      </tp>
      <tp t="e">
        <v>#N/A</v>
        <stp/>
        <stp>BDH|11938759153047390786</stp>
        <tr r="O102" s="10"/>
      </tp>
      <tp t="e">
        <v>#N/A</v>
        <stp/>
        <stp>BDH|12091799476670946127</stp>
        <tr r="N178" s="10"/>
      </tp>
      <tp t="e">
        <v>#N/A</v>
        <stp/>
        <stp>BDH|14355603700973497232</stp>
        <tr r="AU131" s="10"/>
      </tp>
      <tp t="e">
        <v>#N/A</v>
        <stp/>
        <stp>BDH|18328974315155193675</stp>
        <tr r="AN115" s="10"/>
      </tp>
      <tp t="e">
        <v>#N/A</v>
        <stp/>
        <stp>BDH|18439696194860760490</stp>
        <tr r="G98" s="10"/>
      </tp>
      <tp t="e">
        <v>#N/A</v>
        <stp/>
        <stp>BDH|13503749377292928280</stp>
        <tr r="AD96" s="10"/>
      </tp>
      <tp t="e">
        <v>#N/A</v>
        <stp/>
        <stp>BDH|16907593625390413269</stp>
        <tr r="AV37" s="10"/>
      </tp>
      <tp t="e">
        <v>#N/A</v>
        <stp/>
        <stp>BDH|17522662831815588408</stp>
        <tr r="AD153" s="10"/>
      </tp>
      <tp t="e">
        <v>#N/A</v>
        <stp/>
        <stp>BDH|17700227823106803299</stp>
        <tr r="E54" s="10"/>
      </tp>
      <tp t="e">
        <v>#N/A</v>
        <stp/>
        <stp>BDH|10452923957386080962</stp>
        <tr r="O103" s="10"/>
      </tp>
      <tp t="e">
        <v>#N/A</v>
        <stp/>
        <stp>BDH|13910577411957003380</stp>
        <tr r="AW47" s="10"/>
      </tp>
      <tp t="e">
        <v>#N/A</v>
        <stp/>
        <stp>BDH|12697973487885764569</stp>
        <tr r="V63" s="10"/>
      </tp>
      <tp t="e">
        <v>#N/A</v>
        <stp/>
        <stp>BDH|10896193326988697866</stp>
        <tr r="AC7" s="10"/>
      </tp>
      <tp t="e">
        <v>#N/A</v>
        <stp/>
        <stp>BDH|13189218808762948060</stp>
        <tr r="AT162" s="10"/>
      </tp>
      <tp t="e">
        <v>#N/A</v>
        <stp/>
        <stp>BDH|16635599658301095403</stp>
        <tr r="W137" s="10"/>
      </tp>
      <tp t="e">
        <v>#N/A</v>
        <stp/>
        <stp>BDH|12638423152894323429</stp>
        <tr r="O188" s="10"/>
      </tp>
      <tp t="e">
        <v>#N/A</v>
        <stp/>
        <stp>BDH|18086064771209792574</stp>
        <tr r="X103" s="10"/>
      </tp>
      <tp t="e">
        <v>#N/A</v>
        <stp/>
        <stp>BDH|11071572224075531014</stp>
        <tr r="AS149" s="10"/>
      </tp>
      <tp t="e">
        <v>#N/A</v>
        <stp/>
        <stp>BDH|16843386737621762470</stp>
        <tr r="T131" s="10"/>
      </tp>
      <tp t="e">
        <v>#N/A</v>
        <stp/>
        <stp>BDH|11874104079310641405</stp>
        <tr r="AL135" s="10"/>
      </tp>
      <tp t="e">
        <v>#N/A</v>
        <stp/>
        <stp>BDH|14537345735175640255</stp>
        <tr r="AT29" s="10"/>
      </tp>
      <tp t="e">
        <v>#N/A</v>
        <stp/>
        <stp>BDH|15128406770095131071</stp>
        <tr r="AP183" s="10"/>
      </tp>
      <tp t="e">
        <v>#N/A</v>
        <stp/>
        <stp>BDH|10240810842116309950</stp>
        <tr r="AD86" s="10"/>
      </tp>
      <tp t="e">
        <v>#N/A</v>
        <stp/>
        <stp>BDH|14533189436526808354</stp>
        <tr r="AW193" s="10"/>
      </tp>
      <tp t="e">
        <v>#N/A</v>
        <stp/>
        <stp>BDH|17057067091889273436</stp>
        <tr r="J61" s="10"/>
      </tp>
      <tp t="e">
        <v>#N/A</v>
        <stp/>
        <stp>BDH|16672325141281317309</stp>
        <tr r="AM69" s="10"/>
      </tp>
      <tp t="e">
        <v>#N/A</v>
        <stp/>
        <stp>BDH|16332320506024596242</stp>
        <tr r="Y70" s="10"/>
      </tp>
      <tp t="e">
        <v>#N/A</v>
        <stp/>
        <stp>BDH|14273647078923983519</stp>
        <tr r="K109" s="10"/>
      </tp>
      <tp t="e">
        <v>#N/A</v>
        <stp/>
        <stp>BDH|10512222877707435128</stp>
        <tr r="AP57" s="10"/>
      </tp>
      <tp t="e">
        <v>#N/A</v>
        <stp/>
        <stp>BDH|16743763197898062306</stp>
        <tr r="V106" s="10"/>
      </tp>
      <tp t="e">
        <v>#N/A</v>
        <stp/>
        <stp>BDH|13495101372773099508</stp>
        <tr r="AS44" s="10"/>
      </tp>
      <tp t="e">
        <v>#N/A</v>
        <stp/>
        <stp>BDH|17747544436781594362</stp>
        <tr r="H121" s="10"/>
      </tp>
      <tp t="e">
        <v>#N/A</v>
        <stp/>
        <stp>BDH|10730712345956578603</stp>
        <tr r="AD30" s="10"/>
      </tp>
      <tp t="e">
        <v>#N/A</v>
        <stp/>
        <stp>BDH|15540126211913610566</stp>
        <tr r="AH81" s="10"/>
      </tp>
      <tp t="e">
        <v>#N/A</v>
        <stp/>
        <stp>BDH|18057813831126263642</stp>
        <tr r="C92" s="10"/>
      </tp>
      <tp t="e">
        <v>#N/A</v>
        <stp/>
        <stp>BDH|14326330188608961470</stp>
        <tr r="AD155" s="10"/>
      </tp>
      <tp t="e">
        <v>#N/A</v>
        <stp/>
        <stp>BDH|12180685001482919579</stp>
        <tr r="AU169" s="10"/>
      </tp>
      <tp t="e">
        <v>#N/A</v>
        <stp/>
        <stp>BDH|11651832994820496336</stp>
        <tr r="AK60" s="10"/>
      </tp>
      <tp t="e">
        <v>#N/A</v>
        <stp/>
        <stp>BDH|13374304174023420751</stp>
        <tr r="C138" s="10"/>
      </tp>
      <tp t="e">
        <v>#N/A</v>
        <stp/>
        <stp>BDH|14598826784910019757</stp>
        <tr r="G94" s="10"/>
      </tp>
      <tp t="e">
        <v>#N/A</v>
        <stp/>
        <stp>BDH|14004509427275586545</stp>
        <tr r="U25" s="10"/>
      </tp>
      <tp t="e">
        <v>#N/A</v>
        <stp/>
        <stp>BDH|17100372537696785209</stp>
        <tr r="AS54" s="10"/>
      </tp>
      <tp t="e">
        <v>#N/A</v>
        <stp/>
        <stp>BDH|11018546167200093158</stp>
        <tr r="J163" s="10"/>
      </tp>
      <tp t="e">
        <v>#N/A</v>
        <stp/>
        <stp>BDH|11661486905616295004</stp>
        <tr r="AF185" s="10"/>
      </tp>
      <tp t="e">
        <v>#N/A</v>
        <stp/>
        <stp>BDH|15859746716127110728</stp>
        <tr r="Z76" s="10"/>
      </tp>
      <tp t="e">
        <v>#N/A</v>
        <stp/>
        <stp>BDH|13696363809123251027</stp>
        <tr r="AQ175" s="10"/>
      </tp>
      <tp t="e">
        <v>#N/A</v>
        <stp/>
        <stp>BDH|16736773958883447455</stp>
        <tr r="T100" s="10"/>
      </tp>
      <tp t="e">
        <v>#N/A</v>
        <stp/>
        <stp>BDH|10896071660123081668</stp>
        <tr r="Q77" s="10"/>
      </tp>
      <tp t="e">
        <v>#N/A</v>
        <stp/>
        <stp>BDH|14938962563320542809</stp>
        <tr r="AS155" s="10"/>
      </tp>
      <tp t="e">
        <v>#N/A</v>
        <stp/>
        <stp>BDH|15560099392426058971</stp>
        <tr r="AC69" s="10"/>
      </tp>
      <tp t="e">
        <v>#N/A</v>
        <stp/>
        <stp>BDH|10963408038503124797</stp>
        <tr r="T74" s="10"/>
      </tp>
      <tp t="e">
        <v>#N/A</v>
        <stp/>
        <stp>BDH|12840350003216224459</stp>
        <tr r="M30" s="10"/>
      </tp>
      <tp t="e">
        <v>#N/A</v>
        <stp/>
        <stp>BDH|15850329963507236426</stp>
        <tr r="T103" s="10"/>
      </tp>
      <tp t="e">
        <v>#N/A</v>
        <stp/>
        <stp>BDH|17477396985836693972</stp>
        <tr r="AJ22" s="10"/>
      </tp>
      <tp t="e">
        <v>#N/A</v>
        <stp/>
        <stp>BDH|18008596303128121627</stp>
        <tr r="AL136" s="10"/>
      </tp>
      <tp t="e">
        <v>#N/A</v>
        <stp/>
        <stp>BDH|12503991787585436565</stp>
        <tr r="D122" s="10"/>
      </tp>
      <tp t="e">
        <v>#N/A</v>
        <stp/>
        <stp>BDH|11376771252637615793</stp>
        <tr r="AD152" s="10"/>
      </tp>
      <tp t="e">
        <v>#N/A</v>
        <stp/>
        <stp>BDH|12530192550596026356</stp>
        <tr r="X35" s="10"/>
      </tp>
      <tp t="e">
        <v>#N/A</v>
        <stp/>
        <stp>BDH|16058416048892886784</stp>
        <tr r="M40" s="10"/>
      </tp>
      <tp t="e">
        <v>#N/A</v>
        <stp/>
        <stp>BDH|11040492688478807605</stp>
        <tr r="AW12" s="10"/>
      </tp>
      <tp t="e">
        <v>#N/A</v>
        <stp/>
        <stp>BDH|11436762217773806740</stp>
        <tr r="AH138" s="10"/>
      </tp>
      <tp t="e">
        <v>#N/A</v>
        <stp/>
        <stp>BDH|13344672059721243261</stp>
        <tr r="AU102" s="10"/>
      </tp>
      <tp t="e">
        <v>#N/A</v>
        <stp/>
        <stp>BDH|13125308489128572355</stp>
        <tr r="G35" s="10"/>
      </tp>
      <tp t="e">
        <v>#N/A</v>
        <stp/>
        <stp>BDH|13297691265768295849</stp>
        <tr r="K160" s="10"/>
      </tp>
      <tp t="e">
        <v>#N/A</v>
        <stp/>
        <stp>BDH|10949365313992110356</stp>
        <tr r="S122" s="10"/>
      </tp>
      <tp t="e">
        <v>#N/A</v>
        <stp/>
        <stp>BDH|16957769043573596513</stp>
        <tr r="D175" s="10"/>
      </tp>
      <tp t="e">
        <v>#N/A</v>
        <stp/>
        <stp>BDH|17911821590562062730</stp>
        <tr r="T109" s="10"/>
      </tp>
      <tp t="e">
        <v>#N/A</v>
        <stp/>
        <stp>BDH|10595533259281100268</stp>
        <tr r="J166" s="10"/>
      </tp>
      <tp t="e">
        <v>#N/A</v>
        <stp/>
        <stp>BDH|14868820585452235556</stp>
        <tr r="L137" s="10"/>
      </tp>
      <tp t="e">
        <v>#N/A</v>
        <stp/>
        <stp>BDH|14784758046572564694</stp>
        <tr r="H71" s="10"/>
      </tp>
      <tp t="e">
        <v>#N/A</v>
        <stp/>
        <stp>BDH|12238543020875882365</stp>
        <tr r="AQ169" s="10"/>
      </tp>
      <tp t="e">
        <v>#N/A</v>
        <stp/>
        <stp>BDH|14890298073682876024</stp>
        <tr r="AE131" s="10"/>
      </tp>
      <tp t="e">
        <v>#N/A</v>
        <stp/>
        <stp>BDH|13478487320694419203</stp>
        <tr r="AI14" s="10"/>
      </tp>
      <tp t="e">
        <v>#N/A</v>
        <stp/>
        <stp>BDH|11859668985478521450</stp>
        <tr r="AE174" s="10"/>
      </tp>
      <tp t="e">
        <v>#N/A</v>
        <stp/>
        <stp>BDH|12610152922597393595</stp>
        <tr r="I124" s="10"/>
      </tp>
      <tp t="e">
        <v>#N/A</v>
        <stp/>
        <stp>BDH|11801238150634324135</stp>
        <tr r="AJ135" s="10"/>
      </tp>
      <tp t="e">
        <v>#N/A</v>
        <stp/>
        <stp>BDH|17803342737726791275</stp>
        <tr r="G54" s="10"/>
      </tp>
      <tp t="e">
        <v>#N/A</v>
        <stp/>
        <stp>BDH|17465340152255945708</stp>
        <tr r="I169" s="10"/>
      </tp>
      <tp t="e">
        <v>#N/A</v>
        <stp/>
        <stp>BDH|16427567304208977848</stp>
        <tr r="AA3" s="10"/>
      </tp>
      <tp t="e">
        <v>#N/A</v>
        <stp/>
        <stp>BDH|11565531856447392585</stp>
        <tr r="AR107" s="10"/>
      </tp>
      <tp t="e">
        <v>#N/A</v>
        <stp/>
        <stp>BDH|17710450205931959153</stp>
        <tr r="AL85" s="10"/>
      </tp>
      <tp t="e">
        <v>#N/A</v>
        <stp/>
        <stp>BDH|15971042702464762239</stp>
        <tr r="AH159" s="10"/>
      </tp>
      <tp t="e">
        <v>#N/A</v>
        <stp/>
        <stp>BDH|14693570869021384502</stp>
        <tr r="U7" s="10"/>
      </tp>
      <tp t="e">
        <v>#N/A</v>
        <stp/>
        <stp>BDH|15995155434725789142</stp>
        <tr r="AS45" s="10"/>
      </tp>
      <tp t="e">
        <v>#N/A</v>
        <stp/>
        <stp>BDH|11445367717571667181</stp>
        <tr r="AU80" s="10"/>
      </tp>
      <tp t="e">
        <v>#N/A</v>
        <stp/>
        <stp>BDH|15808390951396976624</stp>
        <tr r="Q60" s="10"/>
      </tp>
      <tp t="e">
        <v>#N/A</v>
        <stp/>
        <stp>BDH|11914225588261904911</stp>
        <tr r="AG32" s="10"/>
      </tp>
      <tp t="e">
        <v>#N/A</v>
        <stp/>
        <stp>BDH|11149211129244778656</stp>
        <tr r="AC161" s="10"/>
      </tp>
      <tp t="e">
        <v>#N/A</v>
        <stp/>
        <stp>BDH|15628932713968552688</stp>
        <tr r="V171" s="10"/>
      </tp>
      <tp t="e">
        <v>#N/A</v>
        <stp/>
        <stp>BDH|14854500476301010453</stp>
        <tr r="N184" s="10"/>
      </tp>
      <tp t="e">
        <v>#N/A</v>
        <stp/>
        <stp>BDH|14906837086220267757</stp>
        <tr r="G102" s="10"/>
      </tp>
      <tp t="e">
        <v>#N/A</v>
        <stp/>
        <stp>BDH|12685678678747188724</stp>
        <tr r="Z30" s="10"/>
      </tp>
      <tp t="e">
        <v>#N/A</v>
        <stp/>
        <stp>BDH|15169103662266846718</stp>
        <tr r="AI162" s="10"/>
      </tp>
      <tp t="e">
        <v>#N/A</v>
        <stp/>
        <stp>BDH|18348405583421260688</stp>
        <tr r="AV55" s="10"/>
      </tp>
      <tp t="e">
        <v>#N/A</v>
        <stp/>
        <stp>BDH|17893688187809960344</stp>
        <tr r="AH43" s="10"/>
      </tp>
      <tp t="e">
        <v>#N/A</v>
        <stp/>
        <stp>BDH|16034669928142110350</stp>
        <tr r="R63" s="10"/>
      </tp>
      <tp t="e">
        <v>#N/A</v>
        <stp/>
        <stp>BDH|13526003169772347458</stp>
        <tr r="AA153" s="10"/>
      </tp>
      <tp t="e">
        <v>#N/A</v>
        <stp/>
        <stp>BDH|10544195264981020523</stp>
        <tr r="N69" s="10"/>
      </tp>
      <tp t="e">
        <v>#N/A</v>
        <stp/>
        <stp>BDH|12650662783859868610</stp>
        <tr r="AW85" s="10"/>
      </tp>
      <tp t="e">
        <v>#N/A</v>
        <stp/>
        <stp>BDH|10259783891835376820</stp>
        <tr r="AG90" s="10"/>
      </tp>
      <tp t="e">
        <v>#N/A</v>
        <stp/>
        <stp>BDH|17621852088420047419</stp>
        <tr r="AC139" s="10"/>
      </tp>
      <tp t="e">
        <v>#N/A</v>
        <stp/>
        <stp>BDH|10166078567645217090</stp>
        <tr r="AW21" s="10"/>
      </tp>
      <tp t="e">
        <v>#N/A</v>
        <stp/>
        <stp>BDH|14613293127294693341</stp>
        <tr r="AS76" s="10"/>
      </tp>
      <tp t="e">
        <v>#N/A</v>
        <stp/>
        <stp>BDH|16752192022837501137</stp>
        <tr r="AH184" s="10"/>
      </tp>
      <tp t="e">
        <v>#N/A</v>
        <stp/>
        <stp>BDH|15921902563948431144</stp>
        <tr r="R114" s="10"/>
      </tp>
      <tp t="e">
        <v>#N/A</v>
        <stp/>
        <stp>BDH|14084658419650578032</stp>
        <tr r="O189" s="10"/>
      </tp>
      <tp t="e">
        <v>#N/A</v>
        <stp/>
        <stp>BDH|11755127861493621687</stp>
        <tr r="AC3" s="10"/>
      </tp>
      <tp t="e">
        <v>#N/A</v>
        <stp/>
        <stp>BDH|14920645187310937994</stp>
        <tr r="AA26" s="10"/>
      </tp>
      <tp t="e">
        <v>#N/A</v>
        <stp/>
        <stp>BDH|12837975543309132577</stp>
        <tr r="AJ72" s="10"/>
      </tp>
      <tp t="e">
        <v>#N/A</v>
        <stp/>
        <stp>BDH|10393672158095639509</stp>
        <tr r="K110" s="10"/>
      </tp>
      <tp t="e">
        <v>#N/A</v>
        <stp/>
        <stp>BDH|16194568969016712030</stp>
        <tr r="N40" s="10"/>
      </tp>
      <tp t="e">
        <v>#N/A</v>
        <stp/>
        <stp>BDH|13526797120682709713</stp>
        <tr r="AT94" s="10"/>
      </tp>
      <tp t="e">
        <v>#N/A</v>
        <stp/>
        <stp>BDH|10246180135426524702</stp>
        <tr r="AP169" s="10"/>
      </tp>
      <tp t="e">
        <v>#N/A</v>
        <stp/>
        <stp>BDH|12825114359066243385</stp>
        <tr r="Y16" s="10"/>
      </tp>
      <tp t="e">
        <v>#N/A</v>
        <stp/>
        <stp>BDH|10949156627606804692</stp>
        <tr r="I42" s="10"/>
      </tp>
      <tp t="e">
        <v>#N/A</v>
        <stp/>
        <stp>BDH|14625785474596056102</stp>
        <tr r="O138" s="10"/>
      </tp>
      <tp t="e">
        <v>#N/A</v>
        <stp/>
        <stp>BDH|15779167215272636485</stp>
        <tr r="L11" s="10"/>
      </tp>
      <tp t="e">
        <v>#N/A</v>
        <stp/>
        <stp>BDH|10598691087625774811</stp>
        <tr r="I46" s="10"/>
      </tp>
      <tp t="e">
        <v>#N/A</v>
        <stp/>
        <stp>BDH|10232215974951824725</stp>
        <tr r="AT97" s="10"/>
      </tp>
      <tp t="e">
        <v>#N/A</v>
        <stp/>
        <stp>BDH|14027323777372892103</stp>
        <tr r="AH98" s="10"/>
      </tp>
      <tp t="e">
        <v>#N/A</v>
        <stp/>
        <stp>BDH|10941051927732374359</stp>
        <tr r="E10" s="10"/>
      </tp>
      <tp t="e">
        <v>#N/A</v>
        <stp/>
        <stp>BDH|16801795829930724022</stp>
        <tr r="E182" s="10"/>
      </tp>
      <tp t="e">
        <v>#N/A</v>
        <stp/>
        <stp>BDH|15930169432994504050</stp>
        <tr r="I108" s="10"/>
      </tp>
      <tp t="e">
        <v>#N/A</v>
        <stp/>
        <stp>BDH|16725826939528415653</stp>
        <tr r="H175" s="10"/>
      </tp>
      <tp t="e">
        <v>#N/A</v>
        <stp/>
        <stp>BDH|13824279541370689657</stp>
        <tr r="AM172" s="10"/>
      </tp>
      <tp t="e">
        <v>#N/A</v>
        <stp/>
        <stp>BDH|13820803857255554870</stp>
        <tr r="T141" s="10"/>
      </tp>
      <tp t="e">
        <v>#N/A</v>
        <stp/>
        <stp>BDH|13009688352046479539</stp>
        <tr r="AN165" s="10"/>
      </tp>
      <tp t="e">
        <v>#N/A</v>
        <stp/>
        <stp>BDH|13882503681409491403</stp>
        <tr r="O180" s="10"/>
      </tp>
      <tp t="e">
        <v>#N/A</v>
        <stp/>
        <stp>BDH|13242019666121114786</stp>
        <tr r="AG187" s="10"/>
      </tp>
      <tp t="e">
        <v>#N/A</v>
        <stp/>
        <stp>BDH|12037363424644656489</stp>
        <tr r="U27" s="10"/>
      </tp>
      <tp t="e">
        <v>#N/A</v>
        <stp/>
        <stp>BDH|16508805403058840528</stp>
        <tr r="N113" s="10"/>
      </tp>
      <tp t="e">
        <v>#N/A</v>
        <stp/>
        <stp>BDH|15279688654945573079</stp>
        <tr r="G49" s="10"/>
      </tp>
      <tp t="e">
        <v>#N/A</v>
        <stp/>
        <stp>BDH|14264829381155459293</stp>
        <tr r="D13" s="10"/>
      </tp>
      <tp t="e">
        <v>#N/A</v>
        <stp/>
        <stp>BDH|14545899729134804914</stp>
        <tr r="AE93" s="10"/>
      </tp>
      <tp t="e">
        <v>#N/A</v>
        <stp/>
        <stp>BDH|17184836473103475890</stp>
        <tr r="AS93" s="10"/>
      </tp>
      <tp t="e">
        <v>#N/A</v>
        <stp/>
        <stp>BDH|12162058638720741275</stp>
        <tr r="AA145" s="10"/>
      </tp>
      <tp t="e">
        <v>#N/A</v>
        <stp/>
        <stp>BDH|16701643470951914564</stp>
        <tr r="AJ92" s="10"/>
      </tp>
      <tp t="e">
        <v>#N/A</v>
        <stp/>
        <stp>BDH|11114031939395076479</stp>
        <tr r="Y69" s="10"/>
      </tp>
      <tp t="e">
        <v>#N/A</v>
        <stp/>
        <stp>BDH|11693486113920139709</stp>
        <tr r="L17" s="10"/>
      </tp>
      <tp t="e">
        <v>#N/A</v>
        <stp/>
        <stp>BDH|16389344565740752092</stp>
        <tr r="X23" s="10"/>
      </tp>
      <tp t="e">
        <v>#N/A</v>
        <stp/>
        <stp>BDH|11329425425703120791</stp>
        <tr r="AV189" s="10"/>
      </tp>
      <tp t="e">
        <v>#N/A</v>
        <stp/>
        <stp>BDH|10434725545645774584</stp>
        <tr r="Y10" s="10"/>
      </tp>
      <tp t="e">
        <v>#N/A</v>
        <stp/>
        <stp>BDH|15664907120309880428</stp>
        <tr r="AV15" s="10"/>
      </tp>
      <tp t="e">
        <v>#N/A</v>
        <stp/>
        <stp>BDH|12639993010281462876</stp>
        <tr r="W104" s="10"/>
      </tp>
      <tp t="e">
        <v>#N/A</v>
        <stp/>
        <stp>BDH|12205882696280266023</stp>
        <tr r="AH78" s="10"/>
      </tp>
      <tp t="e">
        <v>#N/A</v>
        <stp/>
        <stp>BDH|17789254616962063587</stp>
        <tr r="AV153" s="10"/>
      </tp>
      <tp t="e">
        <v>#N/A</v>
        <stp/>
        <stp>BDH|15488129376994850474</stp>
        <tr r="AF128" s="10"/>
      </tp>
      <tp t="e">
        <v>#N/A</v>
        <stp/>
        <stp>BDH|13095310559246213052</stp>
        <tr r="N177" s="10"/>
      </tp>
      <tp t="e">
        <v>#N/A</v>
        <stp/>
        <stp>BDH|15795186516635570336</stp>
        <tr r="K122" s="10"/>
      </tp>
      <tp t="e">
        <v>#N/A</v>
        <stp/>
        <stp>BDH|16056549309693475362</stp>
        <tr r="G169" s="10"/>
      </tp>
      <tp t="e">
        <v>#N/A</v>
        <stp/>
        <stp>BDH|13212537230007892163</stp>
        <tr r="K21" s="10"/>
      </tp>
      <tp t="e">
        <v>#N/A</v>
        <stp/>
        <stp>BDH|10812839721738745128</stp>
        <tr r="AP176" s="10"/>
      </tp>
      <tp t="e">
        <v>#N/A</v>
        <stp/>
        <stp>BDH|17564126039981517748</stp>
        <tr r="D165" s="10"/>
      </tp>
      <tp t="e">
        <v>#N/A</v>
        <stp/>
        <stp>BDH|17304427432024808747</stp>
        <tr r="G40" s="10"/>
      </tp>
      <tp t="e">
        <v>#N/A</v>
        <stp/>
        <stp>BDH|12881057394421196975</stp>
        <tr r="AJ163" s="10"/>
      </tp>
      <tp t="e">
        <v>#N/A</v>
        <stp/>
        <stp>BDH|14876412334481157131</stp>
        <tr r="L108" s="10"/>
      </tp>
      <tp t="e">
        <v>#N/A</v>
        <stp/>
        <stp>BDH|11413306292211094999</stp>
        <tr r="AA179" s="10"/>
      </tp>
      <tp t="e">
        <v>#N/A</v>
        <stp/>
        <stp>BDH|15401380816844299075</stp>
        <tr r="AL162" s="10"/>
      </tp>
      <tp t="e">
        <v>#N/A</v>
        <stp/>
        <stp>BDH|11476131788848228337</stp>
        <tr r="N21" s="10"/>
      </tp>
      <tp t="e">
        <v>#N/A</v>
        <stp/>
        <stp>BDH|10133990946248127618</stp>
        <tr r="F124" s="10"/>
      </tp>
      <tp t="e">
        <v>#N/A</v>
        <stp/>
        <stp>BDH|18242550510029097696</stp>
        <tr r="AU73" s="10"/>
      </tp>
      <tp t="e">
        <v>#N/A</v>
        <stp/>
        <stp>BDH|10058684363134398763</stp>
        <tr r="AQ188" s="10"/>
      </tp>
      <tp t="e">
        <v>#N/A</v>
        <stp/>
        <stp>BDH|15021415642270562689</stp>
        <tr r="AM141" s="10"/>
      </tp>
      <tp t="e">
        <v>#N/A</v>
        <stp/>
        <stp>BDH|10113057374977756393</stp>
        <tr r="AG180" s="10"/>
      </tp>
      <tp t="e">
        <v>#N/A</v>
        <stp/>
        <stp>BDH|17127195541391289055</stp>
        <tr r="AT113" s="10"/>
      </tp>
      <tp t="e">
        <v>#N/A</v>
        <stp/>
        <stp>BDH|16411672900225881651</stp>
        <tr r="AS18" s="10"/>
      </tp>
      <tp t="e">
        <v>#N/A</v>
        <stp/>
        <stp>BDH|10552991697372786127</stp>
        <tr r="AO193" s="10"/>
      </tp>
      <tp t="e">
        <v>#N/A</v>
        <stp/>
        <stp>BDH|16360069988984004938</stp>
        <tr r="AW19" s="10"/>
      </tp>
      <tp t="e">
        <v>#N/A</v>
        <stp/>
        <stp>BDH|13953552297174601838</stp>
        <tr r="S123" s="10"/>
      </tp>
      <tp t="e">
        <v>#N/A</v>
        <stp/>
        <stp>BDH|15062583936939992998</stp>
        <tr r="AK127" s="10"/>
      </tp>
      <tp t="e">
        <v>#N/A</v>
        <stp/>
        <stp>BDH|11109199907012731166</stp>
        <tr r="X49" s="10"/>
      </tp>
      <tp t="e">
        <v>#N/A</v>
        <stp/>
        <stp>BDH|14822364210986597354</stp>
        <tr r="AW28" s="10"/>
      </tp>
      <tp t="e">
        <v>#N/A</v>
        <stp/>
        <stp>BDH|18408673713765859963</stp>
        <tr r="Q191" s="10"/>
      </tp>
      <tp t="e">
        <v>#N/A</v>
        <stp/>
        <stp>BDH|12775517053814997521</stp>
        <tr r="U189" s="10"/>
      </tp>
      <tp t="e">
        <v>#N/A</v>
        <stp/>
        <stp>BDH|14759796490091931897</stp>
        <tr r="AR146" s="10"/>
      </tp>
      <tp t="e">
        <v>#N/A</v>
        <stp/>
        <stp>BDH|15194382671941571333</stp>
        <tr r="E101" s="10"/>
      </tp>
      <tp t="e">
        <v>#N/A</v>
        <stp/>
        <stp>BDH|15628163338424458025</stp>
        <tr r="L49" s="10"/>
      </tp>
      <tp t="e">
        <v>#N/A</v>
        <stp/>
        <stp>BDH|17176317908382346552</stp>
        <tr r="S160" s="10"/>
      </tp>
      <tp t="e">
        <v>#N/A</v>
        <stp/>
        <stp>BDH|18186409574399829135</stp>
        <tr r="AD72" s="10"/>
      </tp>
      <tp t="e">
        <v>#N/A</v>
        <stp/>
        <stp>BDH|13643293286333109960</stp>
        <tr r="O14" s="10"/>
      </tp>
      <tp t="s">
        <v>#N/A Requesting Data...2439335840</v>
        <stp/>
        <stp>BDP|11399704316040951752</stp>
        <tr r="F55" s="2"/>
      </tp>
      <tp t="s">
        <v>#N/A Requesting Data...4130244950</v>
        <stp/>
        <stp>BDP|12419312507848967902</stp>
        <tr r="D9" s="6"/>
        <tr r="H6" s="1"/>
      </tp>
      <tp t="s">
        <v>#N/A Requesting Data...3739311310</v>
        <stp/>
        <stp>BDP|15071653494963235981</stp>
        <tr r="F30" s="2"/>
        <tr r="F37" s="2"/>
        <tr r="F131" s="2"/>
      </tp>
      <tp t="s">
        <v>#N/A Requesting Data...1709201644</v>
        <stp/>
        <stp>BDP|12844044871953380651</stp>
        <tr r="B14" s="6"/>
        <tr r="E9" s="1"/>
        <tr r="H14" s="2"/>
        <tr r="H86" s="2"/>
      </tp>
      <tp t="s">
        <v>#N/A Requesting Data...1272034796</v>
        <stp/>
        <stp>BDP|16461195123425245025</stp>
        <tr r="B53" s="6"/>
        <tr r="E44" s="1"/>
        <tr r="H136" s="2"/>
      </tp>
      <tp t="s">
        <v>#N/A Requesting Data...2951350595</v>
        <stp/>
        <stp>BDP|16921186595068337641</stp>
        <tr r="B29" s="6"/>
        <tr r="E21" s="1"/>
        <tr r="H55" s="2"/>
      </tp>
      <tp t="s">
        <v>#N/A Requesting Data...3900733165</v>
        <stp/>
        <stp>BDP|15573350425130252424</stp>
        <tr r="F128" s="2"/>
        <tr r="F103" s="2"/>
      </tp>
      <tp t="s">
        <v>#N/A Requesting Data...3711947567</v>
        <stp/>
        <stp>BDP|13788705191545644847</stp>
        <tr r="F34" s="2"/>
        <tr r="F41" s="2"/>
        <tr r="F42" s="2"/>
        <tr r="F43" s="2"/>
        <tr r="F46" s="2"/>
        <tr r="F47" s="2"/>
        <tr r="F48" s="2"/>
        <tr r="F53" s="2"/>
        <tr r="F104" s="2"/>
        <tr r="F118" s="2"/>
      </tp>
      <tp t="e">
        <v>#N/A</v>
        <stp/>
        <stp>BDH|12387726666693352056</stp>
        <tr r="C54" s="10"/>
      </tp>
      <tp t="e">
        <v>#N/A</v>
        <stp/>
        <stp>BDH|17507880337908907422</stp>
        <tr r="K126" s="10"/>
      </tp>
      <tp t="e">
        <v>#N/A</v>
        <stp/>
        <stp>BDH|11704440077982055056</stp>
        <tr r="N144" s="10"/>
      </tp>
      <tp t="e">
        <v>#N/A</v>
        <stp/>
        <stp>BDH|16043004504956321061</stp>
        <tr r="Q152" s="10"/>
      </tp>
      <tp t="e">
        <v>#N/A</v>
        <stp/>
        <stp>BDH|16257069142590656214</stp>
        <tr r="AW67" s="10"/>
      </tp>
      <tp t="e">
        <v>#N/A</v>
        <stp/>
        <stp>BDH|16060201240929208936</stp>
        <tr r="I20" s="10"/>
      </tp>
      <tp t="e">
        <v>#N/A</v>
        <stp/>
        <stp>BDH|12191759002377232258</stp>
        <tr r="AV103" s="10"/>
      </tp>
      <tp t="e">
        <v>#N/A</v>
        <stp/>
        <stp>BDH|16154042274739577858</stp>
        <tr r="Q158" s="10"/>
      </tp>
      <tp t="e">
        <v>#N/A</v>
        <stp/>
        <stp>BDH|11431286089978574315</stp>
        <tr r="C168" s="10"/>
      </tp>
      <tp t="e">
        <v>#N/A</v>
        <stp/>
        <stp>BDH|15237922669488106298</stp>
        <tr r="W64" s="10"/>
      </tp>
      <tp t="e">
        <v>#N/A</v>
        <stp/>
        <stp>BDH|17430361021584222208</stp>
        <tr r="G172" s="10"/>
      </tp>
      <tp t="e">
        <v>#N/A</v>
        <stp/>
        <stp>BDH|15043127754046079778</stp>
        <tr r="AB24" s="10"/>
      </tp>
      <tp t="e">
        <v>#N/A</v>
        <stp/>
        <stp>BDH|15222879870189272361</stp>
        <tr r="V45" s="10"/>
      </tp>
      <tp t="e">
        <v>#N/A</v>
        <stp/>
        <stp>BDH|12247565633701157571</stp>
        <tr r="V107" s="10"/>
      </tp>
      <tp t="e">
        <v>#N/A</v>
        <stp/>
        <stp>BDH|14304004912540716571</stp>
        <tr r="M170" s="10"/>
      </tp>
      <tp t="e">
        <v>#N/A</v>
        <stp/>
        <stp>BDH|11250152824691741354</stp>
        <tr r="T179" s="10"/>
      </tp>
      <tp t="e">
        <v>#N/A</v>
        <stp/>
        <stp>BDH|18404641077619676001</stp>
        <tr r="AL159" s="10"/>
      </tp>
      <tp t="e">
        <v>#N/A</v>
        <stp/>
        <stp>BDH|13473887193421768395</stp>
        <tr r="AR138" s="10"/>
      </tp>
      <tp t="e">
        <v>#N/A</v>
        <stp/>
        <stp>BDH|16606232317737259216</stp>
        <tr r="H57" s="10"/>
      </tp>
      <tp t="e">
        <v>#N/A</v>
        <stp/>
        <stp>BDH|10736768313003740549</stp>
        <tr r="D59" s="10"/>
      </tp>
      <tp t="e">
        <v>#N/A</v>
        <stp/>
        <stp>BDH|10690654191989198628</stp>
        <tr r="X125" s="10"/>
      </tp>
      <tp t="e">
        <v>#N/A</v>
        <stp/>
        <stp>BDH|13284616940697047628</stp>
        <tr r="AT118" s="10"/>
      </tp>
      <tp t="e">
        <v>#N/A</v>
        <stp/>
        <stp>BDH|15175752490852756932</stp>
        <tr r="AO48" s="10"/>
      </tp>
      <tp t="e">
        <v>#N/A</v>
        <stp/>
        <stp>BDH|13822343978575795234</stp>
        <tr r="C28" s="10"/>
      </tp>
      <tp t="e">
        <v>#N/A</v>
        <stp/>
        <stp>BDH|10129137917339575908</stp>
        <tr r="M76" s="10"/>
      </tp>
      <tp t="e">
        <v>#N/A</v>
        <stp/>
        <stp>BDH|15685107404792776657</stp>
        <tr r="K99" s="10"/>
      </tp>
      <tp t="e">
        <v>#N/A</v>
        <stp/>
        <stp>BDH|15314154140844256440</stp>
        <tr r="AC96" s="10"/>
      </tp>
      <tp t="e">
        <v>#N/A</v>
        <stp/>
        <stp>BDH|13509166602895845795</stp>
        <tr r="AT27" s="10"/>
      </tp>
      <tp t="e">
        <v>#N/A</v>
        <stp/>
        <stp>BDH|14294728772977431365</stp>
        <tr r="F28" s="10"/>
      </tp>
      <tp t="e">
        <v>#N/A</v>
        <stp/>
        <stp>BDH|17421548925008629836</stp>
        <tr r="S46" s="10"/>
      </tp>
      <tp t="e">
        <v>#N/A</v>
        <stp/>
        <stp>BDH|11725635842250386351</stp>
        <tr r="AW129" s="10"/>
      </tp>
      <tp t="e">
        <v>#N/A</v>
        <stp/>
        <stp>BDH|13471312930897765427</stp>
        <tr r="P176" s="10"/>
      </tp>
      <tp t="e">
        <v>#N/A</v>
        <stp/>
        <stp>BDH|10550175435812035077</stp>
        <tr r="L147" s="10"/>
      </tp>
      <tp t="e">
        <v>#N/A</v>
        <stp/>
        <stp>BDH|17314101396069458616</stp>
        <tr r="F56" s="10"/>
      </tp>
      <tp t="e">
        <v>#N/A</v>
        <stp/>
        <stp>BDH|14878238054533887070</stp>
        <tr r="AN10" s="10"/>
      </tp>
      <tp t="e">
        <v>#N/A</v>
        <stp/>
        <stp>BDH|11043272588589747285</stp>
        <tr r="AG3" s="10"/>
      </tp>
      <tp t="e">
        <v>#N/A</v>
        <stp/>
        <stp>BDH|13665151451355442262</stp>
        <tr r="P139" s="10"/>
      </tp>
      <tp t="e">
        <v>#N/A</v>
        <stp/>
        <stp>BDH|18140507497107615301</stp>
        <tr r="V54" s="10"/>
      </tp>
      <tp t="e">
        <v>#N/A</v>
        <stp/>
        <stp>BDH|17122200691318637462</stp>
        <tr r="AK52" s="10"/>
      </tp>
      <tp t="e">
        <v>#N/A</v>
        <stp/>
        <stp>BDH|17963648758487645339</stp>
        <tr r="AK183" s="10"/>
      </tp>
      <tp t="e">
        <v>#N/A</v>
        <stp/>
        <stp>BDH|16060571602375410610</stp>
        <tr r="M133" s="10"/>
      </tp>
      <tp t="e">
        <v>#N/A</v>
        <stp/>
        <stp>BDH|11934675780288777797</stp>
        <tr r="AV116" s="10"/>
      </tp>
      <tp t="e">
        <v>#N/A</v>
        <stp/>
        <stp>BDH|15666983769139624312</stp>
        <tr r="P81" s="10"/>
      </tp>
      <tp t="e">
        <v>#N/A</v>
        <stp/>
        <stp>BDH|10443371100321696264</stp>
        <tr r="AT25" s="10"/>
      </tp>
      <tp t="e">
        <v>#N/A</v>
        <stp/>
        <stp>BDH|17417261510642495654</stp>
        <tr r="G187" s="10"/>
      </tp>
      <tp t="e">
        <v>#N/A</v>
        <stp/>
        <stp>BDH|15581929693891212452</stp>
        <tr r="Y136" s="10"/>
      </tp>
      <tp t="e">
        <v>#N/A</v>
        <stp/>
        <stp>BDH|10498185704187916626</stp>
        <tr r="J180" s="10"/>
      </tp>
      <tp t="e">
        <v>#N/A</v>
        <stp/>
        <stp>BDH|11021160741062401608</stp>
        <tr r="R28" s="10"/>
      </tp>
      <tp t="e">
        <v>#N/A</v>
        <stp/>
        <stp>BDH|14861948321589961670</stp>
        <tr r="AW148" s="10"/>
      </tp>
      <tp t="e">
        <v>#N/A</v>
        <stp/>
        <stp>BDH|14142893334199885672</stp>
        <tr r="D179" s="10"/>
      </tp>
      <tp t="e">
        <v>#N/A</v>
        <stp/>
        <stp>BDH|13096430481148329726</stp>
        <tr r="F57" s="10"/>
      </tp>
      <tp t="e">
        <v>#N/A</v>
        <stp/>
        <stp>BDH|11459107801072295247</stp>
        <tr r="AR55" s="10"/>
      </tp>
      <tp t="e">
        <v>#N/A</v>
        <stp/>
        <stp>BDH|15649841233699132733</stp>
        <tr r="AV139" s="10"/>
      </tp>
      <tp t="e">
        <v>#N/A</v>
        <stp/>
        <stp>BDH|11979135525472976053</stp>
        <tr r="I134" s="10"/>
      </tp>
      <tp t="e">
        <v>#N/A</v>
        <stp/>
        <stp>BDH|11376516747431127176</stp>
        <tr r="AF137" s="10"/>
      </tp>
      <tp t="e">
        <v>#N/A</v>
        <stp/>
        <stp>BDH|15568684159233184568</stp>
        <tr r="U92" s="10"/>
      </tp>
      <tp t="e">
        <v>#N/A</v>
        <stp/>
        <stp>BDH|17107091638517385309</stp>
        <tr r="AP64" s="10"/>
      </tp>
      <tp t="e">
        <v>#N/A</v>
        <stp/>
        <stp>BDH|18092686375021615895</stp>
        <tr r="AE168" s="10"/>
      </tp>
      <tp t="e">
        <v>#N/A</v>
        <stp/>
        <stp>BDH|12841678353202646380</stp>
        <tr r="K132" s="10"/>
      </tp>
      <tp t="e">
        <v>#N/A</v>
        <stp/>
        <stp>BDH|18289277857207829886</stp>
        <tr r="AO136" s="10"/>
      </tp>
      <tp t="e">
        <v>#N/A</v>
        <stp/>
        <stp>BDH|16438552431313429369</stp>
        <tr r="AS133" s="10"/>
      </tp>
      <tp t="e">
        <v>#N/A</v>
        <stp/>
        <stp>BDH|16272308759668906801</stp>
        <tr r="AK17" s="10"/>
      </tp>
      <tp t="e">
        <v>#N/A</v>
        <stp/>
        <stp>BDH|15475757206656193447</stp>
        <tr r="AB116" s="10"/>
      </tp>
      <tp t="e">
        <v>#N/A</v>
        <stp/>
        <stp>BDH|11565245002523274039</stp>
        <tr r="AF165" s="10"/>
      </tp>
      <tp t="e">
        <v>#N/A</v>
        <stp/>
        <stp>BDH|17552799019294059573</stp>
        <tr r="AG132" s="10"/>
      </tp>
      <tp t="e">
        <v>#N/A</v>
        <stp/>
        <stp>BDH|12158614924191562738</stp>
        <tr r="L44" s="10"/>
      </tp>
      <tp t="e">
        <v>#N/A</v>
        <stp/>
        <stp>BDH|15188044573140780238</stp>
        <tr r="G153" s="10"/>
      </tp>
      <tp t="e">
        <v>#N/A</v>
        <stp/>
        <stp>BDH|15559010265596291515</stp>
        <tr r="AU25" s="10"/>
      </tp>
      <tp t="e">
        <v>#N/A</v>
        <stp/>
        <stp>BDH|15514160112347252214</stp>
        <tr r="E24" s="10"/>
      </tp>
      <tp t="e">
        <v>#N/A</v>
        <stp/>
        <stp>BDH|13326358904812640264</stp>
        <tr r="AE88" s="10"/>
      </tp>
      <tp t="e">
        <v>#N/A</v>
        <stp/>
        <stp>BDH|13703926506703472954</stp>
        <tr r="L77" s="10"/>
      </tp>
      <tp t="e">
        <v>#N/A</v>
        <stp/>
        <stp>BDH|10704137733627210572</stp>
        <tr r="K69" s="10"/>
      </tp>
      <tp t="e">
        <v>#N/A</v>
        <stp/>
        <stp>BDH|16447197379307024763</stp>
        <tr r="P41" s="10"/>
      </tp>
      <tp t="e">
        <v>#N/A</v>
        <stp/>
        <stp>BDH|14910443606369132983</stp>
        <tr r="C103" s="10"/>
      </tp>
      <tp t="e">
        <v>#N/A</v>
        <stp/>
        <stp>BDH|17030675760334117344</stp>
        <tr r="AV45" s="10"/>
      </tp>
      <tp t="e">
        <v>#N/A</v>
        <stp/>
        <stp>BDH|13367631448000246184</stp>
        <tr r="AA57" s="10"/>
      </tp>
      <tp t="e">
        <v>#N/A</v>
        <stp/>
        <stp>BDH|13973659761870896378</stp>
        <tr r="AU136" s="10"/>
      </tp>
      <tp t="e">
        <v>#N/A</v>
        <stp/>
        <stp>BDH|12067515712165642370</stp>
        <tr r="AB138" s="10"/>
      </tp>
      <tp t="e">
        <v>#N/A</v>
        <stp/>
        <stp>BDH|12546293868795436325</stp>
        <tr r="E4" s="10"/>
      </tp>
      <tp t="e">
        <v>#N/A</v>
        <stp/>
        <stp>BDH|11943780345255776717</stp>
        <tr r="AC114" s="10"/>
      </tp>
      <tp t="e">
        <v>#N/A</v>
        <stp/>
        <stp>BDH|10207373671646544234</stp>
        <tr r="AR36" s="10"/>
      </tp>
      <tp t="e">
        <v>#N/A</v>
        <stp/>
        <stp>BDH|11786050712081088125</stp>
        <tr r="AW151" s="10"/>
      </tp>
      <tp t="e">
        <v>#N/A</v>
        <stp/>
        <stp>BDH|15511056765356576558</stp>
        <tr r="AK69" s="10"/>
      </tp>
      <tp t="e">
        <v>#N/A</v>
        <stp/>
        <stp>BDH|14730904846300764938</stp>
        <tr r="AQ9" s="10"/>
      </tp>
      <tp t="e">
        <v>#N/A</v>
        <stp/>
        <stp>BDH|10481772536713572753</stp>
        <tr r="W126" s="10"/>
      </tp>
      <tp t="e">
        <v>#N/A</v>
        <stp/>
        <stp>BDH|10414554553927477733</stp>
        <tr r="AT172" s="10"/>
      </tp>
      <tp t="e">
        <v>#N/A</v>
        <stp/>
        <stp>BDH|11356839575679607762</stp>
        <tr r="Z88" s="10"/>
      </tp>
      <tp t="e">
        <v>#N/A</v>
        <stp/>
        <stp>BDH|18024778073658938080</stp>
        <tr r="AM8" s="10"/>
      </tp>
      <tp t="e">
        <v>#N/A</v>
        <stp/>
        <stp>BDH|14805422303256475688</stp>
        <tr r="AA4" s="10"/>
      </tp>
      <tp t="e">
        <v>#N/A</v>
        <stp/>
        <stp>BDH|18386986563944441390</stp>
        <tr r="AQ33" s="10"/>
      </tp>
      <tp t="e">
        <v>#N/A</v>
        <stp/>
        <stp>BDH|11921499814814382029</stp>
        <tr r="AG56" s="10"/>
      </tp>
      <tp t="e">
        <v>#N/A</v>
        <stp/>
        <stp>BDH|16204396760205861660</stp>
        <tr r="H147" s="10"/>
      </tp>
      <tp t="e">
        <v>#N/A</v>
        <stp/>
        <stp>BDH|14177851686290712402</stp>
        <tr r="Y162" s="10"/>
      </tp>
      <tp t="e">
        <v>#N/A</v>
        <stp/>
        <stp>BDH|11812475755735750581</stp>
        <tr r="AQ54" s="10"/>
      </tp>
      <tp t="e">
        <v>#N/A</v>
        <stp/>
        <stp>BDH|10604229169437839308</stp>
        <tr r="G164" s="10"/>
      </tp>
      <tp t="e">
        <v>#N/A</v>
        <stp/>
        <stp>BDH|11394371360907374320</stp>
        <tr r="U123" s="10"/>
      </tp>
      <tp t="e">
        <v>#N/A</v>
        <stp/>
        <stp>BDH|13553860657099025712</stp>
        <tr r="AK75" s="10"/>
      </tp>
      <tp t="e">
        <v>#N/A</v>
        <stp/>
        <stp>BDH|17435835903296847994</stp>
        <tr r="AH33" s="10"/>
      </tp>
      <tp t="e">
        <v>#N/A</v>
        <stp/>
        <stp>BDH|14921326688928705707</stp>
        <tr r="AA68" s="10"/>
      </tp>
      <tp t="e">
        <v>#N/A</v>
        <stp/>
        <stp>BDH|14178688838327026657</stp>
        <tr r="AJ95" s="10"/>
      </tp>
      <tp t="e">
        <v>#N/A</v>
        <stp/>
        <stp>BDH|11663464602011327459</stp>
        <tr r="F25" s="10"/>
      </tp>
      <tp t="e">
        <v>#N/A</v>
        <stp/>
        <stp>BDH|11925051935592999047</stp>
        <tr r="X26" s="10"/>
      </tp>
      <tp t="e">
        <v>#N/A</v>
        <stp/>
        <stp>BDH|18271701967538894195</stp>
        <tr r="I186" s="10"/>
      </tp>
      <tp t="e">
        <v>#N/A</v>
        <stp/>
        <stp>BDH|14522069161205768710</stp>
        <tr r="AA65" s="10"/>
      </tp>
      <tp t="e">
        <v>#N/A</v>
        <stp/>
        <stp>BDH|16287504264321794458</stp>
        <tr r="AG102" s="10"/>
      </tp>
      <tp t="e">
        <v>#N/A</v>
        <stp/>
        <stp>BDH|13526614197528474439</stp>
        <tr r="M59" s="10"/>
      </tp>
      <tp t="e">
        <v>#N/A</v>
        <stp/>
        <stp>BDH|15473665851767665110</stp>
        <tr r="W157" s="10"/>
      </tp>
      <tp t="e">
        <v>#N/A</v>
        <stp/>
        <stp>BDH|13168654751951982182</stp>
        <tr r="O105" s="10"/>
      </tp>
      <tp t="e">
        <v>#N/A</v>
        <stp/>
        <stp>BDH|16459956884246400150</stp>
        <tr r="H72" s="10"/>
      </tp>
      <tp t="e">
        <v>#N/A</v>
        <stp/>
        <stp>BDH|11270773333762521770</stp>
        <tr r="O69" s="10"/>
      </tp>
      <tp t="e">
        <v>#N/A</v>
        <stp/>
        <stp>BDH|12760994460074270985</stp>
        <tr r="Q148" s="10"/>
      </tp>
      <tp t="e">
        <v>#N/A</v>
        <stp/>
        <stp>BDH|10710371812635051764</stp>
        <tr r="AW55" s="10"/>
      </tp>
      <tp t="e">
        <v>#N/A</v>
        <stp/>
        <stp>BDH|12210252532162614174</stp>
        <tr r="AT70" s="10"/>
      </tp>
      <tp t="e">
        <v>#N/A</v>
        <stp/>
        <stp>BDH|12218311617049012907</stp>
        <tr r="AD175" s="10"/>
      </tp>
      <tp t="e">
        <v>#N/A</v>
        <stp/>
        <stp>BDH|17662741700563332357</stp>
        <tr r="U100" s="10"/>
      </tp>
      <tp t="e">
        <v>#N/A</v>
        <stp/>
        <stp>BDH|11526837195528315847</stp>
        <tr r="Q118" s="10"/>
      </tp>
      <tp t="e">
        <v>#N/A</v>
        <stp/>
        <stp>BDH|12454357543142447721</stp>
        <tr r="AN50" s="10"/>
      </tp>
      <tp t="e">
        <v>#N/A</v>
        <stp/>
        <stp>BDH|16224809386743717578</stp>
        <tr r="Y141" s="10"/>
      </tp>
      <tp t="e">
        <v>#N/A</v>
        <stp/>
        <stp>BDH|15279132351762602326</stp>
        <tr r="F51" s="10"/>
      </tp>
      <tp t="e">
        <v>#N/A</v>
        <stp/>
        <stp>BDH|15075039065234419756</stp>
        <tr r="J142" s="10"/>
      </tp>
      <tp t="e">
        <v>#N/A</v>
        <stp/>
        <stp>BDH|17196613417912590252</stp>
        <tr r="G59" s="10"/>
      </tp>
      <tp t="e">
        <v>#N/A</v>
        <stp/>
        <stp>BDH|10439116041252116728</stp>
        <tr r="E41" s="10"/>
      </tp>
      <tp t="e">
        <v>#N/A</v>
        <stp/>
        <stp>BDH|17700545213717255459</stp>
        <tr r="AV148" s="10"/>
      </tp>
      <tp t="e">
        <v>#N/A</v>
        <stp/>
        <stp>BDH|15316746234962339370</stp>
        <tr r="AR171" s="10"/>
      </tp>
      <tp t="e">
        <v>#N/A</v>
        <stp/>
        <stp>BDH|16383173136034774021</stp>
        <tr r="AT65" s="10"/>
      </tp>
      <tp t="e">
        <v>#N/A</v>
        <stp/>
        <stp>BDH|10295735403962205579</stp>
        <tr r="D117" s="10"/>
      </tp>
      <tp t="e">
        <v>#N/A</v>
        <stp/>
        <stp>BDH|14333626407765458754</stp>
        <tr r="AU49" s="10"/>
      </tp>
      <tp t="e">
        <v>#N/A</v>
        <stp/>
        <stp>BDH|12489317912488713879</stp>
        <tr r="K144" s="10"/>
      </tp>
      <tp t="e">
        <v>#N/A</v>
        <stp/>
        <stp>BDH|11305786978732528310</stp>
        <tr r="AO80" s="10"/>
      </tp>
      <tp t="e">
        <v>#N/A</v>
        <stp/>
        <stp>BDH|14440327409735161291</stp>
        <tr r="F133" s="10"/>
      </tp>
      <tp t="e">
        <v>#N/A</v>
        <stp/>
        <stp>BDH|14155740312462733071</stp>
        <tr r="AJ148" s="10"/>
      </tp>
      <tp t="e">
        <v>#N/A</v>
        <stp/>
        <stp>BDH|10488124927483530039</stp>
        <tr r="I39" s="10"/>
      </tp>
      <tp t="e">
        <v>#N/A</v>
        <stp/>
        <stp>BDH|15686414733383660158</stp>
        <tr r="R152" s="10"/>
      </tp>
      <tp t="e">
        <v>#N/A</v>
        <stp/>
        <stp>BDH|14791823433788916788</stp>
        <tr r="T41" s="10"/>
      </tp>
      <tp t="e">
        <v>#N/A</v>
        <stp/>
        <stp>BDH|14686471717148918993</stp>
        <tr r="C32" s="10"/>
      </tp>
      <tp t="e">
        <v>#N/A</v>
        <stp/>
        <stp>BDH|13422471979682898245</stp>
        <tr r="AN92" s="10"/>
      </tp>
      <tp t="e">
        <v>#N/A</v>
        <stp/>
        <stp>BDH|17870202946968006983</stp>
        <tr r="U32" s="10"/>
      </tp>
      <tp t="e">
        <v>#N/A</v>
        <stp/>
        <stp>BDH|16421639460270409656</stp>
        <tr r="AS162" s="10"/>
      </tp>
      <tp t="e">
        <v>#N/A</v>
        <stp/>
        <stp>BDH|17053317576964673773</stp>
        <tr r="AP38" s="10"/>
      </tp>
      <tp t="e">
        <v>#N/A</v>
        <stp/>
        <stp>BDH|15214329340511374355</stp>
        <tr r="AW172" s="10"/>
      </tp>
      <tp t="e">
        <v>#N/A</v>
        <stp/>
        <stp>BDH|15312709194559954286</stp>
        <tr r="AD180" s="10"/>
      </tp>
      <tp t="e">
        <v>#N/A</v>
        <stp/>
        <stp>BDH|12589473052840391356</stp>
        <tr r="AP157" s="10"/>
      </tp>
      <tp t="e">
        <v>#N/A</v>
        <stp/>
        <stp>BDH|16772173177833736363</stp>
        <tr r="AI129" s="10"/>
      </tp>
      <tp t="e">
        <v>#N/A</v>
        <stp/>
        <stp>BDH|16056135814712121406</stp>
        <tr r="AP34" s="10"/>
      </tp>
      <tp t="e">
        <v>#N/A</v>
        <stp/>
        <stp>BDH|10039918171686273849</stp>
        <tr r="M183" s="10"/>
      </tp>
      <tp t="e">
        <v>#N/A</v>
        <stp/>
        <stp>BDH|10897462719003587642</stp>
        <tr r="AO130" s="10"/>
      </tp>
      <tp t="e">
        <v>#N/A</v>
        <stp/>
        <stp>BDH|16094230326362426479</stp>
        <tr r="S98" s="10"/>
      </tp>
      <tp t="e">
        <v>#N/A</v>
        <stp/>
        <stp>BDH|18041217485965632749</stp>
        <tr r="AR78" s="10"/>
      </tp>
      <tp t="e">
        <v>#N/A</v>
        <stp/>
        <stp>BDH|12026329787121057838</stp>
        <tr r="T98" s="10"/>
      </tp>
      <tp t="e">
        <v>#N/A</v>
        <stp/>
        <stp>BDH|10285914263817418823</stp>
        <tr r="J54" s="10"/>
      </tp>
      <tp t="e">
        <v>#N/A</v>
        <stp/>
        <stp>BDH|18421778324128353528</stp>
        <tr r="F143" s="10"/>
      </tp>
      <tp t="e">
        <v>#N/A</v>
        <stp/>
        <stp>BDH|14932306735260841425</stp>
        <tr r="I111" s="10"/>
      </tp>
      <tp t="e">
        <v>#N/A</v>
        <stp/>
        <stp>BDH|16725659445926377221</stp>
        <tr r="AL76" s="10"/>
      </tp>
      <tp t="e">
        <v>#N/A</v>
        <stp/>
        <stp>BDH|18349939823003259082</stp>
        <tr r="H182" s="10"/>
      </tp>
      <tp t="e">
        <v>#N/A</v>
        <stp/>
        <stp>BDH|12840432023586785262</stp>
        <tr r="M18" s="10"/>
      </tp>
      <tp t="e">
        <v>#N/A</v>
        <stp/>
        <stp>BDH|10876985188962469354</stp>
        <tr r="AB77" s="10"/>
      </tp>
      <tp t="e">
        <v>#N/A</v>
        <stp/>
        <stp>BDH|13059967382905920740</stp>
        <tr r="AR26" s="10"/>
      </tp>
      <tp t="e">
        <v>#N/A</v>
        <stp/>
        <stp>BDH|16020652663812833473</stp>
        <tr r="AI112" s="10"/>
      </tp>
      <tp t="e">
        <v>#N/A</v>
        <stp/>
        <stp>BDH|11130883366839661600</stp>
        <tr r="AB139" s="10"/>
      </tp>
      <tp t="e">
        <v>#N/A</v>
        <stp/>
        <stp>BDH|13520378095068819166</stp>
        <tr r="H123" s="10"/>
      </tp>
      <tp t="e">
        <v>#N/A</v>
        <stp/>
        <stp>BDH|15285387919390976736</stp>
        <tr r="AP26" s="10"/>
      </tp>
      <tp t="e">
        <v>#N/A</v>
        <stp/>
        <stp>BDH|14060995247961169860</stp>
        <tr r="G179" s="10"/>
      </tp>
      <tp t="e">
        <v>#N/A</v>
        <stp/>
        <stp>BDH|11077120644812979664</stp>
        <tr r="AN101" s="10"/>
      </tp>
      <tp t="e">
        <v>#N/A</v>
        <stp/>
        <stp>BDH|16377589913256470458</stp>
        <tr r="F40" s="10"/>
      </tp>
      <tp t="e">
        <v>#N/A</v>
        <stp/>
        <stp>BDH|15570905109004547807</stp>
        <tr r="AT96" s="10"/>
      </tp>
      <tp t="e">
        <v>#N/A</v>
        <stp/>
        <stp>BDH|13070671342382429381</stp>
        <tr r="F151" s="10"/>
      </tp>
      <tp t="e">
        <v>#N/A</v>
        <stp/>
        <stp>BDH|10814343847792576577</stp>
        <tr r="W171" s="10"/>
      </tp>
      <tp t="e">
        <v>#N/A</v>
        <stp/>
        <stp>BDH|10712573819456347229</stp>
        <tr r="P101" s="10"/>
      </tp>
      <tp t="e">
        <v>#N/A</v>
        <stp/>
        <stp>BDH|11572969480056956620</stp>
        <tr r="H106" s="10"/>
      </tp>
      <tp t="e">
        <v>#N/A</v>
        <stp/>
        <stp>BDH|15392747211426734592</stp>
        <tr r="R50" s="10"/>
      </tp>
      <tp t="e">
        <v>#N/A</v>
        <stp/>
        <stp>BDH|11971628262436390728</stp>
        <tr r="AV143" s="10"/>
      </tp>
      <tp t="e">
        <v>#N/A</v>
        <stp/>
        <stp>BDH|15961091347702662398</stp>
        <tr r="AQ21" s="10"/>
      </tp>
      <tp t="e">
        <v>#N/A</v>
        <stp/>
        <stp>BDH|12906994997787989566</stp>
        <tr r="AI141" s="10"/>
      </tp>
      <tp t="e">
        <v>#N/A</v>
        <stp/>
        <stp>BDH|12215646439637280054</stp>
        <tr r="AO52" s="10"/>
      </tp>
      <tp t="e">
        <v>#N/A</v>
        <stp/>
        <stp>BDH|14301015254688692986</stp>
        <tr r="AS73" s="10"/>
      </tp>
      <tp t="e">
        <v>#N/A</v>
        <stp/>
        <stp>BDH|13330694266283158051</stp>
        <tr r="G10" s="10"/>
      </tp>
      <tp t="e">
        <v>#N/A</v>
        <stp/>
        <stp>BDH|15543701495752008984</stp>
        <tr r="AI153" s="10"/>
      </tp>
      <tp t="e">
        <v>#N/A</v>
        <stp/>
        <stp>BDH|15485473873702999410</stp>
        <tr r="X160" s="10"/>
      </tp>
      <tp t="e">
        <v>#N/A</v>
        <stp/>
        <stp>BDH|18030886506932497220</stp>
        <tr r="O26" s="10"/>
      </tp>
      <tp t="e">
        <v>#N/A</v>
        <stp/>
        <stp>BDH|15004011538144173203</stp>
        <tr r="AP156" s="10"/>
      </tp>
      <tp t="e">
        <v>#N/A</v>
        <stp/>
        <stp>BDH|17204978439439757403</stp>
        <tr r="F65" s="10"/>
      </tp>
      <tp t="e">
        <v>#N/A</v>
        <stp/>
        <stp>BDH|13246120568297569369</stp>
        <tr r="M106" s="10"/>
      </tp>
      <tp t="e">
        <v>#N/A</v>
        <stp/>
        <stp>BDH|10106698271699603843</stp>
        <tr r="P151" s="10"/>
      </tp>
      <tp t="e">
        <v>#N/A</v>
        <stp/>
        <stp>BDH|14673255474575921457</stp>
        <tr r="Z31" s="10"/>
      </tp>
      <tp t="e">
        <v>#N/A</v>
        <stp/>
        <stp>BDH|11463975302560318896</stp>
        <tr r="Q40" s="10"/>
      </tp>
      <tp t="e">
        <v>#N/A</v>
        <stp/>
        <stp>BDH|11403084690218657012</stp>
        <tr r="AS151" s="10"/>
      </tp>
      <tp t="e">
        <v>#N/A</v>
        <stp/>
        <stp>BDH|10026022579554163313</stp>
        <tr r="AO57" s="10"/>
      </tp>
      <tp t="e">
        <v>#N/A</v>
        <stp/>
        <stp>BDH|11764999076836167921</stp>
        <tr r="X184" s="10"/>
      </tp>
      <tp t="e">
        <v>#N/A</v>
        <stp/>
        <stp>BDH|11141035123032333195</stp>
        <tr r="AQ4" s="10"/>
      </tp>
      <tp t="e">
        <v>#N/A</v>
        <stp/>
        <stp>BDH|17852412243186909183</stp>
        <tr r="AP48" s="10"/>
      </tp>
      <tp t="e">
        <v>#N/A</v>
        <stp/>
        <stp>BDH|11395867281894745586</stp>
        <tr r="Q61" s="10"/>
      </tp>
      <tp t="e">
        <v>#N/A</v>
        <stp/>
        <stp>BDH|17709252748517984695</stp>
        <tr r="AG160" s="10"/>
      </tp>
      <tp t="e">
        <v>#N/A</v>
        <stp/>
        <stp>BDH|13042880885345383646</stp>
        <tr r="U154" s="10"/>
      </tp>
      <tp t="e">
        <v>#N/A</v>
        <stp/>
        <stp>BDH|17214517828687291730</stp>
        <tr r="AQ56" s="10"/>
      </tp>
      <tp t="e">
        <v>#N/A</v>
        <stp/>
        <stp>BDH|13243682849963928205</stp>
        <tr r="Q57" s="10"/>
      </tp>
      <tp t="e">
        <v>#N/A</v>
        <stp/>
        <stp>BDH|16397190528063971611</stp>
        <tr r="AI44" s="10"/>
      </tp>
      <tp t="e">
        <v>#N/A</v>
        <stp/>
        <stp>BDH|11900861064048162708</stp>
        <tr r="AN21" s="10"/>
      </tp>
      <tp t="e">
        <v>#N/A</v>
        <stp/>
        <stp>BDH|14138413803845159580</stp>
        <tr r="AA45" s="10"/>
      </tp>
      <tp t="e">
        <v>#N/A</v>
        <stp/>
        <stp>BDH|14659142748934341536</stp>
        <tr r="I27" s="10"/>
      </tp>
      <tp t="e">
        <v>#N/A</v>
        <stp/>
        <stp>BDH|14106590006002202363</stp>
        <tr r="O133" s="10"/>
      </tp>
      <tp t="e">
        <v>#N/A</v>
        <stp/>
        <stp>BDH|12995437132733386612</stp>
        <tr r="AI35" s="10"/>
      </tp>
      <tp t="e">
        <v>#N/A</v>
        <stp/>
        <stp>BDH|17310947132459660495</stp>
        <tr r="AM81" s="10"/>
      </tp>
      <tp t="e">
        <v>#N/A</v>
        <stp/>
        <stp>BDH|15930421195328068041</stp>
        <tr r="AI75" s="10"/>
      </tp>
      <tp t="e">
        <v>#N/A</v>
        <stp/>
        <stp>BDH|14229325923190868516</stp>
        <tr r="AP16" s="10"/>
      </tp>
      <tp t="e">
        <v>#N/A</v>
        <stp/>
        <stp>BDH|11780124459916159375</stp>
        <tr r="T178" s="10"/>
      </tp>
      <tp t="e">
        <v>#N/A</v>
        <stp/>
        <stp>BDH|14724797087399379204</stp>
        <tr r="AT134" s="10"/>
      </tp>
      <tp t="e">
        <v>#N/A</v>
        <stp/>
        <stp>BDH|12657306840660866538</stp>
        <tr r="P108" s="10"/>
      </tp>
      <tp t="e">
        <v>#N/A</v>
        <stp/>
        <stp>BDH|16677109469060772152</stp>
        <tr r="R153" s="10"/>
      </tp>
      <tp t="e">
        <v>#N/A</v>
        <stp/>
        <stp>BDH|13696254428216177572</stp>
        <tr r="AD150" s="10"/>
      </tp>
      <tp t="e">
        <v>#N/A</v>
        <stp/>
        <stp>BDH|11056710051231909248</stp>
        <tr r="AB186" s="10"/>
      </tp>
      <tp t="e">
        <v>#N/A</v>
        <stp/>
        <stp>BDH|15818109244148404856</stp>
        <tr r="AA41" s="10"/>
      </tp>
      <tp t="e">
        <v>#N/A</v>
        <stp/>
        <stp>BDH|10909580888745314879</stp>
        <tr r="AM190" s="10"/>
      </tp>
      <tp t="e">
        <v>#N/A</v>
        <stp/>
        <stp>BDH|14143060278267385410</stp>
        <tr r="H134" s="10"/>
      </tp>
      <tp t="e">
        <v>#N/A</v>
        <stp/>
        <stp>BDH|17644040453081401388</stp>
        <tr r="AS139" s="10"/>
      </tp>
      <tp t="e">
        <v>#N/A</v>
        <stp/>
        <stp>BDH|17602011579036341609</stp>
        <tr r="AS126" s="10"/>
      </tp>
      <tp t="e">
        <v>#N/A</v>
        <stp/>
        <stp>BDH|16561347282739766493</stp>
        <tr r="AB118" s="10"/>
      </tp>
      <tp t="e">
        <v>#N/A</v>
        <stp/>
        <stp>BDH|17798661028422497107</stp>
        <tr r="AO105" s="10"/>
      </tp>
      <tp t="e">
        <v>#N/A</v>
        <stp/>
        <stp>BDH|16129340416312953674</stp>
        <tr r="AC110" s="10"/>
      </tp>
      <tp t="e">
        <v>#N/A</v>
        <stp/>
        <stp>BDH|12851235865007512161</stp>
        <tr r="X181" s="10"/>
      </tp>
      <tp t="e">
        <v>#N/A</v>
        <stp/>
        <stp>BDH|14460630910663305097</stp>
        <tr r="AW76" s="10"/>
      </tp>
      <tp t="e">
        <v>#N/A</v>
        <stp/>
        <stp>BDH|15536630868056239317</stp>
        <tr r="I193" s="10"/>
      </tp>
      <tp t="e">
        <v>#N/A</v>
        <stp/>
        <stp>BDH|13134546569509442951</stp>
        <tr r="AP111" s="10"/>
      </tp>
      <tp t="e">
        <v>#N/A</v>
        <stp/>
        <stp>BDH|12702922243377274892</stp>
        <tr r="T173" s="10"/>
      </tp>
      <tp t="e">
        <v>#N/A</v>
        <stp/>
        <stp>BDH|12969743053117490764</stp>
        <tr r="U153" s="10"/>
      </tp>
      <tp t="e">
        <v>#N/A</v>
        <stp/>
        <stp>BDH|17106099522601565431</stp>
        <tr r="AQ120" s="10"/>
      </tp>
      <tp t="e">
        <v>#N/A</v>
        <stp/>
        <stp>BDH|14931604337995281409</stp>
        <tr r="X91" s="10"/>
      </tp>
      <tp t="e">
        <v>#N/A</v>
        <stp/>
        <stp>BDH|15401161952249551898</stp>
        <tr r="AM24" s="10"/>
      </tp>
      <tp t="e">
        <v>#N/A</v>
        <stp/>
        <stp>BDH|17282074410356091098</stp>
        <tr r="N166" s="10"/>
      </tp>
      <tp t="e">
        <v>#N/A</v>
        <stp/>
        <stp>BDH|15120600415141975318</stp>
        <tr r="AD168" s="10"/>
      </tp>
      <tp t="e">
        <v>#N/A</v>
        <stp/>
        <stp>BDH|10353236738517061643</stp>
        <tr r="AR68" s="10"/>
      </tp>
      <tp t="e">
        <v>#N/A</v>
        <stp/>
        <stp>BDH|15382044965960978372</stp>
        <tr r="AM119" s="10"/>
      </tp>
      <tp t="e">
        <v>#N/A</v>
        <stp/>
        <stp>BDH|13695038359675866381</stp>
        <tr r="Z39" s="10"/>
      </tp>
      <tp t="e">
        <v>#N/A</v>
        <stp/>
        <stp>BDH|12841674772371079213</stp>
        <tr r="R147" s="10"/>
      </tp>
      <tp t="e">
        <v>#N/A</v>
        <stp/>
        <stp>BDH|11997221677031587556</stp>
        <tr r="AQ155" s="10"/>
      </tp>
      <tp t="e">
        <v>#N/A</v>
        <stp/>
        <stp>BDH|17833790859525426001</stp>
        <tr r="T162" s="10"/>
      </tp>
      <tp t="e">
        <v>#N/A</v>
        <stp/>
        <stp>BDH|16838339263976201567</stp>
        <tr r="F64" s="10"/>
      </tp>
      <tp t="e">
        <v>#N/A</v>
        <stp/>
        <stp>BDH|15380249105647817062</stp>
        <tr r="AO78" s="10"/>
      </tp>
      <tp t="e">
        <v>#N/A</v>
        <stp/>
        <stp>BDH|10153886166416392835</stp>
        <tr r="N77" s="10"/>
      </tp>
      <tp t="e">
        <v>#N/A</v>
        <stp/>
        <stp>BDH|15583564600694560495</stp>
        <tr r="T121" s="10"/>
      </tp>
      <tp t="e">
        <v>#N/A</v>
        <stp/>
        <stp>BDH|16711759957870967439</stp>
        <tr r="AK46" s="10"/>
      </tp>
      <tp t="e">
        <v>#N/A</v>
        <stp/>
        <stp>BDH|15897772135240336165</stp>
        <tr r="M94" s="10"/>
      </tp>
      <tp t="e">
        <v>#N/A</v>
        <stp/>
        <stp>BDH|12122727528943443407</stp>
        <tr r="U85" s="10"/>
      </tp>
      <tp t="e">
        <v>#N/A</v>
        <stp/>
        <stp>BDH|12199364261497952001</stp>
        <tr r="AU77" s="10"/>
      </tp>
      <tp t="e">
        <v>#N/A</v>
        <stp/>
        <stp>BDH|17388377351269353894</stp>
        <tr r="AH123" s="10"/>
      </tp>
      <tp t="e">
        <v>#N/A</v>
        <stp/>
        <stp>BDH|16166274439721719678</stp>
        <tr r="X59" s="10"/>
      </tp>
      <tp t="e">
        <v>#N/A</v>
        <stp/>
        <stp>BDH|12562148824203398296</stp>
        <tr r="K125" s="10"/>
      </tp>
      <tp t="e">
        <v>#N/A</v>
        <stp/>
        <stp>BDH|16915119930661754509</stp>
        <tr r="G23" s="10"/>
      </tp>
      <tp t="e">
        <v>#N/A</v>
        <stp/>
        <stp>BDH|15489499637584024656</stp>
        <tr r="M174" s="10"/>
      </tp>
      <tp t="e">
        <v>#N/A</v>
        <stp/>
        <stp>BDH|16133845328674541873</stp>
        <tr r="AL24" s="10"/>
      </tp>
      <tp t="e">
        <v>#N/A</v>
        <stp/>
        <stp>BDH|11495773248846475403</stp>
        <tr r="AF21" s="10"/>
      </tp>
      <tp t="e">
        <v>#N/A</v>
        <stp/>
        <stp>BDH|11439282569413946634</stp>
        <tr r="P4" s="10"/>
      </tp>
      <tp t="e">
        <v>#N/A</v>
        <stp/>
        <stp>BDH|17844279918551847508</stp>
        <tr r="AI100" s="10"/>
      </tp>
      <tp t="e">
        <v>#N/A</v>
        <stp/>
        <stp>BDH|15238437137395042797</stp>
        <tr r="K181" s="10"/>
      </tp>
      <tp t="e">
        <v>#N/A</v>
        <stp/>
        <stp>BDH|15408846788802624707</stp>
        <tr r="AP184" s="10"/>
      </tp>
      <tp t="e">
        <v>#N/A</v>
        <stp/>
        <stp>BDH|13843794240967742786</stp>
        <tr r="G93" s="10"/>
      </tp>
      <tp t="e">
        <v>#N/A</v>
        <stp/>
        <stp>BDH|10232080432334392752</stp>
        <tr r="R118" s="10"/>
      </tp>
      <tp t="e">
        <v>#N/A</v>
        <stp/>
        <stp>BDH|12416800418158181333</stp>
        <tr r="M100" s="10"/>
      </tp>
      <tp t="e">
        <v>#N/A</v>
        <stp/>
        <stp>BDH|10876000107089949989</stp>
        <tr r="AC34" s="10"/>
      </tp>
      <tp t="e">
        <v>#N/A</v>
        <stp/>
        <stp>BDH|16157741712568873819</stp>
        <tr r="J106" s="10"/>
      </tp>
      <tp t="e">
        <v>#N/A</v>
        <stp/>
        <stp>BDH|16840159185748164771</stp>
        <tr r="AB51" s="10"/>
      </tp>
      <tp t="e">
        <v>#N/A</v>
        <stp/>
        <stp>BDH|14936157060543655048</stp>
        <tr r="C86" s="10"/>
      </tp>
      <tp t="e">
        <v>#N/A</v>
        <stp/>
        <stp>BDH|17125055245332961160</stp>
        <tr r="AN152" s="10"/>
      </tp>
      <tp t="e">
        <v>#N/A</v>
        <stp/>
        <stp>BDH|11207640098338508655</stp>
        <tr r="T155" s="10"/>
      </tp>
      <tp t="e">
        <v>#N/A</v>
        <stp/>
        <stp>BDH|16073006828421531530</stp>
        <tr r="AC175" s="10"/>
      </tp>
      <tp t="e">
        <v>#N/A</v>
        <stp/>
        <stp>BDH|13141161123743242383</stp>
        <tr r="AR154" s="10"/>
      </tp>
      <tp t="e">
        <v>#N/A</v>
        <stp/>
        <stp>BDH|11213025324900912339</stp>
        <tr r="AC36" s="10"/>
      </tp>
    </main>
    <main first="bofaddin.rtdserver">
      <tp t="s">
        <v>#N/A Requesting Data...1491841495</v>
        <stp/>
        <stp>BDP|17934581229317762666</stp>
        <tr r="I12" s="1"/>
      </tp>
      <tp t="s">
        <v>#N/A Requesting Data...2286120613</v>
        <stp/>
        <stp>BDP|13156889903252734851</stp>
        <tr r="D38" s="1"/>
      </tp>
      <tp t="s">
        <v>#N/A Requesting Data...2716794578</v>
        <stp/>
        <stp>BDP|12393315147007673389</stp>
        <tr r="O36" s="1"/>
      </tp>
      <tp t="s">
        <v>#N/A Requesting Data...2969918536</v>
        <stp/>
        <stp>BDP|15650791563225428047</stp>
        <tr r="F83" s="2"/>
      </tp>
      <tp t="s">
        <v>#N/A Requesting Data...1051331843</v>
        <stp/>
        <stp>BDP|17115388509437720286</stp>
        <tr r="D37" s="6"/>
        <tr r="H26" s="1"/>
      </tp>
      <tp t="s">
        <v>#N/A Requesting Data...2901456280</v>
        <stp/>
        <stp>BDP|11066655877298688947</stp>
        <tr r="I23" s="1"/>
      </tp>
      <tp t="s">
        <v>#N/A Requesting Data...1589690709</v>
        <stp/>
        <stp>BDP|17921539112426643490</stp>
        <tr r="G28" s="3"/>
        <tr r="B11" s="6"/>
        <tr r="H11" s="2"/>
      </tp>
      <tp t="s">
        <v>#N/A Requesting Data...1336109640</v>
        <stp/>
        <stp>BDP|18280118584921524141</stp>
        <tr r="H116" s="2"/>
      </tp>
      <tp t="s">
        <v>#N/A Requesting Data...1847043968</v>
        <stp/>
        <stp>BDP|12119697632546956054</stp>
        <tr r="B40" s="1"/>
      </tp>
      <tp t="e">
        <v>#N/A</v>
        <stp/>
        <stp>BDH|10656432142036595735</stp>
        <tr r="Q29" s="10"/>
      </tp>
      <tp t="e">
        <v>#N/A</v>
        <stp/>
        <stp>BDH|14340025006555080065</stp>
        <tr r="AF111" s="10"/>
      </tp>
      <tp t="e">
        <v>#N/A</v>
        <stp/>
        <stp>BDH|12703367356404784112</stp>
        <tr r="Z24" s="10"/>
      </tp>
      <tp t="e">
        <v>#N/A</v>
        <stp/>
        <stp>BDH|10269273398332879848</stp>
        <tr r="AS192" s="10"/>
      </tp>
      <tp t="e">
        <v>#N/A</v>
        <stp/>
        <stp>BDH|12400128051562024566</stp>
        <tr r="AQ190" s="10"/>
      </tp>
      <tp t="e">
        <v>#N/A</v>
        <stp/>
        <stp>BDH|12089371486669814186</stp>
        <tr r="J108" s="10"/>
      </tp>
      <tp t="e">
        <v>#N/A</v>
        <stp/>
        <stp>BDH|16650544461544398012</stp>
        <tr r="N154" s="10"/>
      </tp>
      <tp t="e">
        <v>#N/A</v>
        <stp/>
        <stp>BDH|16321775771547484005</stp>
        <tr r="H28" s="10"/>
      </tp>
      <tp t="e">
        <v>#N/A</v>
        <stp/>
        <stp>BDH|14653362235116792330</stp>
        <tr r="AT132" s="10"/>
      </tp>
      <tp t="e">
        <v>#N/A</v>
        <stp/>
        <stp>BDH|16812801838768982481</stp>
        <tr r="W116" s="10"/>
      </tp>
      <tp t="e">
        <v>#N/A</v>
        <stp/>
        <stp>BDH|16425002047523434068</stp>
        <tr r="H40" s="10"/>
      </tp>
      <tp t="e">
        <v>#N/A</v>
        <stp/>
        <stp>BDH|12759383750625990074</stp>
        <tr r="F111" s="10"/>
      </tp>
      <tp t="e">
        <v>#N/A</v>
        <stp/>
        <stp>BDH|16024476282298088343</stp>
        <tr r="D183" s="10"/>
      </tp>
      <tp t="e">
        <v>#N/A</v>
        <stp/>
        <stp>BDH|10310819552744250837</stp>
        <tr r="X167" s="10"/>
      </tp>
      <tp t="e">
        <v>#N/A</v>
        <stp/>
        <stp>BDH|12263879659919887753</stp>
        <tr r="AO65" s="10"/>
      </tp>
      <tp t="e">
        <v>#N/A</v>
        <stp/>
        <stp>BDH|13332326434634344675</stp>
        <tr r="AQ101" s="10"/>
      </tp>
      <tp t="e">
        <v>#N/A</v>
        <stp/>
        <stp>BDH|15203113025492406536</stp>
        <tr r="AO163" s="10"/>
      </tp>
      <tp t="e">
        <v>#N/A</v>
        <stp/>
        <stp>BDH|10015051054186875287</stp>
        <tr r="Y65" s="10"/>
      </tp>
      <tp t="e">
        <v>#N/A</v>
        <stp/>
        <stp>BDH|10052055609119550885</stp>
        <tr r="D56" s="10"/>
      </tp>
      <tp t="e">
        <v>#N/A</v>
        <stp/>
        <stp>BDH|17324754158173938764</stp>
        <tr r="V146" s="10"/>
      </tp>
      <tp t="e">
        <v>#N/A</v>
        <stp/>
        <stp>BDH|10835650793148834671</stp>
        <tr r="AH192" s="10"/>
      </tp>
      <tp t="e">
        <v>#N/A</v>
        <stp/>
        <stp>BDH|15656260878293060296</stp>
        <tr r="X144" s="10"/>
      </tp>
      <tp t="e">
        <v>#N/A</v>
        <stp/>
        <stp>BDH|15492912080373532600</stp>
        <tr r="M44" s="10"/>
      </tp>
      <tp t="e">
        <v>#N/A</v>
        <stp/>
        <stp>BDH|14313295262015987416</stp>
        <tr r="P173" s="10"/>
      </tp>
      <tp t="e">
        <v>#N/A</v>
        <stp/>
        <stp>BDH|16325034782937308816</stp>
        <tr r="AL120" s="10"/>
      </tp>
      <tp t="e">
        <v>#N/A</v>
        <stp/>
        <stp>BDH|14982361907247009182</stp>
        <tr r="AG115" s="10"/>
      </tp>
      <tp t="e">
        <v>#N/A</v>
        <stp/>
        <stp>BDH|16481683650994849049</stp>
        <tr r="W120" s="10"/>
      </tp>
      <tp t="e">
        <v>#N/A</v>
        <stp/>
        <stp>BDH|12157567253283252068</stp>
        <tr r="AH5" s="10"/>
      </tp>
      <tp t="e">
        <v>#N/A</v>
        <stp/>
        <stp>BDH|16152246612311249558</stp>
        <tr r="AW119" s="10"/>
      </tp>
      <tp t="e">
        <v>#N/A</v>
        <stp/>
        <stp>BDH|13362908678454319887</stp>
        <tr r="Y157" s="10"/>
      </tp>
      <tp t="e">
        <v>#N/A</v>
        <stp/>
        <stp>BDH|17038228463177612578</stp>
        <tr r="AR58" s="10"/>
      </tp>
      <tp t="e">
        <v>#N/A</v>
        <stp/>
        <stp>BDH|13260449007634087212</stp>
        <tr r="AM177" s="10"/>
      </tp>
      <tp t="e">
        <v>#N/A</v>
        <stp/>
        <stp>BDH|14733280179621378150</stp>
        <tr r="X106" s="10"/>
      </tp>
      <tp t="e">
        <v>#N/A</v>
        <stp/>
        <stp>BDH|14409614434892582246</stp>
        <tr r="I192" s="10"/>
      </tp>
      <tp t="e">
        <v>#N/A</v>
        <stp/>
        <stp>BDH|10120061817391234123</stp>
        <tr r="P9" s="10"/>
      </tp>
      <tp t="e">
        <v>#N/A</v>
        <stp/>
        <stp>BDH|17033542717646750442</stp>
        <tr r="X57" s="10"/>
      </tp>
      <tp t="e">
        <v>#N/A</v>
        <stp/>
        <stp>BDH|10672387748145329354</stp>
        <tr r="K53" s="10"/>
      </tp>
      <tp t="e">
        <v>#N/A</v>
        <stp/>
        <stp>BDH|10247050416372201230</stp>
        <tr r="AF77" s="10"/>
      </tp>
      <tp t="e">
        <v>#N/A</v>
        <stp/>
        <stp>BDH|12735892185167339486</stp>
        <tr r="L129" s="10"/>
      </tp>
      <tp t="e">
        <v>#N/A</v>
        <stp/>
        <stp>BDH|11603629665381699177</stp>
        <tr r="K82" s="10"/>
      </tp>
      <tp t="e">
        <v>#N/A</v>
        <stp/>
        <stp>BDH|12957494153581185317</stp>
        <tr r="AV108" s="10"/>
      </tp>
      <tp t="e">
        <v>#N/A</v>
        <stp/>
        <stp>BDH|17404059748941382393</stp>
        <tr r="U15" s="10"/>
      </tp>
      <tp t="e">
        <v>#N/A</v>
        <stp/>
        <stp>BDH|11973656174278303988</stp>
        <tr r="R151" s="10"/>
      </tp>
      <tp t="e">
        <v>#N/A</v>
        <stp/>
        <stp>BDH|11309273865872029623</stp>
        <tr r="AL55" s="10"/>
      </tp>
      <tp t="e">
        <v>#N/A</v>
        <stp/>
        <stp>BDH|13863075633884687599</stp>
        <tr r="AF26" s="10"/>
      </tp>
      <tp t="e">
        <v>#N/A</v>
        <stp/>
        <stp>BDH|16071549394052111925</stp>
        <tr r="AA112" s="10"/>
      </tp>
      <tp t="e">
        <v>#N/A</v>
        <stp/>
        <stp>BDH|15160005454966172777</stp>
        <tr r="H48" s="10"/>
      </tp>
      <tp t="e">
        <v>#N/A</v>
        <stp/>
        <stp>BDH|14392048192964008861</stp>
        <tr r="K18" s="10"/>
      </tp>
      <tp t="e">
        <v>#N/A</v>
        <stp/>
        <stp>BDH|17717637860952632410</stp>
        <tr r="V89" s="10"/>
      </tp>
      <tp t="e">
        <v>#N/A</v>
        <stp/>
        <stp>BDH|13058350624406511573</stp>
        <tr r="K138" s="10"/>
      </tp>
      <tp t="e">
        <v>#N/A</v>
        <stp/>
        <stp>BDH|14592253501326523178</stp>
        <tr r="AL152" s="10"/>
      </tp>
      <tp t="e">
        <v>#N/A</v>
        <stp/>
        <stp>BDH|11507062330245589658</stp>
        <tr r="AB119" s="10"/>
      </tp>
      <tp t="e">
        <v>#N/A</v>
        <stp/>
        <stp>BDH|14817800498813716748</stp>
        <tr r="AG28" s="10"/>
      </tp>
      <tp t="e">
        <v>#N/A</v>
        <stp/>
        <stp>BDH|16778191888057252973</stp>
        <tr r="I163" s="10"/>
      </tp>
      <tp t="e">
        <v>#N/A</v>
        <stp/>
        <stp>BDH|10814567850136902740</stp>
        <tr r="M186" s="10"/>
      </tp>
      <tp t="e">
        <v>#N/A</v>
        <stp/>
        <stp>BDH|11347397008656916582</stp>
        <tr r="AW100" s="10"/>
      </tp>
      <tp t="e">
        <v>#N/A</v>
        <stp/>
        <stp>BDH|13561160232318463865</stp>
        <tr r="S129" s="10"/>
      </tp>
      <tp t="e">
        <v>#N/A</v>
        <stp/>
        <stp>BDH|18358965205511709143</stp>
        <tr r="AH153" s="10"/>
      </tp>
      <tp t="e">
        <v>#N/A</v>
        <stp/>
        <stp>BDH|12357033136555042552</stp>
        <tr r="X131" s="10"/>
      </tp>
      <tp t="e">
        <v>#N/A</v>
        <stp/>
        <stp>BDH|10181365204334832688</stp>
        <tr r="G177" s="10"/>
      </tp>
      <tp t="e">
        <v>#N/A</v>
        <stp/>
        <stp>BDH|11420054844814385052</stp>
        <tr r="AT34" s="10"/>
      </tp>
      <tp t="e">
        <v>#N/A</v>
        <stp/>
        <stp>BDH|12361441967074747547</stp>
        <tr r="N109" s="10"/>
      </tp>
      <tp t="e">
        <v>#N/A</v>
        <stp/>
        <stp>BDH|15906158439435644313</stp>
        <tr r="AF177" s="10"/>
      </tp>
      <tp t="e">
        <v>#N/A</v>
        <stp/>
        <stp>BDH|10972080634213577129</stp>
        <tr r="AM147" s="10"/>
      </tp>
      <tp t="e">
        <v>#N/A</v>
        <stp/>
        <stp>BDH|13437923822070184972</stp>
        <tr r="D182" s="10"/>
      </tp>
      <tp t="e">
        <v>#N/A</v>
        <stp/>
        <stp>BDH|12906007748864312304</stp>
        <tr r="R157" s="10"/>
      </tp>
      <tp t="e">
        <v>#N/A</v>
        <stp/>
        <stp>BDH|15195490132382900113</stp>
        <tr r="L82" s="10"/>
      </tp>
      <tp t="e">
        <v>#N/A</v>
        <stp/>
        <stp>BDH|11660802086613194332</stp>
        <tr r="AM160" s="10"/>
      </tp>
      <tp t="e">
        <v>#N/A</v>
        <stp/>
        <stp>BDH|16997484202040067312</stp>
        <tr r="E140" s="10"/>
      </tp>
      <tp t="e">
        <v>#N/A</v>
        <stp/>
        <stp>BDH|11387494125407981148</stp>
        <tr r="S35" s="10"/>
      </tp>
      <tp t="e">
        <v>#N/A</v>
        <stp/>
        <stp>BDH|15077074854373863298</stp>
        <tr r="E80" s="10"/>
      </tp>
      <tp t="e">
        <v>#N/A</v>
        <stp/>
        <stp>BDH|18376398904409543392</stp>
        <tr r="P20" s="10"/>
      </tp>
      <tp t="e">
        <v>#N/A</v>
        <stp/>
        <stp>BDH|10887390989653265984</stp>
        <tr r="AB75" s="10"/>
      </tp>
      <tp t="e">
        <v>#N/A</v>
        <stp/>
        <stp>BDH|13818693344777054771</stp>
        <tr r="I64" s="10"/>
      </tp>
      <tp t="e">
        <v>#N/A</v>
        <stp/>
        <stp>BDH|12594201722306582503</stp>
        <tr r="L114" s="10"/>
      </tp>
      <tp t="e">
        <v>#N/A</v>
        <stp/>
        <stp>BDH|16042194210372948520</stp>
        <tr r="P8" s="10"/>
      </tp>
      <tp t="e">
        <v>#N/A</v>
        <stp/>
        <stp>BDH|14265460174523478563</stp>
        <tr r="T61" s="10"/>
      </tp>
      <tp t="e">
        <v>#N/A</v>
        <stp/>
        <stp>BDH|11848985706631776836</stp>
        <tr r="E133" s="10"/>
      </tp>
      <tp t="e">
        <v>#N/A</v>
        <stp/>
        <stp>BDH|17593769542262002736</stp>
        <tr r="AJ189" s="10"/>
      </tp>
      <tp t="e">
        <v>#N/A</v>
        <stp/>
        <stp>BDH|16250226334580391624</stp>
        <tr r="M124" s="10"/>
      </tp>
      <tp t="e">
        <v>#N/A</v>
        <stp/>
        <stp>BDH|17195439463353705738</stp>
        <tr r="AB71" s="10"/>
      </tp>
      <tp t="e">
        <v>#N/A</v>
        <stp/>
        <stp>BDH|11621307663964540152</stp>
        <tr r="X67" s="10"/>
      </tp>
      <tp t="e">
        <v>#N/A</v>
        <stp/>
        <stp>BDH|17775936163728455169</stp>
        <tr r="C169" s="10"/>
      </tp>
      <tp t="e">
        <v>#N/A</v>
        <stp/>
        <stp>BDH|12998599766959610950</stp>
        <tr r="O54" s="10"/>
      </tp>
      <tp t="e">
        <v>#N/A</v>
        <stp/>
        <stp>BDH|13673538474157795738</stp>
        <tr r="AR85" s="10"/>
      </tp>
      <tp t="e">
        <v>#N/A</v>
        <stp/>
        <stp>BDH|15429305949262988113</stp>
        <tr r="Q174" s="10"/>
      </tp>
      <tp t="e">
        <v>#N/A</v>
        <stp/>
        <stp>BDH|16003460765380546539</stp>
        <tr r="AR19" s="10"/>
      </tp>
      <tp t="e">
        <v>#N/A</v>
        <stp/>
        <stp>BDH|15329210604393567569</stp>
        <tr r="AR135" s="10"/>
      </tp>
      <tp t="e">
        <v>#N/A</v>
        <stp/>
        <stp>BDH|14985507778181758635</stp>
        <tr r="N162" s="10"/>
      </tp>
      <tp t="e">
        <v>#N/A</v>
        <stp/>
        <stp>BDH|13298180752476890059</stp>
        <tr r="M85" s="10"/>
      </tp>
      <tp t="e">
        <v>#N/A</v>
        <stp/>
        <stp>BDH|14633861144319350028</stp>
        <tr r="S20" s="10"/>
      </tp>
      <tp t="e">
        <v>#N/A</v>
        <stp/>
        <stp>BDH|14654495063006056199</stp>
        <tr r="Z183" s="10"/>
      </tp>
      <tp t="e">
        <v>#N/A</v>
        <stp/>
        <stp>BDH|10488914370996359931</stp>
        <tr r="Y160" s="10"/>
      </tp>
      <tp t="e">
        <v>#N/A</v>
        <stp/>
        <stp>BDH|12684223821996657566</stp>
        <tr r="AO23" s="10"/>
      </tp>
      <tp t="e">
        <v>#N/A</v>
        <stp/>
        <stp>BDH|11321627920591449502</stp>
        <tr r="D11" s="10"/>
      </tp>
      <tp t="e">
        <v>#N/A</v>
        <stp/>
        <stp>BDH|17007810482732484429</stp>
        <tr r="AG114" s="10"/>
      </tp>
      <tp t="e">
        <v>#N/A</v>
        <stp/>
        <stp>BDH|13554429956935728631</stp>
        <tr r="T102" s="10"/>
      </tp>
      <tp t="e">
        <v>#N/A</v>
        <stp/>
        <stp>BDH|11329466146375021561</stp>
        <tr r="AE150" s="10"/>
      </tp>
      <tp t="e">
        <v>#N/A</v>
        <stp/>
        <stp>BDH|17940554938009322926</stp>
        <tr r="Q6" s="10"/>
      </tp>
      <tp t="e">
        <v>#N/A</v>
        <stp/>
        <stp>BDH|14959097628702565587</stp>
        <tr r="AV94" s="10"/>
      </tp>
      <tp t="e">
        <v>#N/A</v>
        <stp/>
        <stp>BDH|16434320127874482207</stp>
        <tr r="Y38" s="10"/>
      </tp>
      <tp t="e">
        <v>#N/A</v>
        <stp/>
        <stp>BDH|12641477273777692704</stp>
        <tr r="AO171" s="10"/>
      </tp>
      <tp t="e">
        <v>#N/A</v>
        <stp/>
        <stp>BDH|12746321475447713038</stp>
        <tr r="AE164" s="10"/>
      </tp>
      <tp t="e">
        <v>#N/A</v>
        <stp/>
        <stp>BDH|11978679653567054491</stp>
        <tr r="AV165" s="10"/>
      </tp>
      <tp t="e">
        <v>#N/A</v>
        <stp/>
        <stp>BDH|12168711317707270218</stp>
        <tr r="C192" s="10"/>
      </tp>
      <tp t="e">
        <v>#N/A</v>
        <stp/>
        <stp>BDH|11967961368976203913</stp>
        <tr r="Y37" s="10"/>
      </tp>
      <tp t="e">
        <v>#N/A</v>
        <stp/>
        <stp>BDH|10220805484339087820</stp>
        <tr r="AP152" s="10"/>
      </tp>
      <tp t="e">
        <v>#N/A</v>
        <stp/>
        <stp>BDH|11043700645790995389</stp>
        <tr r="AS17" s="10"/>
      </tp>
      <tp t="e">
        <v>#N/A</v>
        <stp/>
        <stp>BDH|11979756539937187302</stp>
        <tr r="AT164" s="10"/>
      </tp>
      <tp t="e">
        <v>#N/A</v>
        <stp/>
        <stp>BDH|17305239792295490820</stp>
        <tr r="F67" s="10"/>
      </tp>
      <tp t="e">
        <v>#N/A</v>
        <stp/>
        <stp>BDH|12753065957680626646</stp>
        <tr r="N193" s="10"/>
      </tp>
      <tp t="e">
        <v>#N/A</v>
        <stp/>
        <stp>BDH|11739483227811915759</stp>
        <tr r="P16" s="10"/>
      </tp>
      <tp t="e">
        <v>#N/A</v>
        <stp/>
        <stp>BDH|17492053870264282577</stp>
        <tr r="C158" s="10"/>
      </tp>
      <tp t="e">
        <v>#N/A</v>
        <stp/>
        <stp>BDH|14935143278684703763</stp>
        <tr r="AC188" s="10"/>
      </tp>
      <tp t="e">
        <v>#N/A</v>
        <stp/>
        <stp>BDH|15263767750855351339</stp>
        <tr r="AO125" s="10"/>
      </tp>
      <tp t="e">
        <v>#N/A</v>
        <stp/>
        <stp>BDH|17689639594270097961</stp>
        <tr r="D114" s="10"/>
      </tp>
      <tp t="e">
        <v>#N/A</v>
        <stp/>
        <stp>BDH|12608119098402908914</stp>
        <tr r="AJ128" s="10"/>
      </tp>
      <tp t="e">
        <v>#N/A</v>
        <stp/>
        <stp>BDH|18022632972920370856</stp>
        <tr r="O127" s="10"/>
      </tp>
      <tp t="e">
        <v>#N/A</v>
        <stp/>
        <stp>BDH|15426874763953168967</stp>
        <tr r="AU178" s="10"/>
      </tp>
      <tp t="e">
        <v>#N/A</v>
        <stp/>
        <stp>BDH|15494264601517677121</stp>
        <tr r="H32" s="10"/>
      </tp>
      <tp t="e">
        <v>#N/A</v>
        <stp/>
        <stp>BDH|11289569041133286205</stp>
        <tr r="AI9" s="10"/>
      </tp>
      <tp t="e">
        <v>#N/A</v>
        <stp/>
        <stp>BDH|12857067778113779769</stp>
        <tr r="AL47" s="10"/>
      </tp>
      <tp t="e">
        <v>#N/A</v>
        <stp/>
        <stp>BDH|10353656725146525313</stp>
        <tr r="T18" s="10"/>
      </tp>
      <tp t="e">
        <v>#N/A</v>
        <stp/>
        <stp>BDH|10573926294730673122</stp>
        <tr r="S22" s="10"/>
      </tp>
      <tp t="e">
        <v>#N/A</v>
        <stp/>
        <stp>BDH|17697994695190582686</stp>
        <tr r="X146" s="10"/>
      </tp>
      <tp t="e">
        <v>#N/A</v>
        <stp/>
        <stp>BDH|15265731938945682587</stp>
        <tr r="AU107" s="10"/>
      </tp>
      <tp t="e">
        <v>#N/A</v>
        <stp/>
        <stp>BDH|10249265083549745270</stp>
        <tr r="E3" s="10"/>
      </tp>
      <tp t="e">
        <v>#N/A</v>
        <stp/>
        <stp>BDH|11716807031978769369</stp>
        <tr r="AO97" s="10"/>
      </tp>
      <tp t="e">
        <v>#N/A</v>
        <stp/>
        <stp>BDH|14279235777079168904</stp>
        <tr r="S193" s="10"/>
      </tp>
      <tp t="e">
        <v>#N/A</v>
        <stp/>
        <stp>BDH|11385408450218062944</stp>
        <tr r="Y123" s="10"/>
      </tp>
      <tp t="e">
        <v>#N/A</v>
        <stp/>
        <stp>BDH|10776450856441031137</stp>
        <tr r="M164" s="10"/>
      </tp>
      <tp t="e">
        <v>#N/A</v>
        <stp/>
        <stp>BDH|16276338612413497605</stp>
        <tr r="AA158" s="10"/>
      </tp>
      <tp t="e">
        <v>#N/A</v>
        <stp/>
        <stp>BDH|13701384016546826679</stp>
        <tr r="P67" s="10"/>
      </tp>
      <tp t="e">
        <v>#N/A</v>
        <stp/>
        <stp>BDH|13379551847393185064</stp>
        <tr r="V117" s="10"/>
      </tp>
      <tp t="e">
        <v>#N/A</v>
        <stp/>
        <stp>BDH|10380452085789365463</stp>
        <tr r="AJ59" s="10"/>
      </tp>
      <tp t="e">
        <v>#N/A</v>
        <stp/>
        <stp>BDH|17183776190678393039</stp>
        <tr r="AD87" s="10"/>
      </tp>
      <tp t="e">
        <v>#N/A</v>
        <stp/>
        <stp>BDH|10660058866725498278</stp>
        <tr r="AC26" s="10"/>
      </tp>
      <tp t="e">
        <v>#N/A</v>
        <stp/>
        <stp>BDH|13114480012074475398</stp>
        <tr r="AP51" s="10"/>
      </tp>
      <tp t="e">
        <v>#N/A</v>
        <stp/>
        <stp>BDH|18260154980070462056</stp>
        <tr r="AR176" s="10"/>
      </tp>
      <tp t="e">
        <v>#N/A</v>
        <stp/>
        <stp>BDH|13092264144921702536</stp>
        <tr r="T99" s="10"/>
      </tp>
      <tp t="e">
        <v>#N/A</v>
        <stp/>
        <stp>BDH|11032300631966780600</stp>
        <tr r="J123" s="10"/>
      </tp>
      <tp t="e">
        <v>#N/A</v>
        <stp/>
        <stp>BDH|10377063500567225614</stp>
        <tr r="S84" s="10"/>
      </tp>
      <tp t="e">
        <v>#N/A</v>
        <stp/>
        <stp>BDH|12800007559395170365</stp>
        <tr r="M168" s="10"/>
      </tp>
      <tp t="e">
        <v>#N/A</v>
        <stp/>
        <stp>BDH|10424732076552691318</stp>
        <tr r="AN172" s="10"/>
      </tp>
      <tp t="e">
        <v>#N/A</v>
        <stp/>
        <stp>BDH|11931178597381160915</stp>
        <tr r="AD182" s="10"/>
      </tp>
      <tp t="e">
        <v>#N/A</v>
        <stp/>
        <stp>BDH|12965893261968129597</stp>
        <tr r="E84" s="10"/>
      </tp>
      <tp t="e">
        <v>#N/A</v>
        <stp/>
        <stp>BDH|14549692736173068338</stp>
        <tr r="E168" s="10"/>
      </tp>
      <tp t="e">
        <v>#N/A</v>
        <stp/>
        <stp>BDH|10557739030425916060</stp>
        <tr r="AO26" s="10"/>
      </tp>
      <tp t="e">
        <v>#N/A</v>
        <stp/>
        <stp>BDH|12281108479191396417</stp>
        <tr r="AW68" s="10"/>
      </tp>
      <tp t="e">
        <v>#N/A</v>
        <stp/>
        <stp>BDH|15063693471125931089</stp>
        <tr r="AE66" s="10"/>
      </tp>
      <tp t="e">
        <v>#N/A</v>
        <stp/>
        <stp>BDH|10486129411500766191</stp>
        <tr r="AT103" s="10"/>
      </tp>
      <tp t="e">
        <v>#N/A</v>
        <stp/>
        <stp>BDH|15478089836214688356</stp>
        <tr r="AR66" s="10"/>
      </tp>
      <tp t="e">
        <v>#N/A</v>
        <stp/>
        <stp>BDH|14403092954488602864</stp>
        <tr r="AU96" s="10"/>
      </tp>
      <tp t="e">
        <v>#N/A</v>
        <stp/>
        <stp>BDH|13914609555880575106</stp>
        <tr r="AK144" s="10"/>
      </tp>
      <tp t="e">
        <v>#N/A</v>
        <stp/>
        <stp>BDH|11914265524740675045</stp>
        <tr r="G3" s="10"/>
      </tp>
      <tp t="e">
        <v>#N/A</v>
        <stp/>
        <stp>BDH|16205535985539474390</stp>
        <tr r="Q155" s="10"/>
      </tp>
      <tp t="e">
        <v>#N/A</v>
        <stp/>
        <stp>BDH|11570194417685338511</stp>
        <tr r="J160" s="10"/>
      </tp>
      <tp t="e">
        <v>#N/A</v>
        <stp/>
        <stp>BDH|11568017946224844030</stp>
        <tr r="AI40" s="10"/>
      </tp>
      <tp t="e">
        <v>#N/A</v>
        <stp/>
        <stp>BDH|11966725120447275206</stp>
        <tr r="AV181" s="10"/>
      </tp>
      <tp t="e">
        <v>#N/A</v>
        <stp/>
        <stp>BDH|15550298023986195267</stp>
        <tr r="AW79" s="10"/>
      </tp>
      <tp t="e">
        <v>#N/A</v>
        <stp/>
        <stp>BDH|11836301303967734441</stp>
        <tr r="L116" s="10"/>
      </tp>
      <tp t="e">
        <v>#N/A</v>
        <stp/>
        <stp>BDH|16503282631323774538</stp>
        <tr r="I6" s="10"/>
      </tp>
      <tp t="e">
        <v>#N/A</v>
        <stp/>
        <stp>BDH|11376705502412900508</stp>
        <tr r="J57" s="10"/>
      </tp>
      <tp t="e">
        <v>#N/A</v>
        <stp/>
        <stp>BDH|16128543241985445381</stp>
        <tr r="AD123" s="10"/>
      </tp>
      <tp t="e">
        <v>#N/A</v>
        <stp/>
        <stp>BDH|13509001649736586012</stp>
        <tr r="Z189" s="10"/>
      </tp>
      <tp t="e">
        <v>#N/A</v>
        <stp/>
        <stp>BDH|10050536448652615257</stp>
        <tr r="AH127" s="10"/>
      </tp>
      <tp t="e">
        <v>#N/A</v>
        <stp/>
        <stp>BDH|11573007527293876125</stp>
        <tr r="AS77" s="10"/>
      </tp>
      <tp t="e">
        <v>#N/A</v>
        <stp/>
        <stp>BDH|15781460652851839434</stp>
        <tr r="P154" s="10"/>
      </tp>
      <tp t="e">
        <v>#N/A</v>
        <stp/>
        <stp>BDH|15763945638658400672</stp>
        <tr r="L165" s="10"/>
      </tp>
      <tp t="e">
        <v>#N/A</v>
        <stp/>
        <stp>BDH|15138310709682102503</stp>
        <tr r="AJ105" s="10"/>
      </tp>
      <tp t="e">
        <v>#N/A</v>
        <stp/>
        <stp>BDH|16509684294688064012</stp>
        <tr r="AG162" s="10"/>
      </tp>
      <tp t="e">
        <v>#N/A</v>
        <stp/>
        <stp>BDH|10375410808256378314</stp>
        <tr r="AV72" s="10"/>
      </tp>
      <tp t="e">
        <v>#N/A</v>
        <stp/>
        <stp>BDH|10937243394358058213</stp>
        <tr r="E124" s="10"/>
      </tp>
      <tp t="e">
        <v>#N/A</v>
        <stp/>
        <stp>BDH|16124722007359512996</stp>
        <tr r="G77" s="10"/>
      </tp>
      <tp t="e">
        <v>#N/A</v>
        <stp/>
        <stp>BDH|17982215962992157009</stp>
        <tr r="AW59" s="10"/>
      </tp>
      <tp t="e">
        <v>#N/A</v>
        <stp/>
        <stp>BDH|13586975419212219821</stp>
        <tr r="AD115" s="10"/>
      </tp>
      <tp t="e">
        <v>#N/A</v>
        <stp/>
        <stp>BDH|13943698423026958017</stp>
        <tr r="K148" s="10"/>
      </tp>
      <tp t="e">
        <v>#N/A</v>
        <stp/>
        <stp>BDH|11749076129492538079</stp>
        <tr r="AN185" s="10"/>
      </tp>
      <tp t="e">
        <v>#N/A</v>
        <stp/>
        <stp>BDH|11876183302645066498</stp>
        <tr r="R149" s="10"/>
      </tp>
      <tp t="e">
        <v>#N/A</v>
        <stp/>
        <stp>BDH|16928514113892737171</stp>
        <tr r="J105" s="10"/>
      </tp>
      <tp t="e">
        <v>#N/A</v>
        <stp/>
        <stp>BDH|17678012666054865420</stp>
        <tr r="AM187" s="10"/>
      </tp>
      <tp t="e">
        <v>#N/A</v>
        <stp/>
        <stp>BDH|10405371173094879135</stp>
        <tr r="R182" s="10"/>
      </tp>
      <tp t="e">
        <v>#N/A</v>
        <stp/>
        <stp>BDH|13310167911573775186</stp>
        <tr r="S107" s="10"/>
      </tp>
      <tp t="e">
        <v>#N/A</v>
        <stp/>
        <stp>BDH|16346194125423639726</stp>
        <tr r="E23" s="10"/>
      </tp>
      <tp t="e">
        <v>#N/A</v>
        <stp/>
        <stp>BDH|17845038009551985706</stp>
        <tr r="AU61" s="10"/>
      </tp>
      <tp t="e">
        <v>#N/A</v>
        <stp/>
        <stp>BDH|17261323906194422191</stp>
        <tr r="Y76" s="10"/>
      </tp>
      <tp t="e">
        <v>#N/A</v>
        <stp/>
        <stp>BDH|15398494114332527309</stp>
        <tr r="H84" s="10"/>
      </tp>
      <tp t="e">
        <v>#N/A</v>
        <stp/>
        <stp>BDH|15866227928094806014</stp>
        <tr r="Y186" s="10"/>
      </tp>
      <tp t="e">
        <v>#N/A</v>
        <stp/>
        <stp>BDH|11309464337420004794</stp>
        <tr r="AT180" s="10"/>
      </tp>
      <tp t="e">
        <v>#N/A</v>
        <stp/>
        <stp>BDH|15920170612730032472</stp>
        <tr r="Z147" s="10"/>
      </tp>
      <tp t="e">
        <v>#N/A</v>
        <stp/>
        <stp>BDH|15253465448813466724</stp>
        <tr r="O99" s="10"/>
      </tp>
      <tp t="e">
        <v>#N/A</v>
        <stp/>
        <stp>BDH|17824403617610353368</stp>
        <tr r="AN158" s="10"/>
      </tp>
      <tp t="e">
        <v>#N/A</v>
        <stp/>
        <stp>BDH|15814630541200826688</stp>
        <tr r="S101" s="10"/>
      </tp>
      <tp t="e">
        <v>#N/A</v>
        <stp/>
        <stp>BDH|12928352467913500546</stp>
        <tr r="AO95" s="10"/>
      </tp>
      <tp t="e">
        <v>#N/A</v>
        <stp/>
        <stp>BDH|16054436964900930546</stp>
        <tr r="AV167" s="10"/>
      </tp>
      <tp t="e">
        <v>#N/A</v>
        <stp/>
        <stp>BDH|15438355628387498272</stp>
        <tr r="AD156" s="10"/>
      </tp>
      <tp t="e">
        <v>#N/A</v>
        <stp/>
        <stp>BDH|12925067912810378244</stp>
        <tr r="Q89" s="10"/>
      </tp>
      <tp t="e">
        <v>#N/A</v>
        <stp/>
        <stp>BDH|11736157948836443345</stp>
        <tr r="P39" s="10"/>
      </tp>
      <tp t="e">
        <v>#N/A</v>
        <stp/>
        <stp>BDH|11317069351493980678</stp>
        <tr r="AC78" s="10"/>
      </tp>
      <tp t="e">
        <v>#N/A</v>
        <stp/>
        <stp>BDH|10433225319484003650</stp>
        <tr r="AJ96" s="10"/>
      </tp>
      <tp t="e">
        <v>#N/A</v>
        <stp/>
        <stp>BDH|15203201846050614282</stp>
        <tr r="V179" s="10"/>
      </tp>
      <tp t="e">
        <v>#N/A</v>
        <stp/>
        <stp>BDH|12890158226716442650</stp>
        <tr r="I48" s="10"/>
      </tp>
      <tp t="e">
        <v>#N/A</v>
        <stp/>
        <stp>BDH|15051265679395165445</stp>
        <tr r="P190" s="10"/>
      </tp>
      <tp t="e">
        <v>#N/A</v>
        <stp/>
        <stp>BDH|15439634168680704421</stp>
        <tr r="T111" s="10"/>
      </tp>
      <tp t="e">
        <v>#N/A</v>
        <stp/>
        <stp>BDH|11876631327707758313</stp>
        <tr r="N44" s="10"/>
      </tp>
      <tp t="e">
        <v>#N/A</v>
        <stp/>
        <stp>BDH|10702326958174235352</stp>
        <tr r="S7" s="10"/>
      </tp>
      <tp t="e">
        <v>#N/A</v>
        <stp/>
        <stp>BDH|14931832249570193988</stp>
        <tr r="AN93" s="10"/>
      </tp>
      <tp t="e">
        <v>#N/A</v>
        <stp/>
        <stp>BDH|12840692122426122185</stp>
        <tr r="AS102" s="10"/>
      </tp>
      <tp t="e">
        <v>#N/A</v>
        <stp/>
        <stp>BDH|12479660563067279495</stp>
        <tr r="P37" s="10"/>
      </tp>
      <tp t="e">
        <v>#N/A</v>
        <stp/>
        <stp>BDH|18214004368828500727</stp>
        <tr r="J34" s="10"/>
      </tp>
      <tp t="e">
        <v>#N/A</v>
        <stp/>
        <stp>BDH|13387860188066415447</stp>
        <tr r="AL92" s="10"/>
      </tp>
      <tp t="e">
        <v>#N/A</v>
        <stp/>
        <stp>BDH|18012208358757464916</stp>
        <tr r="AR118" s="10"/>
      </tp>
      <tp t="e">
        <v>#N/A</v>
        <stp/>
        <stp>BDH|12698286007723269260</stp>
        <tr r="Q190" s="10"/>
      </tp>
      <tp t="e">
        <v>#N/A</v>
        <stp/>
        <stp>BDH|11339046065755876378</stp>
        <tr r="R135" s="10"/>
      </tp>
      <tp t="e">
        <v>#N/A</v>
        <stp/>
        <stp>BDH|15025719477850370489</stp>
        <tr r="AW181" s="10"/>
      </tp>
      <tp t="e">
        <v>#N/A</v>
        <stp/>
        <stp>BDH|17503019267520955075</stp>
        <tr r="AI80" s="10"/>
      </tp>
      <tp t="e">
        <v>#N/A</v>
        <stp/>
        <stp>BDH|17331233112394920162</stp>
        <tr r="O145" s="10"/>
      </tp>
      <tp t="e">
        <v>#N/A</v>
        <stp/>
        <stp>BDH|13114492023564452020</stp>
        <tr r="W115" s="10"/>
      </tp>
      <tp t="e">
        <v>#N/A</v>
        <stp/>
        <stp>BDH|10506337947585464387</stp>
        <tr r="AK139" s="10"/>
      </tp>
      <tp t="e">
        <v>#N/A</v>
        <stp/>
        <stp>BDH|13313853083664007687</stp>
        <tr r="F53" s="10"/>
      </tp>
      <tp t="e">
        <v>#N/A</v>
        <stp/>
        <stp>BDH|17341694017325657464</stp>
        <tr r="Y151" s="10"/>
      </tp>
      <tp t="e">
        <v>#N/A</v>
        <stp/>
        <stp>BDH|12080175687978516287</stp>
        <tr r="AU155" s="10"/>
      </tp>
      <tp t="e">
        <v>#N/A</v>
        <stp/>
        <stp>BDH|11524747715555024390</stp>
        <tr r="K108" s="10"/>
      </tp>
      <tp t="e">
        <v>#N/A</v>
        <stp/>
        <stp>BDH|17076762727464963756</stp>
        <tr r="AD148" s="10"/>
      </tp>
      <tp t="e">
        <v>#N/A</v>
        <stp/>
        <stp>BDH|12553377363633924557</stp>
        <tr r="AO45" s="10"/>
      </tp>
      <tp t="e">
        <v>#N/A</v>
        <stp/>
        <stp>BDH|18410837644917780296</stp>
        <tr r="H27" s="10"/>
      </tp>
      <tp t="e">
        <v>#N/A</v>
        <stp/>
        <stp>BDH|15198012829945313373</stp>
        <tr r="AW63" s="10"/>
      </tp>
      <tp t="e">
        <v>#N/A</v>
        <stp/>
        <stp>BDH|11150020929687611515</stp>
        <tr r="P121" s="10"/>
      </tp>
      <tp t="e">
        <v>#N/A</v>
        <stp/>
        <stp>BDH|15519690361666370236</stp>
        <tr r="T17" s="10"/>
      </tp>
      <tp t="e">
        <v>#N/A</v>
        <stp/>
        <stp>BDH|14142296263475625402</stp>
        <tr r="F135" s="10"/>
      </tp>
      <tp t="e">
        <v>#N/A</v>
        <stp/>
        <stp>BDH|16156320549193392356</stp>
        <tr r="AB36" s="10"/>
      </tp>
      <tp t="e">
        <v>#N/A</v>
        <stp/>
        <stp>BDH|14205107149629688910</stp>
        <tr r="P103" s="10"/>
      </tp>
      <tp t="e">
        <v>#N/A</v>
        <stp/>
        <stp>BDH|15496976428657411831</stp>
        <tr r="AF142" s="10"/>
      </tp>
      <tp t="e">
        <v>#N/A</v>
        <stp/>
        <stp>BDH|13731669846131250196</stp>
        <tr r="AA124" s="10"/>
      </tp>
      <tp t="e">
        <v>#N/A</v>
        <stp/>
        <stp>BDH|11514266279040477528</stp>
        <tr r="AH89" s="10"/>
      </tp>
      <tp t="e">
        <v>#N/A</v>
        <stp/>
        <stp>BDH|15291790557042132412</stp>
        <tr r="AV57" s="10"/>
      </tp>
      <tp t="e">
        <v>#N/A</v>
        <stp/>
        <stp>BDH|14870395339360181557</stp>
        <tr r="T128" s="10"/>
      </tp>
      <tp t="e">
        <v>#N/A</v>
        <stp/>
        <stp>BDH|12161596605837423154</stp>
        <tr r="Q42" s="10"/>
      </tp>
      <tp t="e">
        <v>#N/A</v>
        <stp/>
        <stp>BDH|12427596142593786145</stp>
        <tr r="AG157" s="10"/>
      </tp>
      <tp t="e">
        <v>#N/A</v>
        <stp/>
        <stp>BDH|16934197216822804520</stp>
        <tr r="M89" s="10"/>
      </tp>
      <tp t="e">
        <v>#N/A</v>
        <stp/>
        <stp>BDH|17808625997758084116</stp>
        <tr r="W167" s="10"/>
      </tp>
      <tp t="e">
        <v>#N/A</v>
        <stp/>
        <stp>BDH|13100913333328925060</stp>
        <tr r="AR23" s="10"/>
      </tp>
      <tp t="e">
        <v>#N/A</v>
        <stp/>
        <stp>BDH|17029457361172059683</stp>
        <tr r="AH183" s="10"/>
      </tp>
      <tp t="e">
        <v>#N/A</v>
        <stp/>
        <stp>BDH|17359154852014038683</stp>
        <tr r="AA174" s="10"/>
      </tp>
      <tp t="e">
        <v>#N/A</v>
        <stp/>
        <stp>BDH|13853473676582646337</stp>
        <tr r="K33" s="10"/>
      </tp>
      <tp t="e">
        <v>#N/A</v>
        <stp/>
        <stp>BDH|12996972764965246942</stp>
        <tr r="AI71" s="10"/>
      </tp>
      <tp t="e">
        <v>#N/A</v>
        <stp/>
        <stp>BDH|13923336175292180414</stp>
        <tr r="AW72" s="10"/>
      </tp>
      <tp t="e">
        <v>#N/A</v>
        <stp/>
        <stp>BDH|18217423729958450724</stp>
        <tr r="V134" s="10"/>
      </tp>
      <tp t="e">
        <v>#N/A</v>
        <stp/>
        <stp>BDH|10582077112072970261</stp>
        <tr r="R32" s="10"/>
      </tp>
      <tp t="e">
        <v>#N/A</v>
        <stp/>
        <stp>BDH|15881252856282195159</stp>
        <tr r="AL134" s="10"/>
      </tp>
      <tp t="e">
        <v>#N/A</v>
        <stp/>
        <stp>BDH|12944746624452799411</stp>
        <tr r="AC28" s="10"/>
      </tp>
      <tp t="e">
        <v>#N/A</v>
        <stp/>
        <stp>BDH|12872629319594861043</stp>
        <tr r="AN41" s="10"/>
      </tp>
      <tp t="e">
        <v>#N/A</v>
        <stp/>
        <stp>BDH|17295400669655540115</stp>
        <tr r="AC92" s="10"/>
      </tp>
      <tp t="e">
        <v>#N/A</v>
        <stp/>
        <stp>BDH|12236298047512159728</stp>
        <tr r="W80" s="10"/>
      </tp>
      <tp t="e">
        <v>#N/A</v>
        <stp/>
        <stp>BDH|10412750866247105790</stp>
        <tr r="I86" s="10"/>
      </tp>
      <tp t="e">
        <v>#N/A</v>
        <stp/>
        <stp>BDH|14833080453526432686</stp>
        <tr r="AV127" s="10"/>
      </tp>
      <tp t="e">
        <v>#N/A</v>
        <stp/>
        <stp>BDH|17672061135576980339</stp>
        <tr r="AI85" s="10"/>
      </tp>
      <tp t="e">
        <v>#N/A</v>
        <stp/>
        <stp>BDH|16482358477005966604</stp>
        <tr r="AG154" s="10"/>
      </tp>
      <tp t="e">
        <v>#N/A</v>
        <stp/>
        <stp>BDH|16525641156113012783</stp>
        <tr r="AP148" s="10"/>
      </tp>
      <tp t="e">
        <v>#N/A</v>
        <stp/>
        <stp>BDH|11904010638694942765</stp>
        <tr r="M151" s="10"/>
      </tp>
      <tp t="e">
        <v>#N/A</v>
        <stp/>
        <stp>BDH|12471185505274421625</stp>
        <tr r="AT45" s="10"/>
      </tp>
      <tp t="e">
        <v>#N/A</v>
        <stp/>
        <stp>BDH|12900437074798675871</stp>
        <tr r="AJ93" s="10"/>
      </tp>
      <tp t="e">
        <v>#N/A</v>
        <stp/>
        <stp>BDH|17019341220116802137</stp>
        <tr r="AD161" s="10"/>
      </tp>
      <tp t="e">
        <v>#N/A</v>
        <stp/>
        <stp>BDH|17340723109600420136</stp>
        <tr r="M34" s="10"/>
      </tp>
      <tp t="e">
        <v>#N/A</v>
        <stp/>
        <stp>BDH|12964641580805599872</stp>
        <tr r="F72" s="10"/>
      </tp>
      <tp t="e">
        <v>#N/A</v>
        <stp/>
        <stp>BDH|16936809448282936961</stp>
        <tr r="Z72" s="10"/>
      </tp>
      <tp t="e">
        <v>#N/A</v>
        <stp/>
        <stp>BDH|17744039671383918226</stp>
        <tr r="I140" s="10"/>
      </tp>
      <tp t="e">
        <v>#N/A</v>
        <stp/>
        <stp>BDH|17151393653607499717</stp>
        <tr r="O144" s="10"/>
      </tp>
      <tp t="e">
        <v>#N/A</v>
        <stp/>
        <stp>BDH|13238767859927314701</stp>
        <tr r="U98" s="10"/>
      </tp>
      <tp t="e">
        <v>#N/A</v>
        <stp/>
        <stp>BDH|16291388937145186224</stp>
        <tr r="U19" s="10"/>
      </tp>
      <tp t="e">
        <v>#N/A</v>
        <stp/>
        <stp>BDH|14830589618190468121</stp>
        <tr r="AW39" s="10"/>
      </tp>
      <tp t="e">
        <v>#N/A</v>
        <stp/>
        <stp>BDH|14041285704947323016</stp>
        <tr r="H171" s="10"/>
      </tp>
      <tp t="e">
        <v>#N/A</v>
        <stp/>
        <stp>BDH|10636982167668228656</stp>
        <tr r="Q86" s="10"/>
      </tp>
      <tp t="e">
        <v>#N/A</v>
        <stp/>
        <stp>BDH|15917712602633455002</stp>
        <tr r="AK172" s="10"/>
      </tp>
      <tp t="e">
        <v>#N/A</v>
        <stp/>
        <stp>BDH|13403875038528496118</stp>
        <tr r="AE171" s="10"/>
      </tp>
      <tp t="e">
        <v>#N/A</v>
        <stp/>
        <stp>BDH|10363328811430987372</stp>
        <tr r="AQ121" s="10"/>
      </tp>
      <tp t="e">
        <v>#N/A</v>
        <stp/>
        <stp>BDH|10447873681185438485</stp>
        <tr r="F32" s="10"/>
      </tp>
      <tp t="e">
        <v>#N/A</v>
        <stp/>
        <stp>BDH|17117192870477515731</stp>
        <tr r="Z66" s="10"/>
      </tp>
      <tp t="e">
        <v>#N/A</v>
        <stp/>
        <stp>BDH|15065730858876506008</stp>
        <tr r="R52" s="10"/>
      </tp>
      <tp t="e">
        <v>#N/A</v>
        <stp/>
        <stp>BDH|13022584265209773845</stp>
        <tr r="AS98" s="10"/>
      </tp>
      <tp t="e">
        <v>#N/A</v>
        <stp/>
        <stp>BDH|18361436469142403934</stp>
        <tr r="W151" s="10"/>
      </tp>
      <tp t="s">
        <v>#N/A Requesting Data...3787726011</v>
        <stp/>
        <stp>BDP|17202719151490825327</stp>
        <tr r="I5" s="1"/>
      </tp>
      <tp t="s">
        <v>#N/A Requesting Data...3717386783</v>
        <stp/>
        <stp>BDP|14393747831183802562</stp>
        <tr r="F107" s="2"/>
      </tp>
      <tp t="s">
        <v>#N/A Requesting Data...4131653030</v>
        <stp/>
        <stp>BDP|13061780322972263221</stp>
        <tr r="D23" s="6"/>
        <tr r="H16" s="1"/>
      </tp>
      <tp t="s">
        <v>#N/A Requesting Data...2327395599</v>
        <stp/>
        <stp>BDP|13848544205599317905</stp>
        <tr r="D11" s="1"/>
      </tp>
      <tp t="s">
        <v>#N/A Requesting Data...4217667135</v>
        <stp/>
        <stp>BDP|15399780855614603570</stp>
        <tr r="B37" s="6"/>
        <tr r="E26" s="1"/>
        <tr r="H73" s="2"/>
      </tp>
      <tp t="s">
        <v>#N/A Requesting Data...2263287535</v>
        <stp/>
        <stp>BDP|10411311598395600951</stp>
        <tr r="D33" s="6"/>
        <tr r="H22" s="1"/>
      </tp>
      <tp t="s">
        <v>#N/A Requesting Data...3229284770</v>
        <stp/>
        <stp>BDP|17770409458661716184</stp>
        <tr r="B33" s="6"/>
        <tr r="E22" s="1"/>
        <tr r="H67" s="2"/>
        <tr r="H119" s="2"/>
      </tp>
      <tp t="s">
        <v>#N/A Requesting Data...3576398901</v>
        <stp/>
        <stp>BDP|14734308284788082135</stp>
        <tr r="D24" s="6"/>
        <tr r="H17" s="1"/>
      </tp>
      <tp t="s">
        <v>#N/A Requesting Data...3197513861</v>
        <stp/>
        <stp>BDP|17868519181588845436</stp>
        <tr r="O38" s="1"/>
      </tp>
      <tp t="s">
        <v>#N/A Requesting Data...2880353330</v>
        <stp/>
        <stp>BDP|16159329576130222441</stp>
        <tr r="F137" s="2"/>
        <tr r="F138" s="2"/>
      </tp>
      <tp t="s">
        <v>#N/A Requesting Data...2114702696</v>
        <stp/>
        <stp>BDP|14400620354488878981</stp>
        <tr r="I2" s="1"/>
      </tp>
      <tp t="s">
        <v>#N/A Requesting Data...4251174936</v>
        <stp/>
        <stp>BDP|10948593802586352542</stp>
        <tr r="D16" s="6"/>
        <tr r="H11" s="1"/>
      </tp>
      <tp t="s">
        <v>#N/A Requesting Data...1394706953</v>
        <stp/>
        <stp>BDP|13544332500843309517</stp>
        <tr r="B45" s="6"/>
        <tr r="E33" s="1"/>
        <tr r="H100" s="2"/>
      </tp>
      <tp t="s">
        <v>#N/A Requesting Data...2258186785</v>
        <stp/>
        <stp>BDP|11671638972242682451</stp>
        <tr r="I46" s="1"/>
      </tp>
      <tp t="s">
        <v>#N/A Requesting Data...4267093837</v>
        <stp/>
        <stp>BDP|11131307512895172059</stp>
        <tr r="B35" s="6"/>
        <tr r="E24" s="1"/>
        <tr r="H70" s="2"/>
      </tp>
      <tp t="s">
        <v>#N/A Requesting Data...3643328280</v>
        <stp/>
        <stp>BDP|15287286958050227464</stp>
        <tr r="F139" s="2"/>
      </tp>
      <tp t="s">
        <v>#N/A Requesting Data...1953284593</v>
        <stp/>
        <stp>BDP|10473895805136787897</stp>
        <tr r="D47" s="6"/>
      </tp>
      <tp t="s">
        <v>#N/A Requesting Data...4016141696</v>
        <stp/>
        <stp>BDP|17369002758052544682</stp>
        <tr r="B28" s="6"/>
        <tr r="E20" s="1"/>
        <tr r="H45" s="2"/>
        <tr r="H52" s="2"/>
        <tr r="H111" s="2"/>
      </tp>
      <tp t="s">
        <v>#N/A Requesting Data...1711701983</v>
        <stp/>
        <stp>BDP|10072021271483464214</stp>
        <tr r="D35" s="6"/>
        <tr r="H24" s="1"/>
      </tp>
      <tp t="e">
        <v>#N/A</v>
        <stp/>
        <stp>BDH|16280231061155441156</stp>
        <tr r="D166" s="10"/>
      </tp>
      <tp t="e">
        <v>#N/A</v>
        <stp/>
        <stp>BDH|18105337212679437558</stp>
        <tr r="Y181" s="10"/>
      </tp>
      <tp t="e">
        <v>#N/A</v>
        <stp/>
        <stp>BDH|18314061852708702318</stp>
        <tr r="L132" s="10"/>
      </tp>
      <tp t="e">
        <v>#N/A</v>
        <stp/>
        <stp>BDH|13782857665329254246</stp>
        <tr r="J187" s="10"/>
      </tp>
      <tp t="e">
        <v>#N/A</v>
        <stp/>
        <stp>BDH|15140553692086189961</stp>
        <tr r="AL174" s="10"/>
      </tp>
      <tp t="e">
        <v>#N/A</v>
        <stp/>
        <stp>BDH|15038508723104454062</stp>
        <tr r="S32" s="10"/>
      </tp>
      <tp t="e">
        <v>#N/A</v>
        <stp/>
        <stp>BDH|13664259978417214786</stp>
        <tr r="AC166" s="10"/>
      </tp>
      <tp t="e">
        <v>#N/A</v>
        <stp/>
        <stp>BDH|11557244064642106154</stp>
        <tr r="T175" s="10"/>
      </tp>
      <tp t="e">
        <v>#N/A</v>
        <stp/>
        <stp>BDH|13906184110236567353</stp>
        <tr r="AV144" s="10"/>
      </tp>
      <tp t="e">
        <v>#N/A</v>
        <stp/>
        <stp>BDH|14892899514359072246</stp>
        <tr r="D188" s="10"/>
      </tp>
      <tp t="e">
        <v>#N/A</v>
        <stp/>
        <stp>BDH|15037245902587385649</stp>
        <tr r="AL22" s="10"/>
      </tp>
      <tp t="e">
        <v>#N/A</v>
        <stp/>
        <stp>BDH|11102095063451813021</stp>
        <tr r="V75" s="10"/>
      </tp>
      <tp t="e">
        <v>#N/A</v>
        <stp/>
        <stp>BDH|13123172201193674706</stp>
        <tr r="U79" s="10"/>
      </tp>
      <tp t="e">
        <v>#N/A</v>
        <stp/>
        <stp>BDH|10016982382512910527</stp>
        <tr r="AO122" s="10"/>
      </tp>
      <tp t="e">
        <v>#N/A</v>
        <stp/>
        <stp>BDH|18039626015209423022</stp>
        <tr r="J100" s="10"/>
      </tp>
      <tp t="e">
        <v>#N/A</v>
        <stp/>
        <stp>BDH|15594333347061540558</stp>
        <tr r="AG62" s="10"/>
      </tp>
      <tp t="e">
        <v>#N/A</v>
        <stp/>
        <stp>BDH|13698806186107332234</stp>
        <tr r="AF113" s="10"/>
      </tp>
      <tp t="e">
        <v>#N/A</v>
        <stp/>
        <stp>BDH|15416178556365651236</stp>
        <tr r="Y61" s="10"/>
      </tp>
      <tp t="e">
        <v>#N/A</v>
        <stp/>
        <stp>BDH|14677059611337611445</stp>
        <tr r="U71" s="10"/>
      </tp>
      <tp t="e">
        <v>#N/A</v>
        <stp/>
        <stp>BDH|11573489325704067580</stp>
        <tr r="AC82" s="10"/>
      </tp>
      <tp t="e">
        <v>#N/A</v>
        <stp/>
        <stp>BDH|10088431874437426232</stp>
        <tr r="L35" s="10"/>
      </tp>
      <tp t="e">
        <v>#N/A</v>
        <stp/>
        <stp>BDH|16067207474415431005</stp>
        <tr r="J17" s="10"/>
      </tp>
      <tp t="e">
        <v>#N/A</v>
        <stp/>
        <stp>BDH|14623587007082864512</stp>
        <tr r="F192" s="10"/>
      </tp>
      <tp t="e">
        <v>#N/A</v>
        <stp/>
        <stp>BDH|14504309520563082055</stp>
        <tr r="AQ88" s="10"/>
      </tp>
      <tp t="e">
        <v>#N/A</v>
        <stp/>
        <stp>BDH|13651036464341111200</stp>
        <tr r="S147" s="10"/>
      </tp>
      <tp t="e">
        <v>#N/A</v>
        <stp/>
        <stp>BDH|16844517174896452499</stp>
        <tr r="N118" s="10"/>
      </tp>
      <tp t="e">
        <v>#N/A</v>
        <stp/>
        <stp>BDH|12411511660664608331</stp>
        <tr r="I127" s="10"/>
      </tp>
      <tp t="e">
        <v>#N/A</v>
        <stp/>
        <stp>BDH|10358355062197129454</stp>
        <tr r="AM104" s="10"/>
      </tp>
      <tp t="e">
        <v>#N/A</v>
        <stp/>
        <stp>BDH|16092253882839162363</stp>
        <tr r="AU93" s="10"/>
      </tp>
      <tp t="e">
        <v>#N/A</v>
        <stp/>
        <stp>BDH|10570775526825646629</stp>
        <tr r="AH114" s="10"/>
      </tp>
      <tp t="e">
        <v>#N/A</v>
        <stp/>
        <stp>BDH|12797100151586480622</stp>
        <tr r="D20" s="10"/>
      </tp>
      <tp t="e">
        <v>#N/A</v>
        <stp/>
        <stp>BDH|14789243648732289692</stp>
        <tr r="D60" s="10"/>
      </tp>
      <tp t="e">
        <v>#N/A</v>
        <stp/>
        <stp>BDH|15186670393329557534</stp>
        <tr r="AG64" s="10"/>
      </tp>
      <tp t="e">
        <v>#N/A</v>
        <stp/>
        <stp>BDH|16629979586890185152</stp>
        <tr r="Y47" s="10"/>
      </tp>
      <tp t="e">
        <v>#N/A</v>
        <stp/>
        <stp>BDH|14424606640834434437</stp>
        <tr r="R19" s="10"/>
      </tp>
      <tp t="e">
        <v>#N/A</v>
        <stp/>
        <stp>BDH|10077649417786456743</stp>
        <tr r="J78" s="10"/>
      </tp>
      <tp t="e">
        <v>#N/A</v>
        <stp/>
        <stp>BDH|11964394203901663562</stp>
        <tr r="AD116" s="10"/>
      </tp>
      <tp t="e">
        <v>#N/A</v>
        <stp/>
        <stp>BDH|11712934321714453828</stp>
        <tr r="E161" s="10"/>
      </tp>
      <tp t="e">
        <v>#N/A</v>
        <stp/>
        <stp>BDH|12688176628554264383</stp>
        <tr r="C4" s="10"/>
      </tp>
      <tp t="e">
        <v>#N/A</v>
        <stp/>
        <stp>BDH|16633446313045481063</stp>
        <tr r="AN54" s="10"/>
      </tp>
      <tp t="e">
        <v>#N/A</v>
        <stp/>
        <stp>BDH|12689361338796849237</stp>
        <tr r="AJ86" s="10"/>
      </tp>
      <tp t="e">
        <v>#N/A</v>
        <stp/>
        <stp>BDH|11603195301107490190</stp>
        <tr r="R3" s="10"/>
      </tp>
      <tp t="e">
        <v>#N/A</v>
        <stp/>
        <stp>BDH|13989585321204373604</stp>
        <tr r="AW8" s="10"/>
      </tp>
      <tp t="e">
        <v>#N/A</v>
        <stp/>
        <stp>BDH|17485536494869649461</stp>
        <tr r="V36" s="10"/>
      </tp>
      <tp t="e">
        <v>#N/A</v>
        <stp/>
        <stp>BDH|10105360336817620149</stp>
        <tr r="AM56" s="10"/>
      </tp>
      <tp t="e">
        <v>#N/A</v>
        <stp/>
        <stp>BDH|17425467436345027376</stp>
        <tr r="AI97" s="10"/>
      </tp>
      <tp t="e">
        <v>#N/A</v>
        <stp/>
        <stp>BDH|12272980608384804994</stp>
        <tr r="AC37" s="10"/>
      </tp>
      <tp t="e">
        <v>#N/A</v>
        <stp/>
        <stp>BDH|17645655145142545102</stp>
        <tr r="AU115" s="10"/>
      </tp>
      <tp t="e">
        <v>#N/A</v>
        <stp/>
        <stp>BDH|11011011583317839895</stp>
        <tr r="N151" s="10"/>
      </tp>
      <tp t="e">
        <v>#N/A</v>
        <stp/>
        <stp>BDH|18419525773478546431</stp>
        <tr r="AT158" s="10"/>
      </tp>
      <tp t="e">
        <v>#N/A</v>
        <stp/>
        <stp>BDH|11764330863760495213</stp>
        <tr r="AV14" s="10"/>
      </tp>
      <tp t="e">
        <v>#N/A</v>
        <stp/>
        <stp>BDH|15109526430406807398</stp>
        <tr r="K140" s="10"/>
      </tp>
      <tp t="e">
        <v>#N/A</v>
        <stp/>
        <stp>BDH|17054771202776203059</stp>
        <tr r="AO120" s="10"/>
      </tp>
      <tp t="e">
        <v>#N/A</v>
        <stp/>
        <stp>BDH|16977580847219351879</stp>
        <tr r="U75" s="10"/>
      </tp>
      <tp t="e">
        <v>#N/A</v>
        <stp/>
        <stp>BDH|15834698163707261422</stp>
        <tr r="AB112" s="10"/>
      </tp>
      <tp t="e">
        <v>#N/A</v>
        <stp/>
        <stp>BDH|16978651704114368299</stp>
        <tr r="AE125" s="10"/>
      </tp>
      <tp t="e">
        <v>#N/A</v>
        <stp/>
        <stp>BDH|13522179904162401605</stp>
        <tr r="AA146" s="10"/>
      </tp>
      <tp t="e">
        <v>#N/A</v>
        <stp/>
        <stp>BDH|14244608994174413901</stp>
        <tr r="T115" s="10"/>
      </tp>
      <tp t="e">
        <v>#N/A</v>
        <stp/>
        <stp>BDH|11517027512484521223</stp>
        <tr r="S80" s="10"/>
      </tp>
      <tp t="e">
        <v>#N/A</v>
        <stp/>
        <stp>BDH|11960697070444471263</stp>
        <tr r="AA169" s="10"/>
      </tp>
      <tp t="e">
        <v>#N/A</v>
        <stp/>
        <stp>BDH|14460409290349242648</stp>
        <tr r="P166" s="10"/>
      </tp>
      <tp t="e">
        <v>#N/A</v>
        <stp/>
        <stp>BDH|15216760529330726680</stp>
        <tr r="AK167" s="10"/>
      </tp>
      <tp t="e">
        <v>#N/A</v>
        <stp/>
        <stp>BDH|13401313443406566417</stp>
        <tr r="H17" s="10"/>
      </tp>
      <tp t="e">
        <v>#N/A</v>
        <stp/>
        <stp>BDH|14362184934916548689</stp>
        <tr r="P23" s="10"/>
      </tp>
      <tp t="e">
        <v>#N/A</v>
        <stp/>
        <stp>BDH|15015249112644596413</stp>
        <tr r="AH71" s="10"/>
      </tp>
      <tp t="e">
        <v>#N/A</v>
        <stp/>
        <stp>BDH|13540133332113796464</stp>
        <tr r="Y170" s="10"/>
      </tp>
      <tp t="e">
        <v>#N/A</v>
        <stp/>
        <stp>BDH|11511271561486587536</stp>
        <tr r="AF24" s="10"/>
      </tp>
      <tp t="e">
        <v>#N/A</v>
        <stp/>
        <stp>BDH|17015694674869001985</stp>
        <tr r="AR110" s="10"/>
      </tp>
      <tp t="e">
        <v>#N/A</v>
        <stp/>
        <stp>BDH|13917661069797615259</stp>
        <tr r="K173" s="10"/>
      </tp>
      <tp t="e">
        <v>#N/A</v>
        <stp/>
        <stp>BDH|12828158930467885109</stp>
        <tr r="AT48" s="10"/>
      </tp>
      <tp t="e">
        <v>#N/A</v>
        <stp/>
        <stp>BDH|13871276634947628387</stp>
        <tr r="AW27" s="10"/>
      </tp>
      <tp t="e">
        <v>#N/A</v>
        <stp/>
        <stp>BDH|11019448770366387221</stp>
        <tr r="AQ14" s="10"/>
      </tp>
      <tp t="e">
        <v>#N/A</v>
        <stp/>
        <stp>BDH|15801121104744373682</stp>
        <tr r="I174" s="10"/>
      </tp>
      <tp t="e">
        <v>#N/A</v>
        <stp/>
        <stp>BDH|16020316536448166837</stp>
        <tr r="F142" s="10"/>
      </tp>
      <tp t="e">
        <v>#N/A</v>
        <stp/>
        <stp>BDH|13442106445681158150</stp>
        <tr r="AC185" s="10"/>
      </tp>
      <tp t="e">
        <v>#N/A</v>
        <stp/>
        <stp>BDH|16992658863615227585</stp>
        <tr r="J137" s="10"/>
      </tp>
      <tp t="e">
        <v>#N/A</v>
        <stp/>
        <stp>BDH|14819214624187951511</stp>
        <tr r="AC54" s="10"/>
      </tp>
      <tp t="e">
        <v>#N/A</v>
        <stp/>
        <stp>BDH|10686394323832969505</stp>
        <tr r="U114" s="10"/>
      </tp>
      <tp t="e">
        <v>#N/A</v>
        <stp/>
        <stp>BDH|15068133144193111532</stp>
        <tr r="AR57" s="10"/>
      </tp>
      <tp t="e">
        <v>#N/A</v>
        <stp/>
        <stp>BDH|12405293398596757976</stp>
        <tr r="P109" s="10"/>
      </tp>
      <tp t="e">
        <v>#N/A</v>
        <stp/>
        <stp>BDH|12096503437173763158</stp>
        <tr r="AR101" s="10"/>
      </tp>
      <tp t="e">
        <v>#N/A</v>
        <stp/>
        <stp>BDH|10423287225301810742</stp>
        <tr r="AP62" s="10"/>
      </tp>
      <tp t="e">
        <v>#N/A</v>
        <stp/>
        <stp>BDH|10697864755658080307</stp>
        <tr r="AT30" s="10"/>
      </tp>
      <tp t="e">
        <v>#N/A</v>
        <stp/>
        <stp>BDH|14254727560121517206</stp>
        <tr r="K88" s="10"/>
      </tp>
      <tp t="e">
        <v>#N/A</v>
        <stp/>
        <stp>BDH|10531835563170955896</stp>
        <tr r="K182" s="10"/>
      </tp>
      <tp t="e">
        <v>#N/A</v>
        <stp/>
        <stp>BDH|11324226985414881983</stp>
        <tr r="AI144" s="10"/>
      </tp>
      <tp t="e">
        <v>#N/A</v>
        <stp/>
        <stp>BDH|17456678574422022230</stp>
        <tr r="W43" s="10"/>
      </tp>
      <tp t="e">
        <v>#N/A</v>
        <stp/>
        <stp>BDH|11804004450537921558</stp>
        <tr r="D5" s="10"/>
      </tp>
      <tp t="e">
        <v>#N/A</v>
        <stp/>
        <stp>BDH|17843269023268808915</stp>
        <tr r="AN28" s="10"/>
      </tp>
      <tp t="e">
        <v>#N/A</v>
        <stp/>
        <stp>BDH|12527609574325185049</stp>
        <tr r="AQ13" s="10"/>
      </tp>
      <tp t="e">
        <v>#N/A</v>
        <stp/>
        <stp>BDH|15312842346688297774</stp>
        <tr r="X165" s="10"/>
      </tp>
      <tp t="e">
        <v>#N/A</v>
        <stp/>
        <stp>BDH|12354453081971739944</stp>
        <tr r="H15" s="10"/>
      </tp>
      <tp t="e">
        <v>#N/A</v>
        <stp/>
        <stp>BDH|16054468895725244856</stp>
        <tr r="AG88" s="10"/>
      </tp>
      <tp t="e">
        <v>#N/A</v>
        <stp/>
        <stp>BDH|11681729910165867489</stp>
        <tr r="N167" s="10"/>
      </tp>
      <tp t="e">
        <v>#N/A</v>
        <stp/>
        <stp>BDH|16206840965386787805</stp>
        <tr r="AA120" s="10"/>
      </tp>
      <tp t="e">
        <v>#N/A</v>
        <stp/>
        <stp>BDH|14697761737786416073</stp>
        <tr r="N20" s="10"/>
      </tp>
      <tp t="e">
        <v>#N/A</v>
        <stp/>
        <stp>BDH|16596941281368145952</stp>
        <tr r="J8" s="10"/>
      </tp>
      <tp t="e">
        <v>#N/A</v>
        <stp/>
        <stp>BDH|17335874072947753956</stp>
        <tr r="C101" s="10"/>
      </tp>
      <tp t="e">
        <v>#N/A</v>
        <stp/>
        <stp>BDH|17537043586528688151</stp>
        <tr r="AI37" s="10"/>
      </tp>
      <tp t="e">
        <v>#N/A</v>
        <stp/>
        <stp>BDH|11283658761604508375</stp>
        <tr r="I109" s="10"/>
      </tp>
      <tp t="e">
        <v>#N/A</v>
        <stp/>
        <stp>BDH|14829574778424337402</stp>
        <tr r="AF72" s="10"/>
      </tp>
      <tp t="e">
        <v>#N/A</v>
        <stp/>
        <stp>BDH|11146008941177482406</stp>
        <tr r="AU150" s="10"/>
      </tp>
      <tp t="e">
        <v>#N/A</v>
        <stp/>
        <stp>BDH|12272075963782639044</stp>
        <tr r="P128" s="10"/>
      </tp>
      <tp t="e">
        <v>#N/A</v>
        <stp/>
        <stp>BDH|15475294629780538356</stp>
        <tr r="AF130" s="10"/>
      </tp>
      <tp t="e">
        <v>#N/A</v>
        <stp/>
        <stp>BDH|14419146559272457497</stp>
        <tr r="AB74" s="10"/>
      </tp>
      <tp t="e">
        <v>#N/A</v>
        <stp/>
        <stp>BDH|10498034157625046649</stp>
        <tr r="AD93" s="10"/>
      </tp>
      <tp t="e">
        <v>#N/A</v>
        <stp/>
        <stp>BDH|15338515890738166771</stp>
        <tr r="Q33" s="10"/>
      </tp>
      <tp t="e">
        <v>#N/A</v>
        <stp/>
        <stp>BDH|13733351335952643759</stp>
        <tr r="AB180" s="10"/>
      </tp>
      <tp t="e">
        <v>#N/A</v>
        <stp/>
        <stp>BDH|13319737740652730436</stp>
        <tr r="AR79" s="10"/>
      </tp>
      <tp t="e">
        <v>#N/A</v>
        <stp/>
        <stp>BDH|14580099304522884049</stp>
        <tr r="P142" s="10"/>
      </tp>
      <tp t="e">
        <v>#N/A</v>
        <stp/>
        <stp>BDH|14199043325019786936</stp>
        <tr r="AF186" s="10"/>
      </tp>
      <tp t="e">
        <v>#N/A</v>
        <stp/>
        <stp>BDH|14481370551505189171</stp>
        <tr r="AE26" s="10"/>
      </tp>
      <tp t="e">
        <v>#N/A</v>
        <stp/>
        <stp>BDH|13684639046401493638</stp>
        <tr r="AK181" s="10"/>
      </tp>
      <tp t="e">
        <v>#N/A</v>
        <stp/>
        <stp>BDH|10669191241655808625</stp>
        <tr r="P120" s="10"/>
      </tp>
      <tp t="e">
        <v>#N/A</v>
        <stp/>
        <stp>BDH|14568223156394363164</stp>
        <tr r="AC186" s="10"/>
      </tp>
      <tp t="e">
        <v>#N/A</v>
        <stp/>
        <stp>BDH|10614299872307993439</stp>
        <tr r="AV98" s="10"/>
      </tp>
      <tp t="e">
        <v>#N/A</v>
        <stp/>
        <stp>BDH|14047251593721418859</stp>
        <tr r="U149" s="10"/>
      </tp>
      <tp t="e">
        <v>#N/A</v>
        <stp/>
        <stp>BDH|18396650885258147856</stp>
        <tr r="AJ155" s="10"/>
      </tp>
      <tp t="e">
        <v>#N/A</v>
        <stp/>
        <stp>BDH|11075021668530583182</stp>
        <tr r="D90" s="10"/>
      </tp>
      <tp t="e">
        <v>#N/A</v>
        <stp/>
        <stp>BDH|13931430876883913523</stp>
        <tr r="AB157" s="10"/>
      </tp>
      <tp t="e">
        <v>#N/A</v>
        <stp/>
        <stp>BDH|12985425232765921677</stp>
        <tr r="AQ119" s="10"/>
      </tp>
      <tp t="e">
        <v>#N/A</v>
        <stp/>
        <stp>BDH|10216614415576487755</stp>
        <tr r="AK185" s="10"/>
      </tp>
      <tp t="e">
        <v>#N/A</v>
        <stp/>
        <stp>BDH|13476531903330105029</stp>
        <tr r="AO164" s="10"/>
      </tp>
      <tp t="e">
        <v>#N/A</v>
        <stp/>
        <stp>BDH|16462286235787960673</stp>
        <tr r="AQ135" s="10"/>
      </tp>
      <tp t="e">
        <v>#N/A</v>
        <stp/>
        <stp>BDH|13164574257753358652</stp>
        <tr r="V100" s="10"/>
      </tp>
      <tp t="e">
        <v>#N/A</v>
        <stp/>
        <stp>BDH|13346329544213344119</stp>
        <tr r="I171" s="10"/>
      </tp>
      <tp t="e">
        <v>#N/A</v>
        <stp/>
        <stp>BDH|16023520759208575896</stp>
        <tr r="AS74" s="10"/>
      </tp>
      <tp t="e">
        <v>#N/A</v>
        <stp/>
        <stp>BDH|17413343796772072913</stp>
        <tr r="K54" s="10"/>
      </tp>
      <tp t="e">
        <v>#N/A</v>
        <stp/>
        <stp>BDH|17333865791308747840</stp>
        <tr r="Y93" s="10"/>
      </tp>
      <tp t="e">
        <v>#N/A</v>
        <stp/>
        <stp>BDH|14094823816343076839</stp>
        <tr r="AA156" s="10"/>
      </tp>
      <tp t="e">
        <v>#N/A</v>
        <stp/>
        <stp>BDH|13509002185608079574</stp>
        <tr r="R177" s="10"/>
      </tp>
      <tp t="e">
        <v>#N/A</v>
        <stp/>
        <stp>BDH|10746161606223669464</stp>
        <tr r="Q126" s="10"/>
      </tp>
      <tp t="e">
        <v>#N/A</v>
        <stp/>
        <stp>BDH|12076447700695669555</stp>
        <tr r="T84" s="10"/>
      </tp>
      <tp t="e">
        <v>#N/A</v>
        <stp/>
        <stp>BDH|11805345648287257716</stp>
        <tr r="AM122" s="10"/>
      </tp>
      <tp t="e">
        <v>#N/A</v>
        <stp/>
        <stp>BDH|12511311953616831481</stp>
        <tr r="E191" s="10"/>
      </tp>
      <tp t="e">
        <v>#N/A</v>
        <stp/>
        <stp>BDH|18240217001998589419</stp>
        <tr r="X127" s="10"/>
      </tp>
      <tp t="e">
        <v>#N/A</v>
        <stp/>
        <stp>BDH|11082101027353336723</stp>
        <tr r="AF78" s="10"/>
      </tp>
      <tp t="e">
        <v>#N/A</v>
        <stp/>
        <stp>BDH|17244938495249124836</stp>
        <tr r="AV170" s="10"/>
      </tp>
      <tp t="e">
        <v>#N/A</v>
        <stp/>
        <stp>BDH|14645887002958265285</stp>
        <tr r="AV125" s="10"/>
      </tp>
      <tp t="e">
        <v>#N/A</v>
        <stp/>
        <stp>BDH|10553210783724531848</stp>
        <tr r="S186" s="10"/>
      </tp>
      <tp t="e">
        <v>#N/A</v>
        <stp/>
        <stp>BDH|15374068072671885598</stp>
        <tr r="AW65" s="10"/>
      </tp>
      <tp t="e">
        <v>#N/A</v>
        <stp/>
        <stp>BDH|11569587241854969237</stp>
        <tr r="AW34" s="10"/>
      </tp>
      <tp t="e">
        <v>#N/A</v>
        <stp/>
        <stp>BDH|14905419325381916525</stp>
        <tr r="AO39" s="10"/>
      </tp>
      <tp t="e">
        <v>#N/A</v>
        <stp/>
        <stp>BDH|15236659641386213725</stp>
        <tr r="H125" s="10"/>
      </tp>
      <tp t="e">
        <v>#N/A</v>
        <stp/>
        <stp>BDH|16350270744856171076</stp>
        <tr r="X107" s="10"/>
      </tp>
      <tp t="e">
        <v>#N/A</v>
        <stp/>
        <stp>BDH|15515221474900123647</stp>
        <tr r="L55" s="10"/>
      </tp>
      <tp t="e">
        <v>#N/A</v>
        <stp/>
        <stp>BDH|14871785534395041326</stp>
        <tr r="AN159" s="10"/>
      </tp>
      <tp t="e">
        <v>#N/A</v>
        <stp/>
        <stp>BDH|16145297116125940615</stp>
        <tr r="AU145" s="10"/>
      </tp>
      <tp t="e">
        <v>#N/A</v>
        <stp/>
        <stp>BDH|16056449828223955539</stp>
        <tr r="AF28" s="10"/>
      </tp>
      <tp t="e">
        <v>#N/A</v>
        <stp/>
        <stp>BDH|14731325430554486679</stp>
        <tr r="AP11" s="10"/>
      </tp>
      <tp t="e">
        <v>#N/A</v>
        <stp/>
        <stp>BDH|11003640822751029204</stp>
        <tr r="G105" s="10"/>
      </tp>
      <tp t="e">
        <v>#N/A</v>
        <stp/>
        <stp>BDH|11565187224262932660</stp>
        <tr r="F162" s="10"/>
      </tp>
      <tp t="e">
        <v>#N/A</v>
        <stp/>
        <stp>BDH|10513706631285561774</stp>
        <tr r="AU50" s="10"/>
      </tp>
      <tp t="e">
        <v>#N/A</v>
        <stp/>
        <stp>BDH|11711575797192766965</stp>
        <tr r="L83" s="10"/>
      </tp>
      <tp t="e">
        <v>#N/A</v>
        <stp/>
        <stp>BDH|11583008621150149530</stp>
        <tr r="AB15" s="10"/>
      </tp>
      <tp t="e">
        <v>#N/A</v>
        <stp/>
        <stp>BDH|11608104713117619051</stp>
        <tr r="AN46" s="10"/>
      </tp>
      <tp t="e">
        <v>#N/A</v>
        <stp/>
        <stp>BDH|13490572451853353673</stp>
        <tr r="AF109" s="10"/>
      </tp>
      <tp t="e">
        <v>#N/A</v>
        <stp/>
        <stp>BDH|13689081717491736575</stp>
        <tr r="AN112" s="10"/>
      </tp>
      <tp t="e">
        <v>#N/A</v>
        <stp/>
        <stp>BDH|15116059248494233375</stp>
        <tr r="AD131" s="10"/>
      </tp>
      <tp t="e">
        <v>#N/A</v>
        <stp/>
        <stp>BDH|10917248225240779665</stp>
        <tr r="AC51" s="10"/>
      </tp>
      <tp t="e">
        <v>#N/A</v>
        <stp/>
        <stp>BDH|13558511075821950610</stp>
        <tr r="S96" s="10"/>
      </tp>
      <tp t="e">
        <v>#N/A</v>
        <stp/>
        <stp>BDH|10995033842765210733</stp>
        <tr r="M187" s="10"/>
      </tp>
      <tp t="e">
        <v>#N/A</v>
        <stp/>
        <stp>BDH|13130178470341623295</stp>
        <tr r="Z162" s="10"/>
      </tp>
      <tp t="e">
        <v>#N/A</v>
        <stp/>
        <stp>BDH|15297163637832290386</stp>
        <tr r="T9" s="10"/>
      </tp>
      <tp t="e">
        <v>#N/A</v>
        <stp/>
        <stp>BDH|15669175503716225494</stp>
        <tr r="AN131" s="10"/>
      </tp>
      <tp t="e">
        <v>#N/A</v>
        <stp/>
        <stp>BDH|14118322729982789143</stp>
        <tr r="M118" s="10"/>
      </tp>
      <tp t="e">
        <v>#N/A</v>
        <stp/>
        <stp>BDH|11606271232442275483</stp>
        <tr r="AS39" s="10"/>
      </tp>
      <tp t="e">
        <v>#N/A</v>
        <stp/>
        <stp>BDH|16856459728910927656</stp>
        <tr r="C152" s="10"/>
      </tp>
      <tp t="e">
        <v>#N/A</v>
        <stp/>
        <stp>BDH|17566677704214818375</stp>
        <tr r="AP147" s="10"/>
      </tp>
      <tp t="e">
        <v>#N/A</v>
        <stp/>
        <stp>BDH|13560294965032011304</stp>
        <tr r="AU14" s="10"/>
      </tp>
      <tp t="e">
        <v>#N/A</v>
        <stp/>
        <stp>BDH|12140220234670942571</stp>
        <tr r="E78" s="10"/>
      </tp>
      <tp t="e">
        <v>#N/A</v>
        <stp/>
        <stp>BDH|18040040770771409895</stp>
        <tr r="AB129" s="10"/>
      </tp>
      <tp t="e">
        <v>#N/A</v>
        <stp/>
        <stp>BDH|15585937662808572485</stp>
        <tr r="L127" s="10"/>
      </tp>
      <tp t="e">
        <v>#N/A</v>
        <stp/>
        <stp>BDH|10465582613206315453</stp>
        <tr r="U108" s="10"/>
      </tp>
      <tp t="e">
        <v>#N/A</v>
        <stp/>
        <stp>BDH|16552978174599642785</stp>
        <tr r="AQ23" s="10"/>
      </tp>
      <tp t="e">
        <v>#N/A</v>
        <stp/>
        <stp>BDH|13254963773978624394</stp>
        <tr r="O47" s="10"/>
      </tp>
      <tp t="e">
        <v>#N/A</v>
        <stp/>
        <stp>BDH|14012213634942479193</stp>
        <tr r="AE32" s="10"/>
      </tp>
      <tp t="e">
        <v>#N/A</v>
        <stp/>
        <stp>BDH|10612877471509042088</stp>
        <tr r="N127" s="10"/>
      </tp>
      <tp t="e">
        <v>#N/A</v>
        <stp/>
        <stp>BDH|15626000139102189266</stp>
        <tr r="U8" s="10"/>
      </tp>
      <tp t="e">
        <v>#N/A</v>
        <stp/>
        <stp>BDH|16409108190111837946</stp>
        <tr r="AN73" s="10"/>
      </tp>
      <tp t="e">
        <v>#N/A</v>
        <stp/>
        <stp>BDH|13417033989139014460</stp>
        <tr r="V170" s="10"/>
      </tp>
      <tp t="e">
        <v>#N/A</v>
        <stp/>
        <stp>BDH|10517683778361554686</stp>
        <tr r="V136" s="10"/>
      </tp>
      <tp t="e">
        <v>#N/A</v>
        <stp/>
        <stp>BDH|13054837728296061937</stp>
        <tr r="AK154" s="10"/>
      </tp>
      <tp t="e">
        <v>#N/A</v>
        <stp/>
        <stp>BDH|15962538431345180024</stp>
        <tr r="AQ62" s="10"/>
      </tp>
      <tp t="e">
        <v>#N/A</v>
        <stp/>
        <stp>BDH|17361300305262948070</stp>
        <tr r="AC192" s="10"/>
      </tp>
      <tp t="e">
        <v>#N/A</v>
        <stp/>
        <stp>BDH|17101632709576441173</stp>
        <tr r="Z63" s="10"/>
      </tp>
      <tp t="e">
        <v>#N/A</v>
        <stp/>
        <stp>BDH|15079091770514930086</stp>
        <tr r="S173" s="10"/>
      </tp>
      <tp t="e">
        <v>#N/A</v>
        <stp/>
        <stp>BDH|15019761238335532236</stp>
        <tr r="Z85" s="10"/>
      </tp>
      <tp t="e">
        <v>#N/A</v>
        <stp/>
        <stp>BDH|10965569976814439052</stp>
        <tr r="X182" s="10"/>
      </tp>
      <tp t="e">
        <v>#N/A</v>
        <stp/>
        <stp>BDH|17099275059587208173</stp>
        <tr r="AE185" s="10"/>
      </tp>
      <tp t="e">
        <v>#N/A</v>
        <stp/>
        <stp>BDH|11845386895558740599</stp>
        <tr r="W20" s="10"/>
      </tp>
      <tp t="e">
        <v>#N/A</v>
        <stp/>
        <stp>BDH|12026699766445415104</stp>
        <tr r="AB84" s="10"/>
      </tp>
      <tp t="e">
        <v>#N/A</v>
        <stp/>
        <stp>BDH|14035209508360537063</stp>
        <tr r="O142" s="10"/>
      </tp>
      <tp t="e">
        <v>#N/A</v>
        <stp/>
        <stp>BDH|12277953408794596912</stp>
        <tr r="AF125" s="10"/>
      </tp>
      <tp t="e">
        <v>#N/A</v>
        <stp/>
        <stp>BDH|18019972651902956047</stp>
        <tr r="S120" s="10"/>
      </tp>
      <tp t="e">
        <v>#N/A</v>
        <stp/>
        <stp>BDH|17078685479350302099</stp>
        <tr r="F105" s="10"/>
      </tp>
      <tp t="e">
        <v>#N/A</v>
        <stp/>
        <stp>BDH|14984525869456159784</stp>
        <tr r="AN85" s="10"/>
      </tp>
      <tp t="e">
        <v>#N/A</v>
        <stp/>
        <stp>BDH|14194164462153909673</stp>
        <tr r="N155" s="10"/>
      </tp>
      <tp t="e">
        <v>#N/A</v>
        <stp/>
        <stp>BDH|15427319269315027375</stp>
        <tr r="K104" s="10"/>
      </tp>
      <tp t="e">
        <v>#N/A</v>
        <stp/>
        <stp>BDH|15954999132651826816</stp>
        <tr r="AH18" s="10"/>
      </tp>
      <tp t="e">
        <v>#N/A</v>
        <stp/>
        <stp>BDH|16425829498727185649</stp>
        <tr r="AS28" s="10"/>
      </tp>
      <tp t="e">
        <v>#N/A</v>
        <stp/>
        <stp>BDH|14856031926622284249</stp>
        <tr r="AT37" s="10"/>
      </tp>
      <tp t="e">
        <v>#N/A</v>
        <stp/>
        <stp>BDH|13907254547163148013</stp>
        <tr r="M119" s="10"/>
      </tp>
      <tp t="e">
        <v>#N/A</v>
        <stp/>
        <stp>BDH|14152766773785978761</stp>
        <tr r="C116" s="10"/>
      </tp>
      <tp t="e">
        <v>#N/A</v>
        <stp/>
        <stp>BDH|18022361422157713881</stp>
        <tr r="AE60" s="10"/>
      </tp>
      <tp t="e">
        <v>#N/A</v>
        <stp/>
        <stp>BDH|10608164174470853072</stp>
        <tr r="U39" s="10"/>
      </tp>
      <tp t="e">
        <v>#N/A</v>
        <stp/>
        <stp>BDH|15503282013029343961</stp>
        <tr r="X58" s="10"/>
      </tp>
      <tp t="e">
        <v>#N/A</v>
        <stp/>
        <stp>BDH|13072703127129443987</stp>
        <tr r="I7" s="10"/>
      </tp>
      <tp t="e">
        <v>#N/A</v>
        <stp/>
        <stp>BDH|15439755712063861605</stp>
        <tr r="Y175" s="10"/>
      </tp>
      <tp t="e">
        <v>#N/A</v>
        <stp/>
        <stp>BDH|16116799900470673741</stp>
        <tr r="AJ187" s="10"/>
      </tp>
      <tp t="e">
        <v>#N/A</v>
        <stp/>
        <stp>BDH|17881855716520402850</stp>
        <tr r="U22" s="10"/>
      </tp>
      <tp t="e">
        <v>#N/A</v>
        <stp/>
        <stp>BDH|12718152249925668472</stp>
        <tr r="AS63" s="10"/>
      </tp>
      <tp t="e">
        <v>#N/A</v>
        <stp/>
        <stp>BDH|15658289172184217241</stp>
        <tr r="AG85" s="10"/>
      </tp>
      <tp t="e">
        <v>#N/A</v>
        <stp/>
        <stp>BDH|17367776878810606104</stp>
        <tr r="AQ165" s="10"/>
      </tp>
      <tp t="e">
        <v>#N/A</v>
        <stp/>
        <stp>BDH|14501481753810660323</stp>
        <tr r="V44" s="10"/>
      </tp>
      <tp t="e">
        <v>#N/A</v>
        <stp/>
        <stp>BDH|11605621448754213144</stp>
        <tr r="AL164" s="10"/>
      </tp>
      <tp t="e">
        <v>#N/A</v>
        <stp/>
        <stp>BDH|12841507778702337496</stp>
        <tr r="AW135" s="10"/>
      </tp>
      <tp t="e">
        <v>#N/A</v>
        <stp/>
        <stp>BDH|10554487576202847793</stp>
        <tr r="S108" s="10"/>
      </tp>
      <tp t="e">
        <v>#N/A</v>
        <stp/>
        <stp>BDH|12150614750693806421</stp>
        <tr r="J55" s="10"/>
      </tp>
      <tp t="e">
        <v>#N/A</v>
        <stp/>
        <stp>BDH|13764161360333334181</stp>
        <tr r="C166" s="10"/>
      </tp>
      <tp t="e">
        <v>#N/A</v>
        <stp/>
        <stp>BDH|13651866889346542361</stp>
        <tr r="AM10" s="10"/>
      </tp>
      <tp t="e">
        <v>#N/A</v>
        <stp/>
        <stp>BDH|13681739699479349254</stp>
        <tr r="AN189" s="10"/>
      </tp>
      <tp t="e">
        <v>#N/A</v>
        <stp/>
        <stp>BDH|13797931188626293242</stp>
        <tr r="AR22" s="10"/>
      </tp>
      <tp t="e">
        <v>#N/A</v>
        <stp/>
        <stp>BDH|18388093780194458235</stp>
        <tr r="R67" s="10"/>
      </tp>
      <tp t="e">
        <v>#N/A</v>
        <stp/>
        <stp>BDH|14791025829028666872</stp>
        <tr r="M60" s="10"/>
      </tp>
      <tp t="e">
        <v>#N/A</v>
        <stp/>
        <stp>BDH|14260827948959067756</stp>
        <tr r="AK65" s="10"/>
      </tp>
      <tp t="e">
        <v>#N/A</v>
        <stp/>
        <stp>BDH|11254151725923752780</stp>
        <tr r="I4" s="10"/>
      </tp>
      <tp t="e">
        <v>#N/A</v>
        <stp/>
        <stp>BDH|14109786079983543183</stp>
        <tr r="AO149" s="10"/>
      </tp>
      <tp t="e">
        <v>#N/A</v>
        <stp/>
        <stp>BDH|13895282504912886514</stp>
        <tr r="AI187" s="10"/>
      </tp>
      <tp t="e">
        <v>#N/A</v>
        <stp/>
        <stp>BDH|10194283811597642236</stp>
        <tr r="Z180" s="10"/>
      </tp>
      <tp t="e">
        <v>#N/A</v>
        <stp/>
        <stp>BDH|13347613801427796496</stp>
        <tr r="AR71" s="10"/>
      </tp>
      <tp t="e">
        <v>#N/A</v>
        <stp/>
        <stp>BDH|16778916968896691952</stp>
        <tr r="AK162" s="10"/>
      </tp>
      <tp t="e">
        <v>#N/A</v>
        <stp/>
        <stp>BDH|12744083663462254034</stp>
        <tr r="X89" s="10"/>
      </tp>
      <tp t="e">
        <v>#N/A</v>
        <stp/>
        <stp>BDH|12628507519462152234</stp>
        <tr r="AQ32" s="10"/>
      </tp>
      <tp t="e">
        <v>#N/A</v>
        <stp/>
        <stp>BDH|13782208658437362512</stp>
        <tr r="AP129" s="10"/>
      </tp>
      <tp t="e">
        <v>#N/A</v>
        <stp/>
        <stp>BDH|15199207607915933422</stp>
        <tr r="X9" s="10"/>
      </tp>
      <tp t="e">
        <v>#N/A</v>
        <stp/>
        <stp>BDH|12241881711545008866</stp>
        <tr r="U56" s="10"/>
      </tp>
      <tp t="e">
        <v>#N/A</v>
        <stp/>
        <stp>BDH|13212106688455302945</stp>
        <tr r="S142" s="10"/>
      </tp>
      <tp t="e">
        <v>#N/A</v>
        <stp/>
        <stp>BDH|10583285845517778729</stp>
        <tr r="G124" s="10"/>
      </tp>
      <tp t="e">
        <v>#N/A</v>
        <stp/>
        <stp>BDH|16731697157377279465</stp>
        <tr r="G157" s="10"/>
      </tp>
      <tp t="e">
        <v>#N/A</v>
        <stp/>
        <stp>BDH|17967570867430537214</stp>
        <tr r="J32" s="10"/>
      </tp>
      <tp t="e">
        <v>#N/A</v>
        <stp/>
        <stp>BDH|14055528699898628602</stp>
        <tr r="O160" s="10"/>
      </tp>
      <tp t="e">
        <v>#N/A</v>
        <stp/>
        <stp>BDH|12149964394451899569</stp>
        <tr r="N169" s="10"/>
      </tp>
      <tp t="e">
        <v>#N/A</v>
        <stp/>
        <stp>BDH|15785148137923090294</stp>
        <tr r="AQ183" s="10"/>
      </tp>
      <tp t="e">
        <v>#N/A</v>
        <stp/>
        <stp>BDH|10878404832569237851</stp>
        <tr r="Q62" s="10"/>
      </tp>
      <tp t="e">
        <v>#N/A</v>
        <stp/>
        <stp>BDH|13501659068953535607</stp>
        <tr r="C141" s="10"/>
      </tp>
      <tp t="e">
        <v>#N/A</v>
        <stp/>
        <stp>BDH|12951977158199394191</stp>
        <tr r="AE136" s="10"/>
      </tp>
      <tp t="e">
        <v>#N/A</v>
        <stp/>
        <stp>BDH|15028623163813841056</stp>
        <tr r="N187" s="10"/>
      </tp>
      <tp t="e">
        <v>#N/A</v>
        <stp/>
        <stp>BDH|12591400225946820448</stp>
        <tr r="Y7" s="10"/>
      </tp>
      <tp t="e">
        <v>#N/A</v>
        <stp/>
        <stp>BDH|12489154619203002746</stp>
        <tr r="P182" s="10"/>
      </tp>
      <tp t="e">
        <v>#N/A</v>
        <stp/>
        <stp>BDH|17688507309144684059</stp>
        <tr r="AH112" s="10"/>
      </tp>
      <tp t="e">
        <v>#N/A</v>
        <stp/>
        <stp>BDH|16925829486118637876</stp>
        <tr r="AE106" s="10"/>
      </tp>
      <tp t="e">
        <v>#N/A</v>
        <stp/>
        <stp>BDH|14561415628416795271</stp>
        <tr r="AO30" s="10"/>
      </tp>
      <tp t="e">
        <v>#N/A</v>
        <stp/>
        <stp>BDH|17762841711859857164</stp>
        <tr r="AQ24" s="10"/>
      </tp>
      <tp t="e">
        <v>#N/A</v>
        <stp/>
        <stp>BDH|10373393162915339673</stp>
        <tr r="S175" s="10"/>
      </tp>
      <tp t="e">
        <v>#N/A</v>
        <stp/>
        <stp>BDH|13830367981497150928</stp>
        <tr r="AI81" s="10"/>
      </tp>
      <tp t="e">
        <v>#N/A</v>
        <stp/>
        <stp>BDH|10267266318493605667</stp>
        <tr r="Z169" s="10"/>
      </tp>
      <tp t="e">
        <v>#N/A</v>
        <stp/>
        <stp>BDH|10703085613462401543</stp>
        <tr r="AG93" s="10"/>
      </tp>
      <tp t="e">
        <v>#N/A</v>
        <stp/>
        <stp>BDH|10934436475273500666</stp>
        <tr r="AR182" s="10"/>
      </tp>
      <tp t="e">
        <v>#N/A</v>
        <stp/>
        <stp>BDH|11836109669279417998</stp>
        <tr r="E158" s="10"/>
      </tp>
      <tp t="e">
        <v>#N/A</v>
        <stp/>
        <stp>BDH|17105142014015464495</stp>
        <tr r="H12" s="10"/>
      </tp>
      <tp t="e">
        <v>#N/A</v>
        <stp/>
        <stp>BDH|16313963182740943121</stp>
        <tr r="AC55" s="10"/>
      </tp>
      <tp t="e">
        <v>#N/A</v>
        <stp/>
        <stp>BDH|16283897263676687821</stp>
        <tr r="D155" s="10"/>
      </tp>
      <tp t="e">
        <v>#N/A</v>
        <stp/>
        <stp>BDH|12937267233486465341</stp>
        <tr r="AT13" s="10"/>
      </tp>
      <tp t="e">
        <v>#N/A</v>
        <stp/>
        <stp>BDH|12971803979622924956</stp>
        <tr r="R124" s="10"/>
      </tp>
      <tp t="e">
        <v>#N/A</v>
        <stp/>
        <stp>BDH|17114216037846299690</stp>
        <tr r="H102" s="10"/>
      </tp>
      <tp t="e">
        <v>#N/A</v>
        <stp/>
        <stp>BDH|15935335577115645275</stp>
        <tr r="AC157" s="10"/>
      </tp>
      <tp t="e">
        <v>#N/A</v>
        <stp/>
        <stp>BDH|12381669779414411141</stp>
        <tr r="AR183" s="10"/>
      </tp>
      <tp t="e">
        <v>#N/A</v>
        <stp/>
        <stp>BDH|13833015794294628872</stp>
        <tr r="V4" s="10"/>
      </tp>
      <tp t="e">
        <v>#N/A</v>
        <stp/>
        <stp>BDH|10765004919935201234</stp>
        <tr r="AQ159" s="10"/>
      </tp>
      <tp t="e">
        <v>#N/A</v>
        <stp/>
        <stp>BDH|17812075910875706571</stp>
        <tr r="F69" s="10"/>
      </tp>
      <tp t="e">
        <v>#N/A</v>
        <stp/>
        <stp>BDH|12183722805833097099</stp>
        <tr r="U110" s="10"/>
      </tp>
      <tp t="e">
        <v>#N/A</v>
        <stp/>
        <stp>BDH|13410733073285961024</stp>
        <tr r="G80" s="10"/>
      </tp>
      <tp t="e">
        <v>#N/A</v>
        <stp/>
        <stp>BDH|10682769783718520196</stp>
        <tr r="X20" s="10"/>
      </tp>
      <tp t="e">
        <v>#N/A</v>
        <stp/>
        <stp>BDH|13850651599719803333</stp>
        <tr r="AF129" s="10"/>
      </tp>
      <tp t="e">
        <v>#N/A</v>
        <stp/>
        <stp>BDH|15512691416662471611</stp>
        <tr r="O95" s="10"/>
      </tp>
      <tp t="e">
        <v>#N/A</v>
        <stp/>
        <stp>BDH|15910662210070028406</stp>
        <tr r="AS110" s="10"/>
      </tp>
      <tp t="e">
        <v>#N/A</v>
        <stp/>
        <stp>BDH|11948436637769221901</stp>
        <tr r="AS94" s="10"/>
      </tp>
      <tp t="e">
        <v>#N/A</v>
        <stp/>
        <stp>BDH|14883067779024194190</stp>
        <tr r="AT159" s="10"/>
      </tp>
      <tp t="e">
        <v>#N/A</v>
        <stp/>
        <stp>BDH|11934641995868473039</stp>
        <tr r="AP50" s="10"/>
      </tp>
      <tp t="e">
        <v>#N/A</v>
        <stp/>
        <stp>BDH|16829201486548186214</stp>
        <tr r="J79" s="10"/>
      </tp>
      <tp t="e">
        <v>#N/A</v>
        <stp/>
        <stp>BDH|17544413539067370109</stp>
        <tr r="AB174" s="10"/>
      </tp>
      <tp t="e">
        <v>#N/A</v>
        <stp/>
        <stp>BDH|10065289670012173177</stp>
        <tr r="T153" s="10"/>
      </tp>
      <tp t="e">
        <v>#N/A</v>
        <stp/>
        <stp>BDH|14661890741858127612</stp>
        <tr r="P164" s="10"/>
      </tp>
      <tp t="e">
        <v>#N/A</v>
        <stp/>
        <stp>BDH|13827599660051735786</stp>
        <tr r="AK176" s="10"/>
      </tp>
      <tp t="e">
        <v>#N/A</v>
        <stp/>
        <stp>BDH|18275670197959883848</stp>
        <tr r="R166" s="10"/>
      </tp>
      <tp t="e">
        <v>#N/A</v>
        <stp/>
        <stp>BDH|14933890378579036468</stp>
        <tr r="Q168" s="10"/>
      </tp>
      <tp t="e">
        <v>#N/A</v>
        <stp/>
        <stp>BDH|10549903343389980211</stp>
        <tr r="X193" s="10"/>
      </tp>
      <tp t="e">
        <v>#N/A</v>
        <stp/>
        <stp>BDH|16588303338632367207</stp>
        <tr r="P21" s="10"/>
      </tp>
      <tp t="e">
        <v>#N/A</v>
        <stp/>
        <stp>BDH|11173445221655369493</stp>
        <tr r="AA97" s="10"/>
      </tp>
      <tp t="e">
        <v>#N/A</v>
        <stp/>
        <stp>BDH|11125522619205614622</stp>
        <tr r="I68" s="10"/>
      </tp>
      <tp t="e">
        <v>#N/A</v>
        <stp/>
        <stp>BDH|13772790233012300307</stp>
        <tr r="AJ116" s="10"/>
      </tp>
      <tp t="e">
        <v>#N/A</v>
        <stp/>
        <stp>BDH|10449486853394928383</stp>
        <tr r="AG83" s="10"/>
      </tp>
      <tp t="e">
        <v>#N/A</v>
        <stp/>
        <stp>BDH|17645497424212726524</stp>
        <tr r="T63" s="10"/>
      </tp>
      <tp t="e">
        <v>#N/A</v>
        <stp/>
        <stp>BDH|16701729741831915237</stp>
        <tr r="W8" s="10"/>
      </tp>
      <tp t="e">
        <v>#N/A</v>
        <stp/>
        <stp>BDH|11909305108854887073</stp>
        <tr r="U156" s="10"/>
      </tp>
      <tp t="e">
        <v>#N/A</v>
        <stp/>
        <stp>BDH|11823135662107155765</stp>
        <tr r="E106" s="10"/>
      </tp>
      <tp t="e">
        <v>#N/A</v>
        <stp/>
        <stp>BDH|12220935776959012399</stp>
        <tr r="K156" s="10"/>
      </tp>
      <tp t="e">
        <v>#N/A</v>
        <stp/>
        <stp>BDH|16943767754436707421</stp>
        <tr r="P159" s="10"/>
      </tp>
      <tp t="e">
        <v>#N/A</v>
        <stp/>
        <stp>BDH|12478798551446768058</stp>
        <tr r="R187" s="10"/>
      </tp>
      <tp t="e">
        <v>#N/A</v>
        <stp/>
        <stp>BDH|13070641816624816645</stp>
        <tr r="AS6" s="10"/>
      </tp>
      <tp t="s">
        <v>#N/A Requesting Data...2882923794</v>
        <stp/>
        <stp>BDP|13548463422264042687</stp>
        <tr r="D39" s="6"/>
        <tr r="H28" s="1"/>
      </tp>
      <tp t="s">
        <v>#N/A Requesting Data...2747025969</v>
        <stp/>
        <stp>BDP|11632492923830176067</stp>
        <tr r="F136" s="2"/>
      </tp>
      <tp t="s">
        <v>#N/A Requesting Data...3138580665</v>
        <stp/>
        <stp>BDP|11313592987773580893</stp>
        <tr r="O42" s="1"/>
      </tp>
      <tp t="s">
        <v>#N/A Requesting Data...2243181813</v>
        <stp/>
        <stp>BDP|15498813953559464628</stp>
        <tr r="G2" s="3"/>
        <tr r="G3" s="3"/>
        <tr r="B10" s="6"/>
        <tr r="H10" s="2"/>
        <tr r="H27" s="2"/>
      </tp>
      <tp t="s">
        <v>#N/A Requesting Data...2156607267</v>
        <stp/>
        <stp>BDP|15124481129227389303</stp>
        <tr r="B21" s="1"/>
      </tp>
      <tp t="s">
        <v>#N/A Requesting Data...3598107578</v>
        <stp/>
        <stp>BDP|15454079052315315213</stp>
        <tr r="F11" s="2"/>
      </tp>
      <tp t="s">
        <v>#N/A Requesting Data...3006856059</v>
        <stp/>
        <stp>BDP|13099237869086918609</stp>
        <tr r="D12" s="1"/>
      </tp>
      <tp t="s">
        <v>#N/A Requesting Data...3742934981</v>
        <stp/>
        <stp>BDP|13212540909089432884</stp>
        <tr r="B18" s="1"/>
      </tp>
      <tp t="s">
        <v>#N/A Requesting Data...3545956555</v>
        <stp/>
        <stp>BDP|18111602440809531411</stp>
        <tr r="F5" s="2"/>
      </tp>
      <tp t="s">
        <v>#N/A Requesting Data...1550382126</v>
        <stp/>
        <stp>BDP|13594538206350067150</stp>
        <tr r="F33" s="2"/>
        <tr r="F95" s="2"/>
      </tp>
      <tp t="s">
        <v>#N/A Requesting Data...2851279104</v>
        <stp/>
        <stp>BDP|17973989316691042931</stp>
        <tr r="F73" s="2"/>
      </tp>
      <tp t="s">
        <v>#N/A Requesting Data...2532792165</v>
        <stp/>
        <stp>BDP|11647774501692536317</stp>
        <tr r="B23" s="6"/>
        <tr r="E16" s="1"/>
        <tr r="H32" s="2"/>
        <tr r="H85" s="2"/>
        <tr r="H94" s="2"/>
      </tp>
      <tp t="s">
        <v>#N/A Requesting Data...2931673322</v>
        <stp/>
        <stp>BDP|10921387427577769156</stp>
        <tr r="D27" s="6"/>
      </tp>
      <tp t="e">
        <v>#N/A</v>
        <stp/>
        <stp>BDH|16560826554959725551</stp>
        <tr r="AB154" s="10"/>
      </tp>
      <tp t="e">
        <v>#N/A</v>
        <stp/>
        <stp>BDH|11944776799219681101</stp>
        <tr r="V90" s="10"/>
      </tp>
      <tp t="e">
        <v>#N/A</v>
        <stp/>
        <stp>BDH|13090456072756339154</stp>
        <tr r="AK72" s="10"/>
      </tp>
      <tp t="e">
        <v>#N/A</v>
        <stp/>
        <stp>BDH|15664255123211584347</stp>
        <tr r="G92" s="10"/>
      </tp>
      <tp t="e">
        <v>#N/A</v>
        <stp/>
        <stp>BDH|13294548441966115377</stp>
        <tr r="AJ100" s="10"/>
      </tp>
      <tp t="e">
        <v>#N/A</v>
        <stp/>
        <stp>BDH|13434689192118847371</stp>
        <tr r="G43" s="10"/>
      </tp>
      <tp t="e">
        <v>#N/A</v>
        <stp/>
        <stp>BDH|13212743474290363404</stp>
        <tr r="AP181" s="10"/>
      </tp>
      <tp t="e">
        <v>#N/A</v>
        <stp/>
        <stp>BDH|16809203266102819772</stp>
        <tr r="M131" s="10"/>
      </tp>
      <tp t="e">
        <v>#N/A</v>
        <stp/>
        <stp>BDH|10292879456122231802</stp>
        <tr r="AO8" s="10"/>
      </tp>
      <tp t="e">
        <v>#N/A</v>
        <stp/>
        <stp>BDH|16620894255254256891</stp>
        <tr r="AC174" s="10"/>
      </tp>
      <tp t="e">
        <v>#N/A</v>
        <stp/>
        <stp>BDH|16121240014133270123</stp>
        <tr r="AT66" s="10"/>
      </tp>
      <tp t="e">
        <v>#N/A</v>
        <stp/>
        <stp>BDH|11077326722425457255</stp>
        <tr r="AR100" s="10"/>
      </tp>
      <tp t="e">
        <v>#N/A</v>
        <stp/>
        <stp>BDH|14887927595634987774</stp>
        <tr r="AN57" s="10"/>
      </tp>
      <tp t="e">
        <v>#N/A</v>
        <stp/>
        <stp>BDH|17320387471142396696</stp>
        <tr r="AE137" s="10"/>
      </tp>
      <tp t="e">
        <v>#N/A</v>
        <stp/>
        <stp>BDH|17112513612824068025</stp>
        <tr r="N74" s="10"/>
      </tp>
      <tp t="e">
        <v>#N/A</v>
        <stp/>
        <stp>BDH|17389169172932005471</stp>
        <tr r="AC105" s="10"/>
      </tp>
      <tp t="e">
        <v>#N/A</v>
        <stp/>
        <stp>BDH|12166599964925564399</stp>
        <tr r="AV28" s="10"/>
      </tp>
      <tp t="e">
        <v>#N/A</v>
        <stp/>
        <stp>BDH|12055029753476103600</stp>
        <tr r="R82" s="10"/>
      </tp>
      <tp t="e">
        <v>#N/A</v>
        <stp/>
        <stp>BDH|11595222392795447816</stp>
        <tr r="Z156" s="10"/>
      </tp>
      <tp t="e">
        <v>#N/A</v>
        <stp/>
        <stp>BDH|15319242262041554708</stp>
        <tr r="AU121" s="10"/>
      </tp>
      <tp t="e">
        <v>#N/A</v>
        <stp/>
        <stp>BDH|16428160985010584824</stp>
        <tr r="J161" s="10"/>
      </tp>
      <tp t="e">
        <v>#N/A</v>
        <stp/>
        <stp>BDH|16110739908270920634</stp>
        <tr r="D181" s="10"/>
      </tp>
      <tp t="e">
        <v>#N/A</v>
        <stp/>
        <stp>BDH|13127672004322066029</stp>
        <tr r="AH113" s="10"/>
      </tp>
      <tp t="e">
        <v>#N/A</v>
        <stp/>
        <stp>BDH|11557304601037127251</stp>
        <tr r="Q56" s="10"/>
      </tp>
      <tp t="e">
        <v>#N/A</v>
        <stp/>
        <stp>BDH|18110190952552859923</stp>
        <tr r="AO21" s="10"/>
      </tp>
      <tp t="e">
        <v>#N/A</v>
        <stp/>
        <stp>BDH|18072553864808549449</stp>
        <tr r="X40" s="10"/>
      </tp>
      <tp t="e">
        <v>#N/A</v>
        <stp/>
        <stp>BDH|14466952005979640329</stp>
        <tr r="AE13" s="10"/>
      </tp>
      <tp t="e">
        <v>#N/A</v>
        <stp/>
        <stp>BDH|11092612916626437739</stp>
        <tr r="P55" s="10"/>
      </tp>
      <tp t="e">
        <v>#N/A</v>
        <stp/>
        <stp>BDH|16358561466542266010</stp>
        <tr r="H191" s="10"/>
      </tp>
      <tp t="e">
        <v>#N/A</v>
        <stp/>
        <stp>BDH|14942068246943965405</stp>
        <tr r="H64" s="10"/>
      </tp>
      <tp t="e">
        <v>#N/A</v>
        <stp/>
        <stp>BDH|17758430435444979383</stp>
        <tr r="R44" s="10"/>
      </tp>
      <tp t="e">
        <v>#N/A</v>
        <stp/>
        <stp>BDH|18264090715237670986</stp>
        <tr r="AS190" s="10"/>
      </tp>
      <tp t="e">
        <v>#N/A</v>
        <stp/>
        <stp>BDH|10713177513086357138</stp>
        <tr r="AP168" s="10"/>
      </tp>
      <tp t="e">
        <v>#N/A</v>
        <stp/>
        <stp>BDH|12051449355866281205</stp>
        <tr r="F127" s="10"/>
      </tp>
      <tp t="e">
        <v>#N/A</v>
        <stp/>
        <stp>BDH|15978294966071484712</stp>
        <tr r="P15" s="10"/>
      </tp>
      <tp t="e">
        <v>#N/A</v>
        <stp/>
        <stp>BDH|11997717815465814563</stp>
        <tr r="D94" s="10"/>
      </tp>
      <tp t="e">
        <v>#N/A</v>
        <stp/>
        <stp>BDH|17677858497747526625</stp>
        <tr r="AJ184" s="10"/>
      </tp>
      <tp t="e">
        <v>#N/A</v>
        <stp/>
        <stp>BDH|12383177106621206537</stp>
        <tr r="W50" s="10"/>
      </tp>
      <tp t="e">
        <v>#N/A</v>
        <stp/>
        <stp>BDH|14733772307955458101</stp>
        <tr r="AR21" s="10"/>
      </tp>
      <tp t="e">
        <v>#N/A</v>
        <stp/>
        <stp>BDH|10774523259935610290</stp>
        <tr r="AP27" s="10"/>
      </tp>
      <tp t="e">
        <v>#N/A</v>
        <stp/>
        <stp>BDH|15875942249908201740</stp>
        <tr r="U26" s="10"/>
      </tp>
      <tp t="e">
        <v>#N/A</v>
        <stp/>
        <stp>BDH|15062364874016672077</stp>
        <tr r="J155" s="10"/>
      </tp>
      <tp t="e">
        <v>#N/A</v>
        <stp/>
        <stp>BDH|14609070552793150510</stp>
        <tr r="C109" s="10"/>
      </tp>
      <tp t="e">
        <v>#N/A</v>
        <stp/>
        <stp>BDH|18038204912525505940</stp>
        <tr r="AJ123" s="10"/>
      </tp>
      <tp t="e">
        <v>#N/A</v>
        <stp/>
        <stp>BDH|17604780435735172191</stp>
        <tr r="F148" s="10"/>
      </tp>
      <tp t="e">
        <v>#N/A</v>
        <stp/>
        <stp>BDH|16877497133003488558</stp>
        <tr r="Q134" s="10"/>
      </tp>
      <tp t="e">
        <v>#N/A</v>
        <stp/>
        <stp>BDH|14594962081123059119</stp>
        <tr r="C87" s="10"/>
      </tp>
      <tp t="e">
        <v>#N/A</v>
        <stp/>
        <stp>BDH|18386500989587823519</stp>
        <tr r="P6" s="10"/>
      </tp>
      <tp t="e">
        <v>#N/A</v>
        <stp/>
        <stp>BDH|13356567099099920165</stp>
        <tr r="AE17" s="10"/>
      </tp>
      <tp t="e">
        <v>#N/A</v>
        <stp/>
        <stp>BDH|16413288752563505589</stp>
        <tr r="AP35" s="10"/>
      </tp>
      <tp t="e">
        <v>#N/A</v>
        <stp/>
        <stp>BDH|15504146663950735569</stp>
        <tr r="Y86" s="10"/>
      </tp>
      <tp t="e">
        <v>#N/A</v>
        <stp/>
        <stp>BDH|13912390943570680368</stp>
        <tr r="M17" s="10"/>
      </tp>
      <tp t="e">
        <v>#N/A</v>
        <stp/>
        <stp>BDH|11003179401211298669</stp>
        <tr r="AU165" s="10"/>
      </tp>
      <tp t="e">
        <v>#N/A</v>
        <stp/>
        <stp>BDH|15010593861045296480</stp>
        <tr r="AT176" s="10"/>
      </tp>
      <tp t="e">
        <v>#N/A</v>
        <stp/>
        <stp>BDH|17187278156857361015</stp>
        <tr r="O108" s="10"/>
      </tp>
      <tp t="e">
        <v>#N/A</v>
        <stp/>
        <stp>BDH|16702020213384501419</stp>
        <tr r="AO168" s="10"/>
      </tp>
      <tp t="e">
        <v>#N/A</v>
        <stp/>
        <stp>BDH|10947410612154849609</stp>
        <tr r="M158" s="10"/>
      </tp>
      <tp t="e">
        <v>#N/A</v>
        <stp/>
        <stp>BDH|11155382658222596264</stp>
        <tr r="AE58" s="10"/>
      </tp>
      <tp t="e">
        <v>#N/A</v>
        <stp/>
        <stp>BDH|15222963397234683673</stp>
        <tr r="AV132" s="10"/>
      </tp>
      <tp t="e">
        <v>#N/A</v>
        <stp/>
        <stp>BDH|11408414409432665088</stp>
        <tr r="K72" s="10"/>
      </tp>
      <tp t="e">
        <v>#N/A</v>
        <stp/>
        <stp>BDH|10485074150593949180</stp>
        <tr r="AI165" s="10"/>
      </tp>
      <tp t="e">
        <v>#N/A</v>
        <stp/>
        <stp>BDH|10345720864556522021</stp>
        <tr r="AJ61" s="10"/>
      </tp>
      <tp t="e">
        <v>#N/A</v>
        <stp/>
        <stp>BDH|15672626266045903791</stp>
        <tr r="AF79" s="10"/>
      </tp>
      <tp t="e">
        <v>#N/A</v>
        <stp/>
        <stp>BDH|13755415156474732157</stp>
        <tr r="U122" s="10"/>
      </tp>
      <tp t="e">
        <v>#N/A</v>
        <stp/>
        <stp>BDH|10908215703587943203</stp>
        <tr r="R108" s="10"/>
      </tp>
      <tp t="e">
        <v>#N/A</v>
        <stp/>
        <stp>BDH|16471478605813232663</stp>
        <tr r="AS122" s="10"/>
      </tp>
      <tp t="e">
        <v>#N/A</v>
        <stp/>
        <stp>BDH|15980354306620941119</stp>
        <tr r="I85" s="10"/>
      </tp>
      <tp t="e">
        <v>#N/A</v>
        <stp/>
        <stp>BDH|18077205754340477820</stp>
        <tr r="N8" s="10"/>
      </tp>
      <tp t="e">
        <v>#N/A</v>
        <stp/>
        <stp>BDH|15490749033343822595</stp>
        <tr r="AJ132" s="10"/>
      </tp>
      <tp t="e">
        <v>#N/A</v>
        <stp/>
        <stp>BDH|10439825341519495261</stp>
        <tr r="AA43" s="10"/>
      </tp>
      <tp t="e">
        <v>#N/A</v>
        <stp/>
        <stp>BDH|12601608675565546132</stp>
        <tr r="Z53" s="10"/>
      </tp>
      <tp t="e">
        <v>#N/A</v>
        <stp/>
        <stp>BDH|17500288428306397639</stp>
        <tr r="W71" s="10"/>
      </tp>
      <tp t="e">
        <v>#N/A</v>
        <stp/>
        <stp>BDH|16376010767782708578</stp>
        <tr r="Z182" s="10"/>
      </tp>
      <tp t="e">
        <v>#N/A</v>
        <stp/>
        <stp>BDH|10754001102812248527</stp>
        <tr r="N139" s="10"/>
      </tp>
      <tp t="e">
        <v>#N/A</v>
        <stp/>
        <stp>BDH|17067102473281104779</stp>
        <tr r="F6" s="10"/>
      </tp>
      <tp t="e">
        <v>#N/A</v>
        <stp/>
        <stp>BDH|12207002057819941991</stp>
        <tr r="F95" s="10"/>
      </tp>
      <tp t="e">
        <v>#N/A</v>
        <stp/>
        <stp>BDH|11178215005903629766</stp>
        <tr r="AQ157" s="10"/>
      </tp>
      <tp t="e">
        <v>#N/A</v>
        <stp/>
        <stp>BDH|10199663332774237622</stp>
        <tr r="M108" s="10"/>
      </tp>
      <tp t="e">
        <v>#N/A</v>
        <stp/>
        <stp>BDH|12708725744084639224</stp>
        <tr r="AP154" s="10"/>
      </tp>
      <tp t="e">
        <v>#N/A</v>
        <stp/>
        <stp>BDH|13275315676118369834</stp>
        <tr r="Y171" s="10"/>
      </tp>
      <tp t="e">
        <v>#N/A</v>
        <stp/>
        <stp>BDH|14090138924251239101</stp>
        <tr r="AK73" s="10"/>
      </tp>
      <tp t="e">
        <v>#N/A</v>
        <stp/>
        <stp>BDH|18135371814499313447</stp>
        <tr r="AH17" s="10"/>
      </tp>
      <tp t="e">
        <v>#N/A</v>
        <stp/>
        <stp>BDH|18126320987271303527</stp>
        <tr r="K191" s="10"/>
      </tp>
      <tp t="e">
        <v>#N/A</v>
        <stp/>
        <stp>BDH|14001105643242422422</stp>
        <tr r="Q145" s="10"/>
      </tp>
      <tp t="e">
        <v>#N/A</v>
        <stp/>
        <stp>BDH|15102173731378104836</stp>
        <tr r="AH16" s="10"/>
      </tp>
      <tp t="e">
        <v>#N/A</v>
        <stp/>
        <stp>BDH|17004149421457087403</stp>
        <tr r="M182" s="10"/>
      </tp>
      <tp t="e">
        <v>#N/A</v>
        <stp/>
        <stp>BDH|13691477652347358243</stp>
        <tr r="AA161" s="10"/>
      </tp>
      <tp t="e">
        <v>#N/A</v>
        <stp/>
        <stp>BDH|11398694589059520125</stp>
        <tr r="L92" s="10"/>
      </tp>
      <tp t="e">
        <v>#N/A</v>
        <stp/>
        <stp>BDH|16317991055804848935</stp>
        <tr r="X130" s="10"/>
      </tp>
      <tp t="e">
        <v>#N/A</v>
        <stp/>
        <stp>BDH|17742990751878275492</stp>
        <tr r="H101" s="10"/>
      </tp>
      <tp t="e">
        <v>#N/A</v>
        <stp/>
        <stp>BDH|10681009705931713600</stp>
        <tr r="D37" s="10"/>
      </tp>
      <tp t="e">
        <v>#N/A</v>
        <stp/>
        <stp>BDH|13144594734553088185</stp>
        <tr r="AM163" s="10"/>
      </tp>
      <tp t="e">
        <v>#N/A</v>
        <stp/>
        <stp>BDH|13719809468569938326</stp>
        <tr r="J158" s="10"/>
      </tp>
      <tp t="e">
        <v>#N/A</v>
        <stp/>
        <stp>BDH|16198461320104737345</stp>
        <tr r="Z154" s="10"/>
      </tp>
      <tp t="e">
        <v>#N/A</v>
        <stp/>
        <stp>BDH|16686383819887249418</stp>
        <tr r="AU182" s="10"/>
      </tp>
      <tp t="e">
        <v>#N/A</v>
        <stp/>
        <stp>BDH|12227292134255255198</stp>
        <tr r="AJ173" s="10"/>
      </tp>
      <tp t="e">
        <v>#N/A</v>
        <stp/>
        <stp>BDH|17990093641076717224</stp>
        <tr r="AC145" s="10"/>
      </tp>
      <tp t="e">
        <v>#N/A</v>
        <stp/>
        <stp>BDH|15321279522384671641</stp>
        <tr r="T130" s="10"/>
      </tp>
      <tp t="e">
        <v>#N/A</v>
        <stp/>
        <stp>BDH|17241059550085243017</stp>
        <tr r="U50" s="10"/>
      </tp>
      <tp t="e">
        <v>#N/A</v>
        <stp/>
        <stp>BDH|11953499991303017852</stp>
        <tr r="AW175" s="10"/>
      </tp>
      <tp t="e">
        <v>#N/A</v>
        <stp/>
        <stp>BDH|10878718984441102987</stp>
        <tr r="H166" s="10"/>
      </tp>
      <tp t="e">
        <v>#N/A</v>
        <stp/>
        <stp>BDH|15356833407308704249</stp>
        <tr r="V68" s="10"/>
      </tp>
      <tp t="e">
        <v>#N/A</v>
        <stp/>
        <stp>BDH|11576201414681689434</stp>
        <tr r="AB70" s="10"/>
      </tp>
      <tp t="e">
        <v>#N/A</v>
        <stp/>
        <stp>BDH|12573696229252569346</stp>
        <tr r="X88" s="10"/>
      </tp>
      <tp t="e">
        <v>#N/A</v>
        <stp/>
        <stp>BDH|14595568870281644016</stp>
        <tr r="O37" s="10"/>
      </tp>
      <tp t="e">
        <v>#N/A</v>
        <stp/>
        <stp>BDH|11620812739615974831</stp>
        <tr r="AI130" s="10"/>
      </tp>
      <tp t="e">
        <v>#N/A</v>
        <stp/>
        <stp>BDH|15890286118249530898</stp>
        <tr r="AA12" s="10"/>
      </tp>
      <tp t="e">
        <v>#N/A</v>
        <stp/>
        <stp>BDH|11093488009493013151</stp>
        <tr r="AF58" s="10"/>
      </tp>
      <tp t="e">
        <v>#N/A</v>
        <stp/>
        <stp>BDH|10476718610681006022</stp>
        <tr r="AD125" s="10"/>
      </tp>
      <tp t="e">
        <v>#N/A</v>
        <stp/>
        <stp>BDH|14516349720530756213</stp>
        <tr r="AI84" s="10"/>
      </tp>
      <tp t="e">
        <v>#N/A</v>
        <stp/>
        <stp>BDH|11331276772912308126</stp>
        <tr r="G100" s="10"/>
      </tp>
      <tp t="e">
        <v>#N/A</v>
        <stp/>
        <stp>BDH|14253377464874284248</stp>
        <tr r="AC38" s="10"/>
      </tp>
      <tp t="e">
        <v>#N/A</v>
        <stp/>
        <stp>BDH|16152627121001681430</stp>
        <tr r="W60" s="10"/>
      </tp>
      <tp t="e">
        <v>#N/A</v>
        <stp/>
        <stp>BDH|14309178748246862035</stp>
        <tr r="AA54" s="10"/>
      </tp>
      <tp t="e">
        <v>#N/A</v>
        <stp/>
        <stp>BDH|13917070108846566247</stp>
        <tr r="D98" s="10"/>
      </tp>
      <tp t="e">
        <v>#N/A</v>
        <stp/>
        <stp>BDH|17597030617245352456</stp>
        <tr r="L57" s="10"/>
      </tp>
      <tp t="e">
        <v>#N/A</v>
        <stp/>
        <stp>BDH|12602198039254249331</stp>
        <tr r="AQ180" s="10"/>
      </tp>
      <tp t="e">
        <v>#N/A</v>
        <stp/>
        <stp>BDH|14218708256148230914</stp>
        <tr r="Z128" s="10"/>
      </tp>
      <tp t="e">
        <v>#N/A</v>
        <stp/>
        <stp>BDH|13866688235788422968</stp>
        <tr r="S38" s="10"/>
      </tp>
      <tp t="e">
        <v>#N/A</v>
        <stp/>
        <stp>BDH|15491619218367991239</stp>
        <tr r="F89" s="10"/>
      </tp>
      <tp t="e">
        <v>#N/A</v>
        <stp/>
        <stp>BDH|14472202781628127132</stp>
        <tr r="AA102" s="10"/>
      </tp>
      <tp t="e">
        <v>#N/A</v>
        <stp/>
        <stp>BDH|16651225363593274620</stp>
        <tr r="AF83" s="10"/>
      </tp>
      <tp t="e">
        <v>#N/A</v>
        <stp/>
        <stp>BDH|17714566614192010625</stp>
        <tr r="E190" s="10"/>
      </tp>
      <tp t="e">
        <v>#N/A</v>
        <stp/>
        <stp>BDH|13846514707051003092</stp>
        <tr r="R172" s="10"/>
      </tp>
      <tp t="e">
        <v>#N/A</v>
        <stp/>
        <stp>BDH|13542357595228030623</stp>
        <tr r="AM86" s="10"/>
      </tp>
      <tp t="e">
        <v>#N/A</v>
        <stp/>
        <stp>BDH|15565221464664799238</stp>
        <tr r="Y128" s="10"/>
      </tp>
      <tp t="e">
        <v>#N/A</v>
        <stp/>
        <stp>BDH|15679531874715357554</stp>
        <tr r="P167" s="10"/>
      </tp>
      <tp t="e">
        <v>#N/A</v>
        <stp/>
        <stp>BDH|12165821712219732511</stp>
        <tr r="R121" s="10"/>
      </tp>
      <tp t="e">
        <v>#N/A</v>
        <stp/>
        <stp>BDH|11597464033876253757</stp>
        <tr r="J27" s="10"/>
      </tp>
      <tp t="e">
        <v>#N/A</v>
        <stp/>
        <stp>BDH|11454152786418170713</stp>
        <tr r="AH119" s="10"/>
      </tp>
      <tp t="e">
        <v>#N/A</v>
        <stp/>
        <stp>BDH|15457467728145860153</stp>
        <tr r="AJ161" s="10"/>
      </tp>
      <tp t="e">
        <v>#N/A</v>
        <stp/>
        <stp>BDH|15480041834500547172</stp>
        <tr r="AE186" s="10"/>
      </tp>
      <tp t="e">
        <v>#N/A</v>
        <stp/>
        <stp>BDH|11513852588471757798</stp>
        <tr r="AL121" s="10"/>
      </tp>
      <tp t="e">
        <v>#N/A</v>
        <stp/>
        <stp>BDH|11895995232725514902</stp>
        <tr r="AH118" s="10"/>
      </tp>
      <tp t="e">
        <v>#N/A</v>
        <stp/>
        <stp>BDH|16634735830692595761</stp>
        <tr r="M120" s="10"/>
      </tp>
      <tp t="e">
        <v>#N/A</v>
        <stp/>
        <stp>BDH|18288571179145238884</stp>
        <tr r="AL109" s="10"/>
      </tp>
      <tp t="e">
        <v>#N/A</v>
        <stp/>
        <stp>BDH|14497509483537030918</stp>
        <tr r="AF127" s="10"/>
      </tp>
      <tp t="e">
        <v>#N/A</v>
        <stp/>
        <stp>BDH|15152116176631080503</stp>
        <tr r="AH151" s="10"/>
      </tp>
      <tp t="e">
        <v>#N/A</v>
        <stp/>
        <stp>BDH|10884546043517166183</stp>
        <tr r="U77" s="10"/>
      </tp>
      <tp t="e">
        <v>#N/A</v>
        <stp/>
        <stp>BDH|16256315203835444722</stp>
        <tr r="AG191" s="10"/>
      </tp>
      <tp t="e">
        <v>#N/A</v>
        <stp/>
        <stp>BDH|10174219147663742260</stp>
        <tr r="AL57" s="10"/>
      </tp>
      <tp t="e">
        <v>#N/A</v>
        <stp/>
        <stp>BDH|18279173504229317746</stp>
        <tr r="K41" s="10"/>
      </tp>
      <tp t="e">
        <v>#N/A</v>
        <stp/>
        <stp>BDH|18205552832338434173</stp>
        <tr r="R92" s="10"/>
      </tp>
      <tp t="e">
        <v>#N/A</v>
        <stp/>
        <stp>BDH|16961305454103254496</stp>
        <tr r="C114" s="10"/>
      </tp>
      <tp t="e">
        <v>#N/A</v>
        <stp/>
        <stp>BDH|15344445740496022411</stp>
        <tr r="N180" s="10"/>
      </tp>
      <tp t="e">
        <v>#N/A</v>
        <stp/>
        <stp>BDH|15207470916006321167</stp>
        <tr r="AR170" s="10"/>
      </tp>
      <tp t="e">
        <v>#N/A</v>
        <stp/>
        <stp>BDH|16131855406378751135</stp>
        <tr r="K45" s="10"/>
      </tp>
      <tp t="e">
        <v>#N/A</v>
        <stp/>
        <stp>BDH|10226214719114929051</stp>
        <tr r="AL38" s="10"/>
      </tp>
      <tp t="e">
        <v>#N/A</v>
        <stp/>
        <stp>BDH|14042836559147853942</stp>
        <tr r="R59" s="10"/>
      </tp>
      <tp t="e">
        <v>#N/A</v>
        <stp/>
        <stp>BDH|12497701409591703336</stp>
        <tr r="P54" s="10"/>
      </tp>
      <tp t="e">
        <v>#N/A</v>
        <stp/>
        <stp>BDH|10263772375885803217</stp>
        <tr r="G141" s="10"/>
      </tp>
      <tp t="e">
        <v>#N/A</v>
        <stp/>
        <stp>BDH|16845315062712243608</stp>
        <tr r="AO100" s="10"/>
      </tp>
      <tp t="e">
        <v>#N/A</v>
        <stp/>
        <stp>BDH|14083382347373291748</stp>
        <tr r="S41" s="10"/>
      </tp>
      <tp t="e">
        <v>#N/A</v>
        <stp/>
        <stp>BDH|16307107323763964109</stp>
        <tr r="X61" s="10"/>
      </tp>
      <tp t="e">
        <v>#N/A</v>
        <stp/>
        <stp>BDH|17174530138884442275</stp>
        <tr r="AO96" s="10"/>
      </tp>
      <tp t="e">
        <v>#N/A</v>
        <stp/>
        <stp>BDH|18407421013269846349</stp>
        <tr r="F81" s="10"/>
      </tp>
      <tp t="e">
        <v>#N/A</v>
        <stp/>
        <stp>BDH|16802146212867190669</stp>
        <tr r="S9" s="10"/>
      </tp>
      <tp t="e">
        <v>#N/A</v>
        <stp/>
        <stp>BDH|14490424434287867335</stp>
        <tr r="P132" s="10"/>
      </tp>
      <tp t="e">
        <v>#N/A</v>
        <stp/>
        <stp>BDH|18010989681436175817</stp>
        <tr r="AU125" s="10"/>
      </tp>
      <tp t="e">
        <v>#N/A</v>
        <stp/>
        <stp>BDH|12636722335423054283</stp>
        <tr r="P180" s="10"/>
      </tp>
      <tp t="e">
        <v>#N/A</v>
        <stp/>
        <stp>BDH|16223025046374957162</stp>
        <tr r="Q154" s="10"/>
      </tp>
      <tp t="e">
        <v>#N/A</v>
        <stp/>
        <stp>BDH|17536569328444242308</stp>
        <tr r="Q164" s="10"/>
      </tp>
      <tp t="e">
        <v>#N/A</v>
        <stp/>
        <stp>BDH|12820482414375557587</stp>
        <tr r="AB68" s="10"/>
      </tp>
      <tp t="e">
        <v>#N/A</v>
        <stp/>
        <stp>BDH|10938243895748822494</stp>
        <tr r="Z103" s="10"/>
      </tp>
      <tp t="e">
        <v>#N/A</v>
        <stp/>
        <stp>BDH|14915717613495175035</stp>
        <tr r="N13" s="10"/>
      </tp>
      <tp t="e">
        <v>#N/A</v>
        <stp/>
        <stp>BDH|15716733118637653331</stp>
        <tr r="AM17" s="10"/>
      </tp>
      <tp t="e">
        <v>#N/A</v>
        <stp/>
        <stp>BDH|17466011072694926374</stp>
        <tr r="D21" s="10"/>
      </tp>
      <tp t="e">
        <v>#N/A</v>
        <stp/>
        <stp>BDH|13928788828189252829</stp>
        <tr r="AO154" s="10"/>
      </tp>
      <tp t="e">
        <v>#N/A</v>
        <stp/>
        <stp>BDH|13634360839354710077</stp>
        <tr r="AR132" s="10"/>
      </tp>
      <tp t="e">
        <v>#N/A</v>
        <stp/>
        <stp>BDH|11454650542972224688</stp>
        <tr r="V50" s="10"/>
      </tp>
      <tp t="e">
        <v>#N/A</v>
        <stp/>
        <stp>BDH|17764766570464934412</stp>
        <tr r="AL49" s="10"/>
      </tp>
      <tp t="e">
        <v>#N/A</v>
        <stp/>
        <stp>BDH|12851651244612319537</stp>
        <tr r="AS85" s="10"/>
      </tp>
      <tp t="e">
        <v>#N/A</v>
        <stp/>
        <stp>BDH|10844135330415396006</stp>
        <tr r="C144" s="10"/>
      </tp>
      <tp t="e">
        <v>#N/A</v>
        <stp/>
        <stp>BDH|13922229742546668471</stp>
        <tr r="R41" s="10"/>
      </tp>
      <tp t="e">
        <v>#N/A</v>
        <stp/>
        <stp>BDH|13205827035959550682</stp>
        <tr r="AI150" s="10"/>
      </tp>
      <tp t="e">
        <v>#N/A</v>
        <stp/>
        <stp>BDH|13667294051056181573</stp>
        <tr r="AU132" s="10"/>
      </tp>
      <tp t="e">
        <v>#N/A</v>
        <stp/>
        <stp>BDH|16937059073417449132</stp>
        <tr r="AN8" s="10"/>
      </tp>
      <tp t="e">
        <v>#N/A</v>
        <stp/>
        <stp>BDH|11197191016720730613</stp>
        <tr r="AN138" s="10"/>
      </tp>
      <tp t="e">
        <v>#N/A</v>
        <stp/>
        <stp>BDH|12725133130092842548</stp>
        <tr r="AT52" s="10"/>
      </tp>
      <tp t="e">
        <v>#N/A</v>
        <stp/>
        <stp>BDH|10083081455523491117</stp>
        <tr r="AD102" s="10"/>
      </tp>
      <tp t="e">
        <v>#N/A</v>
        <stp/>
        <stp>BDH|16796518742434555492</stp>
        <tr r="AR92" s="10"/>
      </tp>
      <tp t="e">
        <v>#N/A</v>
        <stp/>
        <stp>BDH|17815316212242522065</stp>
        <tr r="AW182" s="10"/>
      </tp>
      <tp t="e">
        <v>#N/A</v>
        <stp/>
        <stp>BDH|11382480397952264965</stp>
        <tr r="AT121" s="10"/>
      </tp>
      <tp t="e">
        <v>#N/A</v>
        <stp/>
        <stp>BDH|11610894056659121200</stp>
        <tr r="Q30" s="10"/>
      </tp>
      <tp t="e">
        <v>#N/A</v>
        <stp/>
        <stp>BDH|13486480424665672768</stp>
        <tr r="E152" s="10"/>
      </tp>
      <tp t="e">
        <v>#N/A</v>
        <stp/>
        <stp>BDH|10705430500584975752</stp>
        <tr r="AS56" s="10"/>
      </tp>
      <tp t="e">
        <v>#N/A</v>
        <stp/>
        <stp>BDH|16976672637430203436</stp>
        <tr r="AE113" s="10"/>
      </tp>
      <tp t="e">
        <v>#N/A</v>
        <stp/>
        <stp>BDH|13564166002470060595</stp>
        <tr r="AO46" s="10"/>
      </tp>
      <tp t="e">
        <v>#N/A</v>
        <stp/>
        <stp>BDH|14854606015852448619</stp>
        <tr r="AK74" s="10"/>
      </tp>
      <tp t="e">
        <v>#N/A</v>
        <stp/>
        <stp>BDH|11883469217473475057</stp>
        <tr r="U150" s="10"/>
      </tp>
      <tp t="e">
        <v>#N/A</v>
        <stp/>
        <stp>BDH|12764152054540853161</stp>
        <tr r="AE129" s="10"/>
      </tp>
      <tp t="e">
        <v>#N/A</v>
        <stp/>
        <stp>BDH|13303771816906047497</stp>
        <tr r="AW69" s="10"/>
      </tp>
      <tp t="e">
        <v>#N/A</v>
        <stp/>
        <stp>BDH|15732513267718388994</stp>
        <tr r="AO166" s="10"/>
      </tp>
      <tp t="e">
        <v>#N/A</v>
        <stp/>
        <stp>BDH|16327324535949779882</stp>
        <tr r="AW20" s="10"/>
      </tp>
      <tp t="e">
        <v>#N/A</v>
        <stp/>
        <stp>BDH|10327397861636833489</stp>
        <tr r="AR129" s="10"/>
      </tp>
      <tp t="e">
        <v>#N/A</v>
        <stp/>
        <stp>BDH|14244504939962536752</stp>
        <tr r="AU109" s="10"/>
      </tp>
      <tp t="e">
        <v>#N/A</v>
        <stp/>
        <stp>BDH|13833882745189788190</stp>
        <tr r="AF160" s="10"/>
      </tp>
      <tp t="e">
        <v>#N/A</v>
        <stp/>
        <stp>BDH|14692193766410770451</stp>
        <tr r="I107" s="10"/>
      </tp>
      <tp t="e">
        <v>#N/A</v>
        <stp/>
        <stp>BDH|10705846026248684583</stp>
        <tr r="AP145" s="10"/>
      </tp>
      <tp t="e">
        <v>#N/A</v>
        <stp/>
        <stp>BDH|14919677464540848398</stp>
        <tr r="Q41" s="10"/>
      </tp>
      <tp t="e">
        <v>#N/A</v>
        <stp/>
        <stp>BDH|17895375341025280278</stp>
        <tr r="AD88" s="10"/>
      </tp>
      <tp t="e">
        <v>#N/A</v>
        <stp/>
        <stp>BDH|13634746015660851245</stp>
        <tr r="M173" s="10"/>
      </tp>
      <tp t="e">
        <v>#N/A</v>
        <stp/>
        <stp>BDH|13389224943433983102</stp>
        <tr r="T170" s="10"/>
      </tp>
      <tp t="e">
        <v>#N/A</v>
        <stp/>
        <stp>BDH|12661776878004445165</stp>
        <tr r="AL36" s="10"/>
      </tp>
      <tp t="e">
        <v>#N/A</v>
        <stp/>
        <stp>BDH|15813467277078542973</stp>
        <tr r="P89" s="10"/>
      </tp>
      <tp t="e">
        <v>#N/A</v>
        <stp/>
        <stp>BDH|12929549317470773168</stp>
        <tr r="AD27" s="10"/>
      </tp>
      <tp t="e">
        <v>#N/A</v>
        <stp/>
        <stp>BDH|15120687449234922425</stp>
        <tr r="L101" s="10"/>
      </tp>
      <tp t="e">
        <v>#N/A</v>
        <stp/>
        <stp>BDH|10822588172406087396</stp>
        <tr r="K107" s="10"/>
      </tp>
      <tp t="e">
        <v>#N/A</v>
        <stp/>
        <stp>BDH|16354376216181046291</stp>
        <tr r="AM125" s="10"/>
      </tp>
      <tp t="e">
        <v>#N/A</v>
        <stp/>
        <stp>BDH|17309309112745284781</stp>
        <tr r="AL67" s="10"/>
      </tp>
      <tp t="e">
        <v>#N/A</v>
        <stp/>
        <stp>BDH|16569656300245915224</stp>
        <tr r="S136" s="10"/>
      </tp>
      <tp t="e">
        <v>#N/A</v>
        <stp/>
        <stp>BDH|15998199227586865744</stp>
        <tr r="G138" s="10"/>
      </tp>
      <tp t="e">
        <v>#N/A</v>
        <stp/>
        <stp>BDH|15081555528792775706</stp>
        <tr r="I138" s="10"/>
      </tp>
      <tp t="e">
        <v>#N/A</v>
        <stp/>
        <stp>BDH|16148580812491207439</stp>
        <tr r="E83" s="10"/>
      </tp>
      <tp t="e">
        <v>#N/A</v>
        <stp/>
        <stp>BDH|16059913385262946279</stp>
        <tr r="AU33" s="10"/>
      </tp>
      <tp t="e">
        <v>#N/A</v>
        <stp/>
        <stp>BDH|10361253775700182283</stp>
        <tr r="C190" s="10"/>
      </tp>
      <tp t="e">
        <v>#N/A</v>
        <stp/>
        <stp>BDH|16181352338075157476</stp>
        <tr r="AQ124" s="10"/>
      </tp>
      <tp t="e">
        <v>#N/A</v>
        <stp/>
        <stp>BDH|17659387605311805299</stp>
        <tr r="AJ172" s="10"/>
      </tp>
      <tp t="e">
        <v>#N/A</v>
        <stp/>
        <stp>BDH|11618477125878817861</stp>
        <tr r="AN66" s="10"/>
      </tp>
      <tp t="e">
        <v>#N/A</v>
        <stp/>
        <stp>BDH|16632242155952444490</stp>
        <tr r="J149" s="10"/>
      </tp>
      <tp t="e">
        <v>#N/A</v>
        <stp/>
        <stp>BDH|10449787923753318164</stp>
        <tr r="X159" s="10"/>
      </tp>
      <tp t="e">
        <v>#N/A</v>
        <stp/>
        <stp>BDH|16326683893188478660</stp>
        <tr r="T28" s="10"/>
      </tp>
      <tp t="e">
        <v>#N/A</v>
        <stp/>
        <stp>BDH|10481599448723775586</stp>
        <tr r="AR14" s="10"/>
      </tp>
      <tp t="e">
        <v>#N/A</v>
        <stp/>
        <stp>BDH|12846593314299827871</stp>
        <tr r="L102" s="10"/>
      </tp>
      <tp t="e">
        <v>#N/A</v>
        <stp/>
        <stp>BDH|10457437511714849647</stp>
        <tr r="AE94" s="10"/>
      </tp>
      <tp t="e">
        <v>#N/A</v>
        <stp/>
        <stp>BDH|18257217929626476945</stp>
        <tr r="F59" s="10"/>
      </tp>
      <tp t="e">
        <v>#N/A</v>
        <stp/>
        <stp>BDH|14468521739623508605</stp>
        <tr r="N79" s="10"/>
      </tp>
      <tp t="e">
        <v>#N/A</v>
        <stp/>
        <stp>BDH|13669553351684044083</stp>
        <tr r="G137" s="10"/>
      </tp>
      <tp t="e">
        <v>#N/A</v>
        <stp/>
        <stp>BDH|10653993940888647243</stp>
        <tr r="AJ62" s="10"/>
      </tp>
      <tp t="e">
        <v>#N/A</v>
        <stp/>
        <stp>BDH|12990253666897582624</stp>
        <tr r="AC148" s="10"/>
      </tp>
      <tp t="e">
        <v>#N/A</v>
        <stp/>
        <stp>BDH|12483944008704251873</stp>
        <tr r="AL148" s="10"/>
      </tp>
      <tp t="e">
        <v>#N/A</v>
        <stp/>
        <stp>BDH|17355464713280827533</stp>
        <tr r="W193" s="10"/>
      </tp>
      <tp t="e">
        <v>#N/A</v>
        <stp/>
        <stp>BDH|17330488522654295266</stp>
        <tr r="AS29" s="10"/>
      </tp>
      <tp t="e">
        <v>#N/A</v>
        <stp/>
        <stp>BDH|13926872994253698619</stp>
        <tr r="C131" s="10"/>
      </tp>
      <tp t="e">
        <v>#N/A</v>
        <stp/>
        <stp>BDH|14713205443036131386</stp>
        <tr r="AL99" s="10"/>
      </tp>
      <tp t="e">
        <v>#N/A</v>
        <stp/>
        <stp>BDH|10825132502132332473</stp>
        <tr r="Y152" s="10"/>
      </tp>
      <tp t="e">
        <v>#N/A</v>
        <stp/>
        <stp>BDH|14672780866487469515</stp>
        <tr r="AM35" s="10"/>
      </tp>
      <tp t="e">
        <v>#N/A</v>
        <stp/>
        <stp>BDH|13325237014031019693</stp>
        <tr r="V86" s="10"/>
      </tp>
      <tp t="e">
        <v>#N/A</v>
        <stp/>
        <stp>BDH|16860061016688471811</stp>
        <tr r="AO104" s="10"/>
      </tp>
      <tp t="e">
        <v>#N/A</v>
        <stp/>
        <stp>BDH|16079636463423979245</stp>
        <tr r="E135" s="10"/>
      </tp>
      <tp t="e">
        <v>#N/A</v>
        <stp/>
        <stp>BDH|12940023328662655580</stp>
        <tr r="AN137" s="10"/>
      </tp>
      <tp t="e">
        <v>#N/A</v>
        <stp/>
        <stp>BDH|12913015393438741410</stp>
        <tr r="AV176" s="10"/>
      </tp>
      <tp t="e">
        <v>#N/A</v>
        <stp/>
        <stp>BDH|17830079145667560330</stp>
        <tr r="AD43" s="10"/>
      </tp>
      <tp t="e">
        <v>#N/A</v>
        <stp/>
        <stp>BDH|17583799671493281334</stp>
        <tr r="Z4" s="10"/>
      </tp>
      <tp t="e">
        <v>#N/A</v>
        <stp/>
        <stp>BDH|13121058941213065397</stp>
        <tr r="H61" s="10"/>
      </tp>
      <tp t="e">
        <v>#N/A</v>
        <stp/>
        <stp>BDH|16132832212241428988</stp>
        <tr r="AW176" s="10"/>
      </tp>
      <tp t="e">
        <v>#N/A</v>
        <stp/>
        <stp>BDH|16976089306513327280</stp>
        <tr r="AG81" s="10"/>
      </tp>
      <tp t="e">
        <v>#N/A</v>
        <stp/>
        <stp>BDH|16851120857507411259</stp>
        <tr r="L87" s="10"/>
      </tp>
      <tp t="e">
        <v>#N/A</v>
        <stp/>
        <stp>BDH|12333159251658929921</stp>
        <tr r="Y12" s="10"/>
      </tp>
      <tp t="e">
        <v>#N/A</v>
        <stp/>
        <stp>BDH|13494562858935088165</stp>
        <tr r="AR144" s="10"/>
      </tp>
      <tp t="e">
        <v>#N/A</v>
        <stp/>
        <stp>BDH|15289162912002941033</stp>
        <tr r="AA56" s="10"/>
      </tp>
      <tp t="e">
        <v>#N/A</v>
        <stp/>
        <stp>BDH|12567427132453884111</stp>
        <tr r="AP142" s="10"/>
      </tp>
      <tp t="e">
        <v>#N/A</v>
        <stp/>
        <stp>BDH|17797472807501209592</stp>
        <tr r="Z112" s="10"/>
      </tp>
      <tp t="e">
        <v>#N/A</v>
        <stp/>
        <stp>BDH|10127616958911071549</stp>
        <tr r="AD138" s="10"/>
      </tp>
      <tp t="e">
        <v>#N/A</v>
        <stp/>
        <stp>BDH|11437120445727901467</stp>
        <tr r="AW187" s="10"/>
      </tp>
      <tp t="e">
        <v>#N/A</v>
        <stp/>
        <stp>BDH|10404087142412356115</stp>
        <tr r="AW4" s="10"/>
      </tp>
      <tp t="e">
        <v>#N/A</v>
        <stp/>
        <stp>BDH|15633303987911999843</stp>
        <tr r="AV4" s="10"/>
      </tp>
      <tp t="e">
        <v>#N/A</v>
        <stp/>
        <stp>BDH|18157050099162949481</stp>
        <tr r="U89" s="10"/>
      </tp>
      <tp t="e">
        <v>#N/A</v>
        <stp/>
        <stp>BDH|18331983528310827470</stp>
        <tr r="S66" s="10"/>
      </tp>
      <tp t="e">
        <v>#N/A</v>
        <stp/>
        <stp>BDH|15616749107035113089</stp>
        <tr r="AJ131" s="10"/>
      </tp>
      <tp t="e">
        <v>#N/A</v>
        <stp/>
        <stp>BDH|14545824915053659985</stp>
        <tr r="E8" s="10"/>
      </tp>
      <tp t="e">
        <v>#N/A</v>
        <stp/>
        <stp>BDH|13321841962362879810</stp>
        <tr r="AT19" s="10"/>
      </tp>
      <tp t="e">
        <v>#N/A</v>
        <stp/>
        <stp>BDH|10666690396639335165</stp>
        <tr r="AG174" s="10"/>
      </tp>
      <tp t="e">
        <v>#N/A</v>
        <stp/>
        <stp>BDH|11398276178877546456</stp>
        <tr r="AR148" s="10"/>
      </tp>
      <tp t="e">
        <v>#N/A</v>
        <stp/>
        <stp>BDH|12219766172250937533</stp>
        <tr r="AR169" s="10"/>
      </tp>
      <tp t="e">
        <v>#N/A</v>
        <stp/>
        <stp>BDH|11540842568271263977</stp>
        <tr r="W81" s="10"/>
      </tp>
      <tp t="e">
        <v>#N/A</v>
        <stp/>
        <stp>BDH|10893959896670754707</stp>
        <tr r="AR74" s="10"/>
      </tp>
      <tp t="e">
        <v>#N/A</v>
        <stp/>
        <stp>BDH|14133509637933119689</stp>
        <tr r="AA78" s="10"/>
      </tp>
      <tp t="e">
        <v>#N/A</v>
        <stp/>
        <stp>BDH|17604484809691080583</stp>
        <tr r="R176" s="10"/>
      </tp>
      <tp t="e">
        <v>#N/A</v>
        <stp/>
        <stp>BDH|11962354991389599570</stp>
        <tr r="J19" s="10"/>
      </tp>
      <tp t="e">
        <v>#N/A</v>
        <stp/>
        <stp>BDH|17346574900891254495</stp>
        <tr r="H155" s="10"/>
      </tp>
      <tp t="e">
        <v>#N/A</v>
        <stp/>
        <stp>BDH|16571075345461909419</stp>
        <tr r="M152" s="10"/>
      </tp>
      <tp t="e">
        <v>#N/A</v>
        <stp/>
        <stp>BDH|11080673060666852007</stp>
        <tr r="AJ66" s="10"/>
      </tp>
      <tp t="e">
        <v>#N/A</v>
        <stp/>
        <stp>BDH|11495461962693717781</stp>
        <tr r="Q73" s="10"/>
      </tp>
      <tp t="e">
        <v>#N/A</v>
        <stp/>
        <stp>BDH|12796997306725618914</stp>
        <tr r="AV56" s="10"/>
      </tp>
      <tp t="e">
        <v>#N/A</v>
        <stp/>
        <stp>BDH|15347710818906188249</stp>
        <tr r="AE184" s="10"/>
      </tp>
      <tp t="e">
        <v>#N/A</v>
        <stp/>
        <stp>BDH|17002802447935977910</stp>
        <tr r="AL151" s="10"/>
      </tp>
      <tp t="e">
        <v>#N/A</v>
        <stp/>
        <stp>BDH|15080739819291052555</stp>
        <tr r="AT149" s="10"/>
      </tp>
      <tp t="e">
        <v>#N/A</v>
        <stp/>
        <stp>BDH|11452179295506929809</stp>
        <tr r="N181" s="10"/>
      </tp>
      <tp t="e">
        <v>#N/A</v>
        <stp/>
        <stp>BDH|16031284511352323054</stp>
        <tr r="AN151" s="10"/>
      </tp>
      <tp t="e">
        <v>#N/A</v>
        <stp/>
        <stp>BDH|13556677823692928277</stp>
        <tr r="AQ158" s="10"/>
      </tp>
      <tp t="e">
        <v>#N/A</v>
        <stp/>
        <stp>BDH|11654191864764546517</stp>
        <tr r="G107" s="10"/>
      </tp>
      <tp t="e">
        <v>#N/A</v>
        <stp/>
        <stp>BDH|10297405650623945548</stp>
        <tr r="AU31" s="10"/>
      </tp>
      <tp t="e">
        <v>#N/A</v>
        <stp/>
        <stp>BDH|14235661525282845560</stp>
        <tr r="R13" s="10"/>
      </tp>
      <tp t="e">
        <v>#N/A</v>
        <stp/>
        <stp>BDH|11416645187170049885</stp>
        <tr r="K142" s="10"/>
      </tp>
      <tp t="e">
        <v>#N/A</v>
        <stp/>
        <stp>BDH|16733970192896422782</stp>
        <tr r="T142" s="10"/>
      </tp>
      <tp t="e">
        <v>#N/A</v>
        <stp/>
        <stp>BDH|15774387841797953299</stp>
        <tr r="K90" s="10"/>
      </tp>
      <tp t="e">
        <v>#N/A</v>
        <stp/>
        <stp>BDH|13847122254576910699</stp>
        <tr r="D23" s="10"/>
      </tp>
      <tp t="e">
        <v>#N/A</v>
        <stp/>
        <stp>BDH|13822324114674808289</stp>
        <tr r="AS123" s="10"/>
      </tp>
      <tp t="e">
        <v>#N/A</v>
        <stp/>
        <stp>BDH|13384044375417886449</stp>
        <tr r="S162" s="10"/>
      </tp>
      <tp t="e">
        <v>#N/A</v>
        <stp/>
        <stp>BDH|16956502673773686020</stp>
        <tr r="AJ29" s="10"/>
      </tp>
      <tp t="e">
        <v>#N/A</v>
        <stp/>
        <stp>BDH|17164780166554986584</stp>
        <tr r="O40" s="10"/>
      </tp>
      <tp t="e">
        <v>#N/A</v>
        <stp/>
        <stp>BDH|17741308434346948646</stp>
        <tr r="AA95" s="10"/>
      </tp>
      <tp t="e">
        <v>#N/A</v>
        <stp/>
        <stp>BDH|10692466027307051694</stp>
        <tr r="AR178" s="10"/>
      </tp>
      <tp t="e">
        <v>#N/A</v>
        <stp/>
        <stp>BDH|14896240425853657016</stp>
        <tr r="Y115" s="10"/>
      </tp>
      <tp t="e">
        <v>#N/A</v>
        <stp/>
        <stp>BDH|13063575006080853176</stp>
        <tr r="G60" s="10"/>
      </tp>
      <tp t="e">
        <v>#N/A</v>
        <stp/>
        <stp>BDH|17019792871996697606</stp>
        <tr r="X12" s="10"/>
      </tp>
      <tp t="e">
        <v>#N/A</v>
        <stp/>
        <stp>BDH|16867985089913485337</stp>
        <tr r="AS20" s="10"/>
      </tp>
      <tp t="e">
        <v>#N/A</v>
        <stp/>
        <stp>BDH|18074270586664745180</stp>
        <tr r="H126" s="10"/>
      </tp>
      <tp t="s">
        <v>#N/A Requesting Data...2726939094</v>
        <stp/>
        <stp>BDP|10251697547162460418</stp>
        <tr r="B36" s="6"/>
        <tr r="E25" s="1"/>
        <tr r="H71" s="2"/>
      </tp>
      <tp t="s">
        <v>#N/A Requesting Data...3549549765</v>
        <stp/>
        <stp>BDP|14344186511568876890</stp>
        <tr r="D30" s="1"/>
      </tp>
      <tp t="s">
        <v>#N/A Requesting Data...4237539510</v>
        <stp/>
        <stp>BDP|13444230311790980452</stp>
        <tr r="O48" s="1"/>
      </tp>
      <tp t="s">
        <v>#N/A Requesting Data...3363803647</v>
        <stp/>
        <stp>BDP|17340857898636083441</stp>
        <tr r="D46" s="6"/>
        <tr r="H34" s="1"/>
      </tp>
      <tp t="s">
        <v>#N/A Requesting Data...3877256966</v>
        <stp/>
        <stp>BDP|12398647399891272813</stp>
        <tr r="F109" s="2"/>
      </tp>
      <tp t="s">
        <v>#N/A Requesting Data...2377903547</v>
        <stp/>
        <stp>BDP|14352172259753438744</stp>
        <tr r="O44" s="1"/>
      </tp>
      <tp t="s">
        <v>#N/A Requesting Data...3518162620</v>
        <stp/>
        <stp>BDP|15389714999186494911</stp>
        <tr r="O10" s="1"/>
      </tp>
      <tp t="s">
        <v>#N/A Requesting Data...3084437790</v>
        <stp/>
        <stp>BDP|11489546573486085108</stp>
        <tr r="F16" s="2"/>
      </tp>
      <tp t="s">
        <v>#N/A Requesting Data...2330015638</v>
        <stp/>
        <stp>BDP|10385461388480623882</stp>
        <tr r="O3" s="1"/>
      </tp>
      <tp t="s">
        <v>#N/A Requesting Data...4279878427</v>
        <stp/>
        <stp>BDP|13653563068080279494</stp>
        <tr r="B12" s="1"/>
      </tp>
      <tp t="s">
        <v>#N/A Requesting Data...1571069569</v>
        <stp/>
        <stp>BDP|16729193366610250588</stp>
        <tr r="F9" s="2"/>
      </tp>
      <tp t="s">
        <v>#N/A Requesting Data...3131581047</v>
        <stp/>
        <stp>BDP|17281730357791179027</stp>
        <tr r="D15" s="6"/>
        <tr r="H10" s="1"/>
      </tp>
      <tp t="s">
        <v>#N/A Requesting Data...2702459449</v>
        <stp/>
        <stp>BDP|12273074658212893106</stp>
        <tr r="D18" s="6"/>
        <tr r="H13" s="1"/>
      </tp>
      <tp t="s">
        <v>#N/A Requesting Data...2584436034</v>
        <stp/>
        <stp>BDP|10210034277734052725</stp>
        <tr r="D39" s="1"/>
      </tp>
      <tp t="s">
        <v>#N/A Requesting Data...2109938018</v>
        <stp/>
        <stp>BDP|10185039324185539374</stp>
        <tr r="D31" s="1"/>
      </tp>
      <tp t="e">
        <v>#N/A</v>
        <stp/>
        <stp>BDH|17984310257065932070</stp>
        <tr r="K77" s="10"/>
      </tp>
      <tp t="e">
        <v>#N/A</v>
        <stp/>
        <stp>BDH|10379209760271331115</stp>
        <tr r="G145" s="10"/>
      </tp>
      <tp t="e">
        <v>#N/A</v>
        <stp/>
        <stp>BDH|18399844103651236572</stp>
        <tr r="X120" s="10"/>
      </tp>
      <tp t="e">
        <v>#N/A</v>
        <stp/>
        <stp>BDH|11231596329621010338</stp>
        <tr r="R9" s="10"/>
      </tp>
      <tp t="e">
        <v>#N/A</v>
        <stp/>
        <stp>BDH|14084326174262159661</stp>
        <tr r="Y39" s="10"/>
      </tp>
      <tp t="e">
        <v>#N/A</v>
        <stp/>
        <stp>BDH|11663908934168123722</stp>
        <tr r="AD141" s="10"/>
      </tp>
      <tp t="e">
        <v>#N/A</v>
        <stp/>
        <stp>BDH|14319162660115642228</stp>
        <tr r="H35" s="10"/>
      </tp>
      <tp t="e">
        <v>#N/A</v>
        <stp/>
        <stp>BDH|10047900318038882412</stp>
        <tr r="AK4" s="10"/>
      </tp>
      <tp t="e">
        <v>#N/A</v>
        <stp/>
        <stp>BDH|15948229691569908326</stp>
        <tr r="AG120" s="10"/>
      </tp>
      <tp t="e">
        <v>#N/A</v>
        <stp/>
        <stp>BDH|18135631433960368930</stp>
        <tr r="AM118" s="10"/>
      </tp>
      <tp t="e">
        <v>#N/A</v>
        <stp/>
        <stp>BDH|12273401420641548169</stp>
        <tr r="L128" s="10"/>
      </tp>
      <tp t="e">
        <v>#N/A</v>
        <stp/>
        <stp>BDH|14896667053292553195</stp>
        <tr r="AJ17" s="10"/>
      </tp>
      <tp t="e">
        <v>#N/A</v>
        <stp/>
        <stp>BDH|14770976010869559140</stp>
        <tr r="S188" s="10"/>
      </tp>
      <tp t="e">
        <v>#N/A</v>
        <stp/>
        <stp>BDH|15104266687573814890</stp>
        <tr r="AF132" s="10"/>
      </tp>
      <tp t="e">
        <v>#N/A</v>
        <stp/>
        <stp>BDH|17747322912200432126</stp>
        <tr r="U64" s="10"/>
      </tp>
      <tp t="e">
        <v>#N/A</v>
        <stp/>
        <stp>BDH|11359473313034470420</stp>
        <tr r="AR9" s="10"/>
      </tp>
      <tp t="e">
        <v>#N/A</v>
        <stp/>
        <stp>BDH|16108445175063879293</stp>
        <tr r="AW10" s="10"/>
      </tp>
      <tp t="e">
        <v>#N/A</v>
        <stp/>
        <stp>BDH|17482706821943674520</stp>
        <tr r="AL78" s="10"/>
      </tp>
      <tp t="e">
        <v>#N/A</v>
        <stp/>
        <stp>BDH|16250723352008616857</stp>
        <tr r="AR163" s="10"/>
      </tp>
      <tp t="e">
        <v>#N/A</v>
        <stp/>
        <stp>BDH|12824174421433932661</stp>
        <tr r="AH49" s="10"/>
      </tp>
      <tp t="e">
        <v>#N/A</v>
        <stp/>
        <stp>BDH|10386366768740915158</stp>
        <tr r="AB62" s="10"/>
      </tp>
      <tp t="e">
        <v>#N/A</v>
        <stp/>
        <stp>BDH|10426759037871730106</stp>
        <tr r="AH7" s="10"/>
      </tp>
      <tp t="e">
        <v>#N/A</v>
        <stp/>
        <stp>BDH|12249809656799393279</stp>
        <tr r="V43" s="10"/>
      </tp>
      <tp t="e">
        <v>#N/A</v>
        <stp/>
        <stp>BDH|14941486866276189462</stp>
        <tr r="P162" s="10"/>
      </tp>
      <tp t="e">
        <v>#N/A</v>
        <stp/>
        <stp>BDH|10535069975145628603</stp>
        <tr r="L78" s="10"/>
      </tp>
      <tp t="e">
        <v>#N/A</v>
        <stp/>
        <stp>BDH|15808267371953726785</stp>
        <tr r="C149" s="10"/>
      </tp>
      <tp t="e">
        <v>#N/A</v>
        <stp/>
        <stp>BDH|10347079822733246547</stp>
        <tr r="AA49" s="10"/>
      </tp>
      <tp t="e">
        <v>#N/A</v>
        <stp/>
        <stp>BDH|13981481761467931297</stp>
        <tr r="C179" s="10"/>
      </tp>
      <tp t="e">
        <v>#N/A</v>
        <stp/>
        <stp>BDH|17354147778654992165</stp>
        <tr r="J165" s="10"/>
      </tp>
      <tp t="e">
        <v>#N/A</v>
        <stp/>
        <stp>BDH|10065651727847316716</stp>
        <tr r="AM158" s="10"/>
      </tp>
      <tp t="e">
        <v>#N/A</v>
        <stp/>
        <stp>BDH|12728047750416360508</stp>
        <tr r="R170" s="10"/>
      </tp>
      <tp t="e">
        <v>#N/A</v>
        <stp/>
        <stp>BDH|10013306426310307558</stp>
        <tr r="D45" s="10"/>
      </tp>
      <tp t="e">
        <v>#N/A</v>
        <stp/>
        <stp>BDH|11486641046486766118</stp>
        <tr r="AD164" s="10"/>
      </tp>
      <tp t="e">
        <v>#N/A</v>
        <stp/>
        <stp>BDH|12316745807355410445</stp>
        <tr r="W135" s="10"/>
      </tp>
      <tp t="e">
        <v>#N/A</v>
        <stp/>
        <stp>BDH|18196358154283933992</stp>
        <tr r="AF193" s="10"/>
      </tp>
      <tp t="e">
        <v>#N/A</v>
        <stp/>
        <stp>BDH|12529571120731562070</stp>
        <tr r="AP92" s="10"/>
      </tp>
      <tp t="e">
        <v>#N/A</v>
        <stp/>
        <stp>BDH|12906405878584162104</stp>
        <tr r="AF34" s="10"/>
      </tp>
      <tp t="e">
        <v>#N/A</v>
        <stp/>
        <stp>BDH|17677170410030501345</stp>
        <tr r="K193" s="10"/>
      </tp>
      <tp t="e">
        <v>#N/A</v>
        <stp/>
        <stp>BDH|16884261821934861677</stp>
        <tr r="AJ37" s="10"/>
      </tp>
      <tp t="e">
        <v>#N/A</v>
        <stp/>
        <stp>BDH|11136562262776313066</stp>
        <tr r="AP10" s="10"/>
      </tp>
      <tp t="e">
        <v>#N/A</v>
        <stp/>
        <stp>BDH|16884987290996700476</stp>
        <tr r="K73" s="10"/>
      </tp>
      <tp t="e">
        <v>#N/A</v>
        <stp/>
        <stp>BDH|15109360026735763561</stp>
        <tr r="AE153" s="10"/>
      </tp>
      <tp t="e">
        <v>#N/A</v>
        <stp/>
        <stp>BDH|15240295127502918355</stp>
        <tr r="W72" s="10"/>
      </tp>
      <tp t="e">
        <v>#N/A</v>
        <stp/>
        <stp>BDH|13854658135736858409</stp>
        <tr r="R174" s="10"/>
      </tp>
      <tp t="e">
        <v>#N/A</v>
        <stp/>
        <stp>BDH|15679184114054853520</stp>
        <tr r="AO147" s="10"/>
      </tp>
      <tp t="e">
        <v>#N/A</v>
        <stp/>
        <stp>BDH|14273428844300033049</stp>
        <tr r="L22" s="10"/>
      </tp>
      <tp t="e">
        <v>#N/A</v>
        <stp/>
        <stp>BDH|15315354255054638350</stp>
        <tr r="Q82" s="10"/>
      </tp>
      <tp t="e">
        <v>#N/A</v>
        <stp/>
        <stp>BDH|15729853941439259416</stp>
        <tr r="D108" s="10"/>
      </tp>
      <tp t="e">
        <v>#N/A</v>
        <stp/>
        <stp>BDH|11525629149902717595</stp>
        <tr r="AR97" s="10"/>
      </tp>
      <tp t="e">
        <v>#N/A</v>
        <stp/>
        <stp>BDH|17553841523471264803</stp>
        <tr r="AI57" s="10"/>
      </tp>
      <tp t="e">
        <v>#N/A</v>
        <stp/>
        <stp>BDH|10288369998638852647</stp>
        <tr r="AL37" s="10"/>
      </tp>
      <tp t="e">
        <v>#N/A</v>
        <stp/>
        <stp>BDH|16067702944129562817</stp>
        <tr r="AM92" s="10"/>
      </tp>
      <tp t="e">
        <v>#N/A</v>
        <stp/>
        <stp>BDH|16364365941572773735</stp>
        <tr r="AN129" s="10"/>
      </tp>
      <tp t="e">
        <v>#N/A</v>
        <stp/>
        <stp>BDH|11927390571792794357</stp>
        <tr r="AE177" s="10"/>
      </tp>
      <tp t="e">
        <v>#N/A</v>
        <stp/>
        <stp>BDH|14612769856654350661</stp>
        <tr r="AW177" s="10"/>
      </tp>
      <tp t="e">
        <v>#N/A</v>
        <stp/>
        <stp>BDH|14710114985250063908</stp>
        <tr r="K174" s="10"/>
      </tp>
      <tp t="e">
        <v>#N/A</v>
        <stp/>
        <stp>BDH|18299050853398407132</stp>
        <tr r="AI39" s="10"/>
      </tp>
      <tp t="e">
        <v>#N/A</v>
        <stp/>
        <stp>BDH|10435863681954612060</stp>
        <tr r="AJ34" s="10"/>
      </tp>
      <tp t="e">
        <v>#N/A</v>
        <stp/>
        <stp>BDH|12459041653076498545</stp>
        <tr r="AD34" s="10"/>
      </tp>
      <tp t="e">
        <v>#N/A</v>
        <stp/>
        <stp>BDH|14769971966837015851</stp>
        <tr r="AC94" s="10"/>
      </tp>
      <tp t="e">
        <v>#N/A</v>
        <stp/>
        <stp>BDH|13747954651719792271</stp>
        <tr r="AG173" s="10"/>
      </tp>
      <tp t="e">
        <v>#N/A</v>
        <stp/>
        <stp>BDH|11370732214992433131</stp>
        <tr r="AE139" s="10"/>
      </tp>
      <tp t="e">
        <v>#N/A</v>
        <stp/>
        <stp>BDH|11653219305971923689</stp>
        <tr r="AM78" s="10"/>
      </tp>
      <tp t="e">
        <v>#N/A</v>
        <stp/>
        <stp>BDH|14366088929456432454</stp>
        <tr r="V7" s="10"/>
      </tp>
      <tp t="e">
        <v>#N/A</v>
        <stp/>
        <stp>BDH|17484030062406708310</stp>
        <tr r="U16" s="10"/>
      </tp>
      <tp t="e">
        <v>#N/A</v>
        <stp/>
        <stp>BDH|14725600541284680634</stp>
        <tr r="AD101" s="10"/>
      </tp>
      <tp t="e">
        <v>#N/A</v>
        <stp/>
        <stp>BDH|12604577430536645645</stp>
        <tr r="C30" s="10"/>
      </tp>
      <tp t="e">
        <v>#N/A</v>
        <stp/>
        <stp>BDH|13092122160773851398</stp>
        <tr r="AD130" s="10"/>
      </tp>
      <tp t="e">
        <v>#N/A</v>
        <stp/>
        <stp>BDH|10876909243270080985</stp>
        <tr r="AK164" s="10"/>
      </tp>
      <tp t="e">
        <v>#N/A</v>
        <stp/>
        <stp>BDH|13057444839693731394</stp>
        <tr r="X142" s="10"/>
      </tp>
      <tp t="e">
        <v>#N/A</v>
        <stp/>
        <stp>BDH|15214936287204311464</stp>
        <tr r="N5" s="10"/>
      </tp>
      <tp t="e">
        <v>#N/A</v>
        <stp/>
        <stp>BDH|10850491005458116866</stp>
        <tr r="O7" s="10"/>
      </tp>
      <tp t="e">
        <v>#N/A</v>
        <stp/>
        <stp>BDH|16038367914355778566</stp>
        <tr r="I151" s="10"/>
      </tp>
      <tp t="e">
        <v>#N/A</v>
        <stp/>
        <stp>BDH|16334905831538457050</stp>
        <tr r="AF70" s="10"/>
      </tp>
      <tp t="e">
        <v>#N/A</v>
        <stp/>
        <stp>BDH|17510364626682006065</stp>
        <tr r="K133" s="10"/>
      </tp>
      <tp t="e">
        <v>#N/A</v>
        <stp/>
        <stp>BDH|13035560721727076745</stp>
        <tr r="U73" s="10"/>
      </tp>
      <tp t="e">
        <v>#N/A</v>
        <stp/>
        <stp>BDH|18443410895832010339</stp>
        <tr r="U134" s="10"/>
      </tp>
      <tp t="e">
        <v>#N/A</v>
        <stp/>
        <stp>BDH|11971132463215843727</stp>
        <tr r="K65" s="10"/>
      </tp>
      <tp t="e">
        <v>#N/A</v>
        <stp/>
        <stp>BDH|13658577703901073307</stp>
        <tr r="AS145" s="10"/>
      </tp>
      <tp t="e">
        <v>#N/A</v>
        <stp/>
        <stp>BDH|14256102341036449358</stp>
        <tr r="L135" s="10"/>
      </tp>
      <tp t="e">
        <v>#N/A</v>
        <stp/>
        <stp>BDH|12455226283605651918</stp>
        <tr r="AA131" s="10"/>
      </tp>
      <tp t="e">
        <v>#N/A</v>
        <stp/>
        <stp>BDH|10266449793111518820</stp>
        <tr r="AE20" s="10"/>
      </tp>
      <tp t="e">
        <v>#N/A</v>
        <stp/>
        <stp>BDH|10711679521373770341</stp>
        <tr r="AP132" s="10"/>
      </tp>
      <tp t="e">
        <v>#N/A</v>
        <stp/>
        <stp>BDH|17880840082892491185</stp>
        <tr r="AQ132" s="10"/>
      </tp>
      <tp t="e">
        <v>#N/A</v>
        <stp/>
        <stp>BDH|16427144703175030618</stp>
        <tr r="AT171" s="10"/>
      </tp>
      <tp t="e">
        <v>#N/A</v>
        <stp/>
        <stp>BDH|13390979828419957572</stp>
        <tr r="I75" s="10"/>
      </tp>
      <tp t="e">
        <v>#N/A</v>
        <stp/>
        <stp>BDH|17128616891185572961</stp>
        <tr r="G96" s="10"/>
      </tp>
      <tp t="e">
        <v>#N/A</v>
        <stp/>
        <stp>BDH|15018873755798907494</stp>
        <tr r="AK177" s="10"/>
      </tp>
      <tp t="e">
        <v>#N/A</v>
        <stp/>
        <stp>BDH|17706475479085201595</stp>
        <tr r="AB69" s="10"/>
      </tp>
      <tp t="e">
        <v>#N/A</v>
        <stp/>
        <stp>BDH|11410112556733739260</stp>
        <tr r="AK115" s="10"/>
      </tp>
      <tp t="e">
        <v>#N/A</v>
        <stp/>
        <stp>BDH|13886050776816149683</stp>
        <tr r="AP85" s="10"/>
      </tp>
      <tp t="e">
        <v>#N/A</v>
        <stp/>
        <stp>BDH|12538801386151206734</stp>
        <tr r="AH107" s="10"/>
      </tp>
      <tp t="e">
        <v>#N/A</v>
        <stp/>
        <stp>BDH|17910742308517038372</stp>
        <tr r="AT20" s="10"/>
      </tp>
      <tp t="e">
        <v>#N/A</v>
        <stp/>
        <stp>BDH|16640776222056456151</stp>
        <tr r="AJ40" s="10"/>
      </tp>
      <tp t="e">
        <v>#N/A</v>
        <stp/>
        <stp>BDH|14745168406033198241</stp>
        <tr r="P74" s="10"/>
      </tp>
      <tp t="e">
        <v>#N/A</v>
        <stp/>
        <stp>BDH|14051616702063714519</stp>
        <tr r="AU152" s="10"/>
      </tp>
      <tp t="e">
        <v>#N/A</v>
        <stp/>
        <stp>BDH|16365622141418624838</stp>
        <tr r="S116" s="10"/>
      </tp>
      <tp t="e">
        <v>#N/A</v>
        <stp/>
        <stp>BDH|10943983983981143463</stp>
        <tr r="D40" s="10"/>
      </tp>
      <tp t="e">
        <v>#N/A</v>
        <stp/>
        <stp>BDH|13248622309056590797</stp>
        <tr r="Z102" s="10"/>
      </tp>
      <tp t="e">
        <v>#N/A</v>
        <stp/>
        <stp>BDH|17409187023126383696</stp>
        <tr r="AO119" s="10"/>
      </tp>
      <tp t="e">
        <v>#N/A</v>
        <stp/>
        <stp>BDH|13782983994135631286</stp>
        <tr r="E172" s="10"/>
      </tp>
      <tp t="e">
        <v>#N/A</v>
        <stp/>
        <stp>BDH|13176026241260584326</stp>
        <tr r="AU20" s="10"/>
      </tp>
      <tp t="e">
        <v>#N/A</v>
        <stp/>
        <stp>BDH|14849950089029084810</stp>
        <tr r="S158" s="10"/>
      </tp>
      <tp t="e">
        <v>#N/A</v>
        <stp/>
        <stp>BDH|18140292499876349176</stp>
        <tr r="AK37" s="10"/>
      </tp>
      <tp t="e">
        <v>#N/A</v>
        <stp/>
        <stp>BDH|11110339857211596250</stp>
        <tr r="D104" s="10"/>
      </tp>
      <tp t="e">
        <v>#N/A</v>
        <stp/>
        <stp>BDH|10612476344921557558</stp>
        <tr r="H168" s="10"/>
      </tp>
      <tp t="e">
        <v>#N/A</v>
        <stp/>
        <stp>BDH|16741852515752652947</stp>
        <tr r="L30" s="10"/>
      </tp>
      <tp t="e">
        <v>#N/A</v>
        <stp/>
        <stp>BDH|11266456623191753265</stp>
        <tr r="P160" s="10"/>
      </tp>
      <tp t="e">
        <v>#N/A</v>
        <stp/>
        <stp>BDH|11592332090508270718</stp>
        <tr r="L191" s="10"/>
      </tp>
      <tp t="e">
        <v>#N/A</v>
        <stp/>
        <stp>BDH|13467699850717109398</stp>
        <tr r="AM107" s="10"/>
      </tp>
      <tp t="e">
        <v>#N/A</v>
        <stp/>
        <stp>BDH|15290222644396518149</stp>
        <tr r="V115" s="10"/>
      </tp>
      <tp t="e">
        <v>#N/A</v>
        <stp/>
        <stp>BDH|12596246653057408639</stp>
        <tr r="Q116" s="10"/>
      </tp>
      <tp t="e">
        <v>#N/A</v>
        <stp/>
        <stp>BDH|10599381499067946989</stp>
        <tr r="S45" s="10"/>
      </tp>
      <tp t="e">
        <v>#N/A</v>
        <stp/>
        <stp>BDH|10765552977355867385</stp>
        <tr r="AD165" s="10"/>
      </tp>
      <tp t="e">
        <v>#N/A</v>
        <stp/>
        <stp>BDH|13803663451677960337</stp>
        <tr r="H115" s="10"/>
      </tp>
      <tp t="e">
        <v>#N/A</v>
        <stp/>
        <stp>BDH|17342352536304478709</stp>
        <tr r="D91" s="10"/>
      </tp>
      <tp t="e">
        <v>#N/A</v>
        <stp/>
        <stp>BDH|10858077760090996220</stp>
        <tr r="M127" s="10"/>
      </tp>
      <tp t="e">
        <v>#N/A</v>
        <stp/>
        <stp>BDH|17707459308053703492</stp>
        <tr r="AR34" s="10"/>
      </tp>
      <tp t="e">
        <v>#N/A</v>
        <stp/>
        <stp>BDH|14229044034581708219</stp>
        <tr r="AR102" s="10"/>
      </tp>
      <tp t="e">
        <v>#N/A</v>
        <stp/>
        <stp>BDH|17661372540766296273</stp>
        <tr r="H97" s="10"/>
      </tp>
      <tp t="e">
        <v>#N/A</v>
        <stp/>
        <stp>BDH|13721478928245576497</stp>
        <tr r="AV48" s="10"/>
      </tp>
      <tp t="e">
        <v>#N/A</v>
        <stp/>
        <stp>BDH|11678437155266144259</stp>
        <tr r="AT138" s="10"/>
      </tp>
      <tp t="e">
        <v>#N/A</v>
        <stp/>
        <stp>BDH|16276033391672699925</stp>
        <tr r="AL71" s="10"/>
      </tp>
      <tp t="e">
        <v>#N/A</v>
        <stp/>
        <stp>BDH|14071069640135724150</stp>
        <tr r="AF188" s="10"/>
      </tp>
      <tp t="e">
        <v>#N/A</v>
        <stp/>
        <stp>BDH|12503218280089262522</stp>
        <tr r="M7" s="10"/>
      </tp>
      <tp t="e">
        <v>#N/A</v>
        <stp/>
        <stp>BDH|12251755927273574016</stp>
        <tr r="AU75" s="10"/>
      </tp>
      <tp t="e">
        <v>#N/A</v>
        <stp/>
        <stp>BDH|16529747747126717757</stp>
        <tr r="AJ151" s="10"/>
      </tp>
      <tp t="e">
        <v>#N/A</v>
        <stp/>
        <stp>BDH|14148767810052774445</stp>
        <tr r="U166" s="10"/>
      </tp>
      <tp t="e">
        <v>#N/A</v>
        <stp/>
        <stp>BDH|15778863396307565761</stp>
        <tr r="AA160" s="10"/>
      </tp>
      <tp t="e">
        <v>#N/A</v>
        <stp/>
        <stp>BDH|16628247967351359724</stp>
        <tr r="AK142" s="10"/>
      </tp>
      <tp t="e">
        <v>#N/A</v>
        <stp/>
        <stp>BDH|17929748336375874279</stp>
        <tr r="AI174" s="10"/>
      </tp>
      <tp t="e">
        <v>#N/A</v>
        <stp/>
        <stp>BDH|18022900375230209237</stp>
        <tr r="AE37" s="10"/>
      </tp>
      <tp t="e">
        <v>#N/A</v>
        <stp/>
        <stp>BDH|15814433807603166695</stp>
        <tr r="AA11" s="10"/>
      </tp>
      <tp t="e">
        <v>#N/A</v>
        <stp/>
        <stp>BDH|11200983738256524934</stp>
        <tr r="V144" s="10"/>
      </tp>
      <tp t="e">
        <v>#N/A</v>
        <stp/>
        <stp>BDH|16323772023850077739</stp>
        <tr r="AG72" s="10"/>
      </tp>
      <tp t="e">
        <v>#N/A</v>
        <stp/>
        <stp>BDH|17834280327747256414</stp>
        <tr r="AA83" s="10"/>
      </tp>
      <tp t="e">
        <v>#N/A</v>
        <stp/>
        <stp>BDH|12359154897468013651</stp>
        <tr r="Y154" s="10"/>
      </tp>
      <tp t="e">
        <v>#N/A</v>
        <stp/>
        <stp>BDH|14086509100564312170</stp>
        <tr r="AH187" s="10"/>
      </tp>
      <tp t="e">
        <v>#N/A</v>
        <stp/>
        <stp>BDH|15817173107831476188</stp>
        <tr r="V41" s="10"/>
      </tp>
      <tp t="e">
        <v>#N/A</v>
        <stp/>
        <stp>BDH|17047264645703619612</stp>
        <tr r="AQ142" s="10"/>
      </tp>
      <tp t="e">
        <v>#N/A</v>
        <stp/>
        <stp>BDH|16437643445209127904</stp>
        <tr r="K130" s="10"/>
      </tp>
      <tp t="e">
        <v>#N/A</v>
        <stp/>
        <stp>BDH|11111693694002124894</stp>
        <tr r="V81" s="10"/>
      </tp>
      <tp t="e">
        <v>#N/A</v>
        <stp/>
        <stp>BDH|16689818270664449949</stp>
        <tr r="J145" s="10"/>
      </tp>
      <tp t="e">
        <v>#N/A</v>
        <stp/>
        <stp>BDH|10733008154438233967</stp>
        <tr r="AR147" s="10"/>
      </tp>
      <tp t="e">
        <v>#N/A</v>
        <stp/>
        <stp>BDH|14222321532116185640</stp>
        <tr r="N91" s="10"/>
      </tp>
      <tp t="e">
        <v>#N/A</v>
        <stp/>
        <stp>BDH|15779016071966570056</stp>
        <tr r="X166" s="10"/>
      </tp>
      <tp t="e">
        <v>#N/A</v>
        <stp/>
        <stp>BDH|14193639964246436658</stp>
        <tr r="AB177" s="10"/>
      </tp>
      <tp t="e">
        <v>#N/A</v>
        <stp/>
        <stp>BDH|14155631782907472933</stp>
        <tr r="AL34" s="10"/>
      </tp>
      <tp t="e">
        <v>#N/A</v>
        <stp/>
        <stp>BDH|11154805672723265969</stp>
        <tr r="AP49" s="10"/>
      </tp>
      <tp t="e">
        <v>#N/A</v>
        <stp/>
        <stp>BDH|10376015805425689163</stp>
        <tr r="AE54" s="10"/>
      </tp>
      <tp t="e">
        <v>#N/A</v>
        <stp/>
        <stp>BDH|16013549219484841224</stp>
        <tr r="M116" s="10"/>
      </tp>
      <tp t="e">
        <v>#N/A</v>
        <stp/>
        <stp>BDH|11528255862103182242</stp>
        <tr r="AU44" s="10"/>
      </tp>
      <tp t="e">
        <v>#N/A</v>
        <stp/>
        <stp>BDH|13767018773211490166</stp>
        <tr r="O172" s="10"/>
      </tp>
      <tp t="e">
        <v>#N/A</v>
        <stp/>
        <stp>BDH|13114532570852116748</stp>
        <tr r="AW122" s="10"/>
      </tp>
      <tp t="e">
        <v>#N/A</v>
        <stp/>
        <stp>BDH|16234951494457164551</stp>
        <tr r="AM30" s="10"/>
      </tp>
      <tp t="e">
        <v>#N/A</v>
        <stp/>
        <stp>BDH|17364625237177670174</stp>
        <tr r="K155" s="10"/>
      </tp>
      <tp t="e">
        <v>#N/A</v>
        <stp/>
        <stp>BDH|16058878085870100243</stp>
        <tr r="AO150" s="10"/>
      </tp>
      <tp t="e">
        <v>#N/A</v>
        <stp/>
        <stp>BDH|10577391544411868272</stp>
        <tr r="AD169" s="10"/>
      </tp>
      <tp t="e">
        <v>#N/A</v>
        <stp/>
        <stp>BDH|17461608338321326789</stp>
        <tr r="AK28" s="10"/>
      </tp>
      <tp t="e">
        <v>#N/A</v>
        <stp/>
        <stp>BDH|12265591007591830234</stp>
        <tr r="H7" s="10"/>
      </tp>
      <tp t="e">
        <v>#N/A</v>
        <stp/>
        <stp>BDH|17608075639035640595</stp>
        <tr r="C12" s="10"/>
      </tp>
      <tp t="e">
        <v>#N/A</v>
        <stp/>
        <stp>BDH|11419096369856015525</stp>
        <tr r="F35" s="10"/>
      </tp>
      <tp t="e">
        <v>#N/A</v>
        <stp/>
        <stp>BDH|10438703455006323048</stp>
        <tr r="F178" s="10"/>
      </tp>
      <tp t="e">
        <v>#N/A</v>
        <stp/>
        <stp>BDH|17132000554150688650</stp>
        <tr r="V34" s="10"/>
      </tp>
      <tp t="e">
        <v>#N/A</v>
        <stp/>
        <stp>BDH|15542743527733895781</stp>
        <tr r="H127" s="10"/>
      </tp>
      <tp t="e">
        <v>#N/A</v>
        <stp/>
        <stp>BDH|12604148176324604444</stp>
        <tr r="V182" s="10"/>
      </tp>
      <tp t="e">
        <v>#N/A</v>
        <stp/>
        <stp>BDH|13216717143310299442</stp>
        <tr r="AP60" s="10"/>
      </tp>
      <tp t="e">
        <v>#N/A</v>
        <stp/>
        <stp>BDH|12826322152100791095</stp>
        <tr r="AW169" s="10"/>
      </tp>
      <tp t="e">
        <v>#N/A</v>
        <stp/>
        <stp>BDH|16719242040010024453</stp>
        <tr r="C80" s="10"/>
      </tp>
      <tp t="e">
        <v>#N/A</v>
        <stp/>
        <stp>BDH|15461531117872292744</stp>
        <tr r="AL50" s="10"/>
      </tp>
      <tp t="e">
        <v>#N/A</v>
        <stp/>
        <stp>BDH|17349630455348224814</stp>
        <tr r="M64" s="10"/>
      </tp>
      <tp t="e">
        <v>#N/A</v>
        <stp/>
        <stp>BDH|14420434200617519340</stp>
        <tr r="M24" s="10"/>
      </tp>
      <tp t="e">
        <v>#N/A</v>
        <stp/>
        <stp>BDH|15397016789871946842</stp>
        <tr r="X52" s="10"/>
      </tp>
      <tp t="e">
        <v>#N/A</v>
        <stp/>
        <stp>BDH|12052929617359691757</stp>
        <tr r="L134" s="10"/>
      </tp>
      <tp t="e">
        <v>#N/A</v>
        <stp/>
        <stp>BDH|11339351670235831483</stp>
        <tr r="I173" s="10"/>
      </tp>
      <tp t="e">
        <v>#N/A</v>
        <stp/>
        <stp>BDH|13347655966774684309</stp>
        <tr r="V167" s="10"/>
      </tp>
      <tp t="e">
        <v>#N/A</v>
        <stp/>
        <stp>BDH|15052735664995998585</stp>
        <tr r="T190" s="10"/>
      </tp>
      <tp t="e">
        <v>#N/A</v>
        <stp/>
        <stp>BDH|12675694838744049714</stp>
        <tr r="AO37" s="10"/>
      </tp>
      <tp t="e">
        <v>#N/A</v>
        <stp/>
        <stp>BDH|12778209019830682515</stp>
        <tr r="N138" s="10"/>
      </tp>
      <tp t="e">
        <v>#N/A</v>
        <stp/>
        <stp>BDH|11617683544041482670</stp>
        <tr r="AH181" s="10"/>
      </tp>
      <tp t="e">
        <v>#N/A</v>
        <stp/>
        <stp>BDH|18386422310261174895</stp>
        <tr r="T127" s="10"/>
      </tp>
      <tp t="e">
        <v>#N/A</v>
        <stp/>
        <stp>BDH|17978065056941871785</stp>
        <tr r="AO99" s="10"/>
      </tp>
      <tp t="e">
        <v>#N/A</v>
        <stp/>
        <stp>BDH|16198342850012924657</stp>
        <tr r="AC193" s="10"/>
      </tp>
      <tp t="e">
        <v>#N/A</v>
        <stp/>
        <stp>BDH|11411478006548930952</stp>
        <tr r="Z157" s="10"/>
      </tp>
      <tp t="e">
        <v>#N/A</v>
        <stp/>
        <stp>BDH|17120574538845014072</stp>
        <tr r="G4" s="10"/>
      </tp>
      <tp t="e">
        <v>#N/A</v>
        <stp/>
        <stp>BDH|17497820058118768602</stp>
        <tr r="AO155" s="10"/>
      </tp>
      <tp t="e">
        <v>#N/A</v>
        <stp/>
        <stp>BDH|12534344078300647263</stp>
        <tr r="AB169" s="10"/>
      </tp>
      <tp t="e">
        <v>#N/A</v>
        <stp/>
        <stp>BDH|15745463674614970655</stp>
        <tr r="AN111" s="10"/>
      </tp>
      <tp t="e">
        <v>#N/A</v>
        <stp/>
        <stp>BDH|16144091131277869683</stp>
        <tr r="AA165" s="10"/>
      </tp>
      <tp t="e">
        <v>#N/A</v>
        <stp/>
        <stp>BDH|17457046190982192882</stp>
        <tr r="F128" s="10"/>
      </tp>
      <tp t="e">
        <v>#N/A</v>
        <stp/>
        <stp>BDH|10680389167797727675</stp>
        <tr r="AG91" s="10"/>
      </tp>
      <tp t="e">
        <v>#N/A</v>
        <stp/>
        <stp>BDH|14709758667240456188</stp>
        <tr r="D144" s="10"/>
      </tp>
      <tp t="e">
        <v>#N/A</v>
        <stp/>
        <stp>BDH|11358757165522262686</stp>
        <tr r="AT101" s="10"/>
      </tp>
      <tp t="e">
        <v>#N/A</v>
        <stp/>
        <stp>BDH|12536116829706627327</stp>
        <tr r="AG167" s="10"/>
      </tp>
      <tp t="e">
        <v>#N/A</v>
        <stp/>
        <stp>BDH|12340741536512859003</stp>
        <tr r="AF145" s="10"/>
      </tp>
      <tp t="e">
        <v>#N/A</v>
        <stp/>
        <stp>BDH|13971620767013133442</stp>
        <tr r="J68" s="10"/>
      </tp>
      <tp t="e">
        <v>#N/A</v>
        <stp/>
        <stp>BDH|10685116063793810043</stp>
        <tr r="AK23" s="10"/>
      </tp>
      <tp t="e">
        <v>#N/A</v>
        <stp/>
        <stp>BDH|11143093394698625429</stp>
        <tr r="G117" s="10"/>
      </tp>
      <tp t="e">
        <v>#N/A</v>
        <stp/>
        <stp>BDH|14659639150732904141</stp>
        <tr r="S33" s="10"/>
      </tp>
      <tp t="e">
        <v>#N/A</v>
        <stp/>
        <stp>BDH|17963067026008027919</stp>
        <tr r="W29" s="10"/>
      </tp>
      <tp t="e">
        <v>#N/A</v>
        <stp/>
        <stp>BDH|14113381834082783222</stp>
        <tr r="AV51" s="10"/>
      </tp>
      <tp t="e">
        <v>#N/A</v>
        <stp/>
        <stp>BDH|12630386452360293066</stp>
        <tr r="P88" s="10"/>
      </tp>
      <tp t="e">
        <v>#N/A</v>
        <stp/>
        <stp>BDH|17470082855514193201</stp>
        <tr r="D164" s="10"/>
      </tp>
      <tp t="e">
        <v>#N/A</v>
        <stp/>
        <stp>BDH|17888934617938190352</stp>
        <tr r="AU83" s="10"/>
      </tp>
      <tp t="e">
        <v>#N/A</v>
        <stp/>
        <stp>BDH|11408784169324937047</stp>
        <tr r="F146" s="10"/>
      </tp>
      <tp t="e">
        <v>#N/A</v>
        <stp/>
        <stp>BDH|13970509867920212445</stp>
        <tr r="V73" s="10"/>
      </tp>
      <tp t="e">
        <v>#N/A</v>
        <stp/>
        <stp>BDH|15267334939694446543</stp>
        <tr r="AR31" s="10"/>
      </tp>
      <tp t="e">
        <v>#N/A</v>
        <stp/>
        <stp>BDH|17742850172109817505</stp>
        <tr r="AM42" s="10"/>
      </tp>
      <tp t="e">
        <v>#N/A</v>
        <stp/>
        <stp>BDH|17261138319877547453</stp>
        <tr r="R89" s="10"/>
      </tp>
      <tp t="e">
        <v>#N/A</v>
        <stp/>
        <stp>BDH|11657774439338731971</stp>
        <tr r="I44" s="10"/>
      </tp>
      <tp t="e">
        <v>#N/A</v>
        <stp/>
        <stp>BDH|12387137566682888361</stp>
        <tr r="AI177" s="10"/>
      </tp>
      <tp t="e">
        <v>#N/A</v>
        <stp/>
        <stp>BDH|13945518416830775314</stp>
        <tr r="M192" s="10"/>
      </tp>
      <tp t="e">
        <v>#N/A</v>
        <stp/>
        <stp>BDH|12867061735712721744</stp>
        <tr r="L146" s="10"/>
      </tp>
      <tp t="e">
        <v>#N/A</v>
        <stp/>
        <stp>BDH|12579291865217599548</stp>
        <tr r="W69" s="10"/>
      </tp>
      <tp t="e">
        <v>#N/A</v>
        <stp/>
        <stp>BDH|12740516235208086883</stp>
        <tr r="C38" s="10"/>
      </tp>
      <tp t="e">
        <v>#N/A</v>
        <stp/>
        <stp>BDH|11867961584875945180</stp>
        <tr r="R133" s="10"/>
      </tp>
      <tp t="e">
        <v>#N/A</v>
        <stp/>
        <stp>BDH|10654698903777142564</stp>
        <tr r="AA8" s="10"/>
      </tp>
      <tp t="e">
        <v>#N/A</v>
        <stp/>
        <stp>BDH|10636751068760181517</stp>
        <tr r="AN103" s="10"/>
      </tp>
      <tp t="e">
        <v>#N/A</v>
        <stp/>
        <stp>BDH|13899772147256093239</stp>
        <tr r="G62" s="10"/>
      </tp>
      <tp t="e">
        <v>#N/A</v>
        <stp/>
        <stp>BDH|16030383437700082246</stp>
        <tr r="H25" s="10"/>
      </tp>
      <tp t="e">
        <v>#N/A</v>
        <stp/>
        <stp>BDH|16332009033948835939</stp>
        <tr r="Q78" s="10"/>
      </tp>
      <tp t="e">
        <v>#N/A</v>
        <stp/>
        <stp>BDH|11943093313416183293</stp>
        <tr r="AU62" s="10"/>
      </tp>
      <tp t="e">
        <v>#N/A</v>
        <stp/>
        <stp>BDH|11779892778409590387</stp>
        <tr r="G27" s="10"/>
      </tp>
      <tp t="e">
        <v>#N/A</v>
        <stp/>
        <stp>BDH|15844225432814044432</stp>
        <tr r="AJ84" s="10"/>
      </tp>
      <tp t="e">
        <v>#N/A</v>
        <stp/>
        <stp>BDH|11916332423970472462</stp>
        <tr r="AU98" s="10"/>
      </tp>
      <tp t="e">
        <v>#N/A</v>
        <stp/>
        <stp>BDH|12787366169807716448</stp>
        <tr r="AE47" s="10"/>
      </tp>
      <tp t="e">
        <v>#N/A</v>
        <stp/>
        <stp>BDH|13917449041977252059</stp>
        <tr r="AW53" s="10"/>
      </tp>
      <tp t="e">
        <v>#N/A</v>
        <stp/>
        <stp>BDH|11094646660463813676</stp>
        <tr r="AT40" s="10"/>
      </tp>
      <tp t="e">
        <v>#N/A</v>
        <stp/>
        <stp>BDH|13352517215432847140</stp>
        <tr r="AE133" s="10"/>
      </tp>
      <tp t="e">
        <v>#N/A</v>
        <stp/>
        <stp>BDH|17720671154784979461</stp>
        <tr r="AI83" s="10"/>
      </tp>
      <tp t="e">
        <v>#N/A</v>
        <stp/>
        <stp>BDH|16567572987048916775</stp>
        <tr r="AJ167" s="10"/>
      </tp>
      <tp t="e">
        <v>#N/A</v>
        <stp/>
        <stp>BDH|16756535266336014792</stp>
        <tr r="AU17" s="10"/>
      </tp>
      <tp t="e">
        <v>#N/A</v>
        <stp/>
        <stp>BDH|17440237580579915050</stp>
        <tr r="AK67" s="10"/>
      </tp>
      <tp t="e">
        <v>#N/A</v>
        <stp/>
        <stp>BDH|17004042459350377651</stp>
        <tr r="H41" s="10"/>
      </tp>
      <tp t="e">
        <v>#N/A</v>
        <stp/>
        <stp>BDH|11984536627206438429</stp>
        <tr r="Z142" s="10"/>
      </tp>
      <tp t="e">
        <v>#N/A</v>
        <stp/>
        <stp>BDH|13175260213112661696</stp>
        <tr r="H144" s="10"/>
      </tp>
      <tp t="e">
        <v>#N/A</v>
        <stp/>
        <stp>BDH|16430946120631832836</stp>
        <tr r="E47" s="10"/>
      </tp>
      <tp t="e">
        <v>#N/A</v>
        <stp/>
        <stp>BDH|15646030423206463594</stp>
        <tr r="F18" s="10"/>
      </tp>
      <tp t="e">
        <v>#N/A</v>
        <stp/>
        <stp>BDH|15572009859510409422</stp>
        <tr r="I72" s="10"/>
      </tp>
      <tp t="e">
        <v>#N/A</v>
        <stp/>
        <stp>BDH|17623068869230647554</stp>
        <tr r="Y104" s="10"/>
      </tp>
      <tp t="e">
        <v>#N/A</v>
        <stp/>
        <stp>BDH|13498037811926565099</stp>
        <tr r="Q103" s="10"/>
      </tp>
      <tp t="e">
        <v>#N/A</v>
        <stp/>
        <stp>BDH|17220279792578470091</stp>
        <tr r="J37" s="10"/>
      </tp>
      <tp t="e">
        <v>#N/A</v>
        <stp/>
        <stp>BDH|12198246547417077783</stp>
        <tr r="U179" s="10"/>
      </tp>
      <tp t="e">
        <v>#N/A</v>
        <stp/>
        <stp>BDH|10288923794194874060</stp>
        <tr r="E105" s="10"/>
      </tp>
      <tp t="e">
        <v>#N/A</v>
        <stp/>
        <stp>BDH|16389561558104345640</stp>
        <tr r="AB6" s="10"/>
      </tp>
      <tp t="e">
        <v>#N/A</v>
        <stp/>
        <stp>BDH|14915174662693577437</stp>
        <tr r="AN144" s="10"/>
      </tp>
      <tp t="e">
        <v>#N/A</v>
        <stp/>
        <stp>BDH|14259401670656905511</stp>
        <tr r="AW161" s="10"/>
      </tp>
      <tp t="e">
        <v>#N/A</v>
        <stp/>
        <stp>BDH|13654103679219304865</stp>
        <tr r="C120" s="10"/>
      </tp>
      <tp t="e">
        <v>#N/A</v>
        <stp/>
        <stp>BDH|16697808282436831467</stp>
        <tr r="H67" s="10"/>
      </tp>
      <tp t="e">
        <v>#N/A</v>
        <stp/>
        <stp>BDH|15585919399690259153</stp>
        <tr r="J186" s="10"/>
      </tp>
      <tp t="e">
        <v>#N/A</v>
        <stp/>
        <stp>BDH|10728252429400520446</stp>
        <tr r="E48" s="10"/>
      </tp>
      <tp t="e">
        <v>#N/A</v>
        <stp/>
        <stp>BDH|13834497634551895178</stp>
        <tr r="AW174" s="10"/>
      </tp>
      <tp t="e">
        <v>#N/A</v>
        <stp/>
        <stp>BDH|10807127121593204435</stp>
        <tr r="V193" s="10"/>
      </tp>
      <tp t="e">
        <v>#N/A</v>
        <stp/>
        <stp>BDH|10811767477553651750</stp>
        <tr r="O110" s="10"/>
      </tp>
      <tp t="e">
        <v>#N/A</v>
        <stp/>
        <stp>BDH|10382379236142816607</stp>
        <tr r="D30" s="10"/>
      </tp>
      <tp t="e">
        <v>#N/A</v>
        <stp/>
        <stp>BDH|10839780008762724152</stp>
        <tr r="D75" s="10"/>
      </tp>
      <tp t="e">
        <v>#N/A</v>
        <stp/>
        <stp>BDH|15667491875972638016</stp>
        <tr r="AJ124" s="10"/>
      </tp>
      <tp t="e">
        <v>#N/A</v>
        <stp/>
        <stp>BDH|14040000564931150781</stp>
        <tr r="C51" s="10"/>
      </tp>
      <tp t="e">
        <v>#N/A</v>
        <stp/>
        <stp>BDH|15047625561174607589</stp>
        <tr r="C111" s="10"/>
      </tp>
      <tp t="e">
        <v>#N/A</v>
        <stp/>
        <stp>BDH|13907439498002703881</stp>
        <tr r="AF174" s="10"/>
      </tp>
      <tp t="e">
        <v>#N/A</v>
        <stp/>
        <stp>BDH|11737578175352830503</stp>
        <tr r="W118" s="10"/>
      </tp>
      <tp t="e">
        <v>#N/A</v>
        <stp/>
        <stp>BDH|10747105392154178898</stp>
        <tr r="F131" s="10"/>
      </tp>
      <tp t="e">
        <v>#N/A</v>
        <stp/>
        <stp>BDH|16395061971047969201</stp>
        <tr r="AE117" s="10"/>
      </tp>
      <tp t="e">
        <v>#N/A</v>
        <stp/>
        <stp>BDH|17031603759009677929</stp>
        <tr r="W22" s="10"/>
      </tp>
      <tp t="e">
        <v>#N/A</v>
        <stp/>
        <stp>BDH|17747242396871137990</stp>
        <tr r="AS38" s="10"/>
      </tp>
      <tp t="e">
        <v>#N/A</v>
        <stp/>
        <stp>BDH|11821839871738789209</stp>
        <tr r="AR38" s="10"/>
      </tp>
      <tp t="e">
        <v>#N/A</v>
        <stp/>
        <stp>BDH|13412987741953962994</stp>
        <tr r="W90" s="10"/>
      </tp>
      <tp t="e">
        <v>#N/A</v>
        <stp/>
        <stp>BDH|16575311154970507483</stp>
        <tr r="Y158" s="10"/>
      </tp>
      <tp t="e">
        <v>#N/A</v>
        <stp/>
        <stp>BDH|10859392301177953040</stp>
        <tr r="AQ113" s="10"/>
      </tp>
      <tp t="e">
        <v>#N/A</v>
        <stp/>
        <stp>BDH|10549294019595928215</stp>
        <tr r="F41" s="10"/>
      </tp>
      <tp t="e">
        <v>#N/A</v>
        <stp/>
        <stp>BDH|14626646122675426191</stp>
        <tr r="O115" s="10"/>
      </tp>
      <tp t="e">
        <v>#N/A</v>
        <stp/>
        <stp>BDH|13620410937566417696</stp>
        <tr r="C45" s="10"/>
      </tp>
      <tp t="e">
        <v>#N/A</v>
        <stp/>
        <stp>BDH|15307877419180682869</stp>
        <tr r="AV178" s="10"/>
      </tp>
      <tp t="e">
        <v>#N/A</v>
        <stp/>
        <stp>BDH|14810832672168739737</stp>
        <tr r="L25" s="10"/>
      </tp>
      <tp t="e">
        <v>#N/A</v>
        <stp/>
        <stp>BDH|14312285526025215520</stp>
        <tr r="C189" s="10"/>
      </tp>
      <tp t="e">
        <v>#N/A</v>
        <stp/>
        <stp>BDH|12027260242705199588</stp>
        <tr r="D6" s="10"/>
      </tp>
      <tp t="e">
        <v>#N/A</v>
        <stp/>
        <stp>BDH|13817016281298551718</stp>
        <tr r="AE170" s="10"/>
      </tp>
      <tp t="e">
        <v>#N/A</v>
        <stp/>
        <stp>BDH|13598785736684422737</stp>
        <tr r="L150" s="10"/>
      </tp>
      <tp t="e">
        <v>#N/A</v>
        <stp/>
        <stp>BDH|14963678255252202153</stp>
        <tr r="AR124" s="10"/>
      </tp>
      <tp t="e">
        <v>#N/A</v>
        <stp/>
        <stp>BDH|16109063498959613255</stp>
        <tr r="O74" s="10"/>
      </tp>
      <tp t="e">
        <v>#N/A</v>
        <stp/>
        <stp>BDH|10206195071562097064</stp>
        <tr r="J46" s="10"/>
      </tp>
      <tp t="e">
        <v>#N/A</v>
        <stp/>
        <stp>BDH|11287273898236828897</stp>
        <tr r="AT22" s="10"/>
      </tp>
      <tp t="e">
        <v>#N/A</v>
        <stp/>
        <stp>BDH|16460227338616649540</stp>
        <tr r="AM128" s="10"/>
      </tp>
      <tp t="e">
        <v>#N/A</v>
        <stp/>
        <stp>BDH|15601652021055876066</stp>
        <tr r="U163" s="10"/>
      </tp>
      <tp t="e">
        <v>#N/A</v>
        <stp/>
        <stp>BDH|15406791220994433059</stp>
        <tr r="AC98" s="10"/>
      </tp>
      <tp t="e">
        <v>#N/A</v>
        <stp/>
        <stp>BDH|14245734691636442880</stp>
        <tr r="AC27" s="10"/>
      </tp>
      <tp t="e">
        <v>#N/A</v>
        <stp/>
        <stp>BDH|16574215828694661663</stp>
        <tr r="AB94" s="10"/>
      </tp>
      <tp t="e">
        <v>#N/A</v>
        <stp/>
        <stp>BDH|13010724666305060381</stp>
        <tr r="E186" s="10"/>
      </tp>
      <tp t="e">
        <v>#N/A</v>
        <stp/>
        <stp>BDH|18271225486390341693</stp>
        <tr r="V93" s="10"/>
      </tp>
      <tp t="e">
        <v>#N/A</v>
        <stp/>
        <stp>BDH|11120331727743872728</stp>
        <tr r="X78" s="10"/>
      </tp>
      <tp t="e">
        <v>#N/A</v>
        <stp/>
        <stp>BDH|15088180868325872377</stp>
        <tr r="C63" s="10"/>
      </tp>
      <tp t="e">
        <v>#N/A</v>
        <stp/>
        <stp>BDH|13579752437455917619</stp>
        <tr r="AE142" s="10"/>
      </tp>
      <tp t="e">
        <v>#N/A</v>
        <stp/>
        <stp>BDH|14770606668853609360</stp>
        <tr r="Z92" s="10"/>
      </tp>
      <tp t="e">
        <v>#N/A</v>
        <stp/>
        <stp>BDH|15097162119339385839</stp>
        <tr r="AH42" s="10"/>
      </tp>
      <tp t="e">
        <v>#N/A</v>
        <stp/>
        <stp>BDH|14519486026657189151</stp>
        <tr r="AW81" s="10"/>
      </tp>
      <tp t="e">
        <v>#N/A</v>
        <stp/>
        <stp>BDH|13972645437377595507</stp>
        <tr r="P129" s="10"/>
      </tp>
      <tp t="e">
        <v>#N/A</v>
        <stp/>
        <stp>BDH|14391297701685279761</stp>
        <tr r="AB60" s="10"/>
      </tp>
      <tp t="e">
        <v>#N/A</v>
        <stp/>
        <stp>BDH|17065838987671912225</stp>
        <tr r="AM140" s="10"/>
      </tp>
      <tp t="e">
        <v>#N/A</v>
        <stp/>
        <stp>BDH|15759599444945013558</stp>
        <tr r="AA64" s="10"/>
      </tp>
      <tp t="e">
        <v>#N/A</v>
        <stp/>
        <stp>BDH|11314672610402822039</stp>
        <tr r="AF42" s="10"/>
      </tp>
      <tp t="e">
        <v>#N/A</v>
        <stp/>
        <stp>BDH|14731855858278304567</stp>
        <tr r="AW110" s="10"/>
      </tp>
      <tp t="e">
        <v>#N/A</v>
        <stp/>
        <stp>BDH|17692521829945472167</stp>
        <tr r="AQ94" s="10"/>
      </tp>
      <tp t="e">
        <v>#N/A</v>
        <stp/>
        <stp>BDH|11324466842134046180</stp>
        <tr r="AN191" s="10"/>
      </tp>
      <tp t="e">
        <v>#N/A</v>
        <stp/>
        <stp>BDH|17576242047611120480</stp>
        <tr r="G81" s="10"/>
      </tp>
      <tp t="e">
        <v>#N/A</v>
        <stp/>
        <stp>BDH|11834142126162411410</stp>
        <tr r="V166" s="10"/>
      </tp>
      <tp t="e">
        <v>#N/A</v>
        <stp/>
        <stp>BDH|10778403438785333630</stp>
        <tr r="N16" s="10"/>
      </tp>
      <tp t="e">
        <v>#N/A</v>
        <stp/>
        <stp>BDH|14965349914093518139</stp>
        <tr r="AV77" s="10"/>
      </tp>
      <tp t="e">
        <v>#N/A</v>
        <stp/>
        <stp>BDH|11605535314252805360</stp>
        <tr r="X74" s="10"/>
      </tp>
      <tp t="e">
        <v>#N/A</v>
        <stp/>
        <stp>BDH|10273275763089863912</stp>
        <tr r="V138" s="10"/>
      </tp>
      <tp t="e">
        <v>#N/A</v>
        <stp/>
        <stp>BDH|16369291230372091158</stp>
        <tr r="M41" s="10"/>
      </tp>
      <tp t="e">
        <v>#N/A</v>
        <stp/>
        <stp>BDH|11590130958874620577</stp>
        <tr r="F78" s="10"/>
      </tp>
      <tp t="e">
        <v>#N/A</v>
        <stp/>
        <stp>BDH|16609389856682535637</stp>
        <tr r="AF67" s="10"/>
      </tp>
      <tp t="e">
        <v>#N/A</v>
        <stp/>
        <stp>BDH|17576519154567969474</stp>
        <tr r="Q17" s="10"/>
      </tp>
      <tp t="e">
        <v>#N/A</v>
        <stp/>
        <stp>BDH|11762632726962824346</stp>
        <tr r="T39" s="10"/>
      </tp>
      <tp t="e">
        <v>#N/A</v>
        <stp/>
        <stp>BDH|10165939136157273980</stp>
        <tr r="AN108" s="10"/>
      </tp>
      <tp t="e">
        <v>#N/A</v>
        <stp/>
        <stp>BDH|11452498062620219732</stp>
        <tr r="F155" s="10"/>
      </tp>
      <tp t="e">
        <v>#N/A</v>
        <stp/>
        <stp>BDH|16654449630664437181</stp>
        <tr r="L63" s="10"/>
      </tp>
      <tp t="e">
        <v>#N/A</v>
        <stp/>
        <stp>BDH|12828154777660167058</stp>
        <tr r="Q71" s="10"/>
      </tp>
      <tp t="e">
        <v>#N/A</v>
        <stp/>
        <stp>BDH|14827625622427053368</stp>
        <tr r="AC81" s="10"/>
      </tp>
      <tp t="e">
        <v>#N/A</v>
        <stp/>
        <stp>BDH|17724440954054071698</stp>
        <tr r="L170" s="10"/>
      </tp>
      <tp t="e">
        <v>#N/A</v>
        <stp/>
        <stp>BDH|17795854609769087253</stp>
        <tr r="C39" s="10"/>
      </tp>
      <tp t="e">
        <v>#N/A</v>
        <stp/>
        <stp>BDH|14812325793608015273</stp>
        <tr r="AQ31" s="10"/>
      </tp>
      <tp t="e">
        <v>#N/A</v>
        <stp/>
        <stp>BDH|18141884968584923667</stp>
        <tr r="AA127" s="10"/>
      </tp>
      <tp t="e">
        <v>#N/A</v>
        <stp/>
        <stp>BDH|11415029313014286096</stp>
        <tr r="G152" s="10"/>
      </tp>
      <tp t="e">
        <v>#N/A</v>
        <stp/>
        <stp>BDH|17935553837360431515</stp>
        <tr r="I170" s="10"/>
      </tp>
      <tp t="e">
        <v>#N/A</v>
        <stp/>
        <stp>BDH|12022662379712304522</stp>
        <tr r="AK137" s="10"/>
      </tp>
      <tp t="s">
        <v>#N/A Requesting Data...4157703946</v>
        <stp/>
        <stp>BDP|12301538473786961353</stp>
        <tr r="O41" s="1"/>
      </tp>
      <tp t="s">
        <v>#N/A Requesting Data...3528488143</v>
        <stp/>
        <stp>BDP|14167357920304346484</stp>
        <tr r="F96" s="2"/>
      </tp>
      <tp t="s">
        <v>#N/A Requesting Data...3247933872</v>
        <stp/>
        <stp>BDP|17381634137551132687</stp>
        <tr r="O39" s="1"/>
      </tp>
    </main>
    <main first="bofaddin.rtdserver">
      <tp t="s">
        <v>#N/A Requesting Data...3085857303</v>
        <stp/>
        <stp>BDP|13749680578367361010</stp>
        <tr r="B19" s="1"/>
      </tp>
      <tp t="s">
        <v>#N/A Requesting Data...2431832934</v>
        <stp/>
        <stp>BDP|16573121752720292700</stp>
        <tr r="G8" s="3"/>
        <tr r="G9" s="3"/>
        <tr r="B20" s="6"/>
        <tr r="H22" s="2"/>
        <tr r="H24" s="2"/>
      </tp>
      <tp t="s">
        <v>#N/A Requesting Data...2542535074</v>
        <stp/>
        <stp>BDP|15432091164415820367</stp>
        <tr r="B36" s="1"/>
      </tp>
      <tp t="e">
        <v>#N/A</v>
        <stp/>
        <stp>BDH|17552329861707164066</stp>
        <tr r="Y149" s="10"/>
      </tp>
      <tp t="e">
        <v>#N/A</v>
        <stp/>
        <stp>BDH|11630330910825370377</stp>
        <tr r="T25" s="10"/>
      </tp>
      <tp t="e">
        <v>#N/A</v>
        <stp/>
        <stp>BDH|12061709719580944115</stp>
        <tr r="AA151" s="10"/>
      </tp>
      <tp t="e">
        <v>#N/A</v>
        <stp/>
        <stp>BDH|11846009256494939563</stp>
        <tr r="AB27" s="10"/>
      </tp>
      <tp t="e">
        <v>#N/A</v>
        <stp/>
        <stp>BDH|10727653940992621552</stp>
        <tr r="O177" s="10"/>
      </tp>
      <tp t="e">
        <v>#N/A</v>
        <stp/>
        <stp>BDH|15780964397161031171</stp>
        <tr r="AR121" s="10"/>
      </tp>
      <tp t="e">
        <v>#N/A</v>
        <stp/>
        <stp>BDH|10434247091938378636</stp>
        <tr r="AI106" s="10"/>
      </tp>
      <tp t="e">
        <v>#N/A</v>
        <stp/>
        <stp>BDH|17070696918107346238</stp>
        <tr r="AE167" s="10"/>
      </tp>
      <tp t="e">
        <v>#N/A</v>
        <stp/>
        <stp>BDH|12859067936693889710</stp>
        <tr r="D158" s="10"/>
      </tp>
      <tp t="e">
        <v>#N/A</v>
        <stp/>
        <stp>BDH|10042384070631160083</stp>
        <tr r="Y114" s="10"/>
      </tp>
      <tp t="e">
        <v>#N/A</v>
        <stp/>
        <stp>BDH|17252202570357171020</stp>
        <tr r="Y77" s="10"/>
      </tp>
      <tp t="e">
        <v>#N/A</v>
        <stp/>
        <stp>BDH|15774479474996631535</stp>
        <tr r="V12" s="10"/>
      </tp>
      <tp t="e">
        <v>#N/A</v>
        <stp/>
        <stp>BDH|18444247468270004990</stp>
        <tr r="AB153" s="10"/>
      </tp>
      <tp t="e">
        <v>#N/A</v>
        <stp/>
        <stp>BDH|14842655239375051157</stp>
        <tr r="U187" s="10"/>
      </tp>
      <tp t="e">
        <v>#N/A</v>
        <stp/>
        <stp>BDH|10495819699631876556</stp>
        <tr r="P147" s="10"/>
      </tp>
      <tp t="e">
        <v>#N/A</v>
        <stp/>
        <stp>BDH|12272780670333230491</stp>
        <tr r="W24" s="10"/>
      </tp>
      <tp t="e">
        <v>#N/A</v>
        <stp/>
        <stp>BDH|17713298666231096794</stp>
        <tr r="AJ115" s="10"/>
      </tp>
      <tp t="e">
        <v>#N/A</v>
        <stp/>
        <stp>BDH|11203366673760249040</stp>
        <tr r="AQ147" s="10"/>
      </tp>
      <tp t="e">
        <v>#N/A</v>
        <stp/>
        <stp>BDH|15445718416801725752</stp>
        <tr r="AO33" s="10"/>
      </tp>
      <tp t="e">
        <v>#N/A</v>
        <stp/>
        <stp>BDH|14930460217305875113</stp>
        <tr r="Y129" s="10"/>
      </tp>
      <tp t="e">
        <v>#N/A</v>
        <stp/>
        <stp>BDH|14302674562560089162</stp>
        <tr r="Y81" s="10"/>
      </tp>
      <tp t="e">
        <v>#N/A</v>
        <stp/>
        <stp>BDH|16400463465927311640</stp>
        <tr r="J65" s="10"/>
      </tp>
      <tp t="e">
        <v>#N/A</v>
        <stp/>
        <stp>BDH|10447231114422435479</stp>
        <tr r="AT38" s="10"/>
      </tp>
      <tp t="e">
        <v>#N/A</v>
        <stp/>
        <stp>BDH|16086002331117221733</stp>
        <tr r="C147" s="10"/>
      </tp>
      <tp t="e">
        <v>#N/A</v>
        <stp/>
        <stp>BDH|16135114955897247071</stp>
        <tr r="F68" s="10"/>
      </tp>
      <tp t="e">
        <v>#N/A</v>
        <stp/>
        <stp>BDH|10813824998694084023</stp>
        <tr r="U128" s="10"/>
      </tp>
      <tp t="e">
        <v>#N/A</v>
        <stp/>
        <stp>BDH|17325029683848691242</stp>
        <tr r="AT181" s="10"/>
      </tp>
      <tp t="e">
        <v>#N/A</v>
        <stp/>
        <stp>BDH|15392826357799575430</stp>
        <tr r="W133" s="10"/>
      </tp>
      <tp t="e">
        <v>#N/A</v>
        <stp/>
        <stp>BDH|13033258141252034247</stp>
        <tr r="AW104" s="10"/>
      </tp>
      <tp t="e">
        <v>#N/A</v>
        <stp/>
        <stp>BDH|11290225523877206318</stp>
        <tr r="AL157" s="10"/>
      </tp>
      <tp t="e">
        <v>#N/A</v>
        <stp/>
        <stp>BDH|15809482045904539404</stp>
        <tr r="X177" s="10"/>
      </tp>
      <tp t="e">
        <v>#N/A</v>
        <stp/>
        <stp>BDH|16188119924570114056</stp>
        <tr r="T106" s="10"/>
      </tp>
      <tp t="e">
        <v>#N/A</v>
        <stp/>
        <stp>BDH|17419100925324917581</stp>
        <tr r="P105" s="10"/>
      </tp>
      <tp t="e">
        <v>#N/A</v>
        <stp/>
        <stp>BDH|13099695149911251521</stp>
        <tr r="Q97" s="10"/>
      </tp>
      <tp t="e">
        <v>#N/A</v>
        <stp/>
        <stp>BDH|17842114681269824201</stp>
        <tr r="H21" s="10"/>
      </tp>
      <tp t="e">
        <v>#N/A</v>
        <stp/>
        <stp>BDH|16208302013300840195</stp>
        <tr r="C142" s="10"/>
      </tp>
      <tp t="e">
        <v>#N/A</v>
        <stp/>
        <stp>BDH|16840547977244903526</stp>
        <tr r="AL163" s="10"/>
      </tp>
      <tp t="e">
        <v>#N/A</v>
        <stp/>
        <stp>BDH|14509148872255679266</stp>
        <tr r="H26" s="10"/>
      </tp>
      <tp t="e">
        <v>#N/A</v>
        <stp/>
        <stp>BDH|15490061367692245441</stp>
        <tr r="Y106" s="10"/>
      </tp>
      <tp t="e">
        <v>#N/A</v>
        <stp/>
        <stp>BDH|10051479335755792769</stp>
        <tr r="AW94" s="10"/>
      </tp>
      <tp t="e">
        <v>#N/A</v>
        <stp/>
        <stp>BDH|13577253611375545079</stp>
        <tr r="N28" s="10"/>
      </tp>
      <tp t="e">
        <v>#N/A</v>
        <stp/>
        <stp>BDH|14134254143086599116</stp>
        <tr r="Q123" s="10"/>
      </tp>
      <tp t="e">
        <v>#N/A</v>
        <stp/>
        <stp>BDH|11168848785236227213</stp>
        <tr r="U193" s="10"/>
      </tp>
      <tp t="e">
        <v>#N/A</v>
        <stp/>
        <stp>BDH|10648532026262899080</stp>
        <tr r="U188" s="10"/>
      </tp>
      <tp t="e">
        <v>#N/A</v>
        <stp/>
        <stp>BDH|17584384706100883108</stp>
        <tr r="AC44" s="10"/>
      </tp>
      <tp t="e">
        <v>#N/A</v>
        <stp/>
        <stp>BDH|18337625978725873925</stp>
        <tr r="AV79" s="10"/>
      </tp>
      <tp t="e">
        <v>#N/A</v>
        <stp/>
        <stp>BDH|12158567744235860387</stp>
        <tr r="AB72" s="10"/>
      </tp>
      <tp t="e">
        <v>#N/A</v>
        <stp/>
        <stp>BDH|13286333731087621158</stp>
        <tr r="AP54" s="10"/>
      </tp>
      <tp t="e">
        <v>#N/A</v>
        <stp/>
        <stp>BDH|10814582081928287003</stp>
        <tr r="T42" s="10"/>
      </tp>
      <tp t="e">
        <v>#N/A</v>
        <stp/>
        <stp>BDH|17570007310654006767</stp>
        <tr r="AP46" s="10"/>
      </tp>
      <tp t="e">
        <v>#N/A</v>
        <stp/>
        <stp>BDH|17299727029315948239</stp>
        <tr r="AA181" s="10"/>
      </tp>
      <tp t="e">
        <v>#N/A</v>
        <stp/>
        <stp>BDH|13759323167734757763</stp>
        <tr r="AV151" s="10"/>
      </tp>
      <tp t="e">
        <v>#N/A</v>
        <stp/>
        <stp>BDH|11458114074245543770</stp>
        <tr r="AE42" s="10"/>
      </tp>
      <tp t="e">
        <v>#N/A</v>
        <stp/>
        <stp>BDH|15897516941829362885</stp>
        <tr r="H87" s="10"/>
      </tp>
      <tp t="e">
        <v>#N/A</v>
        <stp/>
        <stp>BDH|13817790976971665735</stp>
        <tr r="R150" s="10"/>
      </tp>
      <tp t="e">
        <v>#N/A</v>
        <stp/>
        <stp>BDH|16109958386101613363</stp>
        <tr r="AH13" s="10"/>
      </tp>
      <tp t="e">
        <v>#N/A</v>
        <stp/>
        <stp>BDH|14555229893442112870</stp>
        <tr r="U169" s="10"/>
      </tp>
      <tp t="e">
        <v>#N/A</v>
        <stp/>
        <stp>BDH|13147959772819555119</stp>
        <tr r="AB141" s="10"/>
      </tp>
      <tp t="e">
        <v>#N/A</v>
        <stp/>
        <stp>BDH|14623698721642845740</stp>
        <tr r="Q144" s="10"/>
      </tp>
      <tp t="e">
        <v>#N/A</v>
        <stp/>
        <stp>BDH|17144848255016062922</stp>
        <tr r="AC150" s="10"/>
      </tp>
      <tp t="e">
        <v>#N/A</v>
        <stp/>
        <stp>BDH|14229029598169870123</stp>
        <tr r="Y145" s="10"/>
      </tp>
      <tp t="e">
        <v>#N/A</v>
        <stp/>
        <stp>BDH|14422435564270325329</stp>
        <tr r="AK12" s="10"/>
      </tp>
      <tp t="e">
        <v>#N/A</v>
        <stp/>
        <stp>BDH|17365158596023706953</stp>
        <tr r="AR111" s="10"/>
      </tp>
      <tp t="e">
        <v>#N/A</v>
        <stp/>
        <stp>BDH|16753638565796077531</stp>
        <tr r="F170" s="10"/>
      </tp>
      <tp t="e">
        <v>#N/A</v>
        <stp/>
        <stp>BDH|14453715814606770142</stp>
        <tr r="U105" s="10"/>
      </tp>
      <tp t="e">
        <v>#N/A</v>
        <stp/>
        <stp>BDH|14319865612621789929</stp>
        <tr r="AW171" s="10"/>
      </tp>
      <tp t="e">
        <v>#N/A</v>
        <stp/>
        <stp>BDH|16928546708296056071</stp>
        <tr r="AD55" s="10"/>
      </tp>
      <tp t="e">
        <v>#N/A</v>
        <stp/>
        <stp>BDH|11813333678137529740</stp>
        <tr r="AG107" s="10"/>
      </tp>
      <tp t="e">
        <v>#N/A</v>
        <stp/>
        <stp>BDH|10468722326048564873</stp>
        <tr r="AL86" s="10"/>
      </tp>
      <tp t="e">
        <v>#N/A</v>
        <stp/>
        <stp>BDH|10596588178505330246</stp>
        <tr r="AV146" s="10"/>
      </tp>
      <tp t="e">
        <v>#N/A</v>
        <stp/>
        <stp>BDH|16650982228559469104</stp>
        <tr r="AQ22" s="10"/>
      </tp>
      <tp t="e">
        <v>#N/A</v>
        <stp/>
        <stp>BDH|13304710174474715233</stp>
        <tr r="AV123" s="10"/>
      </tp>
      <tp t="e">
        <v>#N/A</v>
        <stp/>
        <stp>BDH|10858061533424805275</stp>
        <tr r="AL161" s="10"/>
      </tp>
      <tp t="e">
        <v>#N/A</v>
        <stp/>
        <stp>BDH|15609902289075836454</stp>
        <tr r="AV179" s="10"/>
      </tp>
      <tp t="e">
        <v>#N/A</v>
        <stp/>
        <stp>BDH|17213173142474541307</stp>
        <tr r="N39" s="10"/>
      </tp>
      <tp t="e">
        <v>#N/A</v>
        <stp/>
        <stp>BDH|11983457768311218749</stp>
        <tr r="AG98" s="10"/>
      </tp>
      <tp t="e">
        <v>#N/A</v>
        <stp/>
        <stp>BDH|15106233322659380919</stp>
        <tr r="AV76" s="10"/>
      </tp>
      <tp t="e">
        <v>#N/A</v>
        <stp/>
        <stp>BDH|18089048897655591134</stp>
        <tr r="M161" s="10"/>
      </tp>
      <tp t="e">
        <v>#N/A</v>
        <stp/>
        <stp>BDH|16880703026427234197</stp>
        <tr r="X191" s="10"/>
      </tp>
      <tp t="e">
        <v>#N/A</v>
        <stp/>
        <stp>BDH|15711529724157707030</stp>
        <tr r="K187" s="10"/>
      </tp>
      <tp t="e">
        <v>#N/A</v>
        <stp/>
        <stp>BDH|17024449120654460052</stp>
        <tr r="AU116" s="10"/>
      </tp>
      <tp t="e">
        <v>#N/A</v>
        <stp/>
        <stp>BDH|15888159719938243834</stp>
        <tr r="F118" s="10"/>
      </tp>
      <tp t="e">
        <v>#N/A</v>
        <stp/>
        <stp>BDH|16046004651120686626</stp>
        <tr r="AP41" s="10"/>
      </tp>
      <tp t="e">
        <v>#N/A</v>
        <stp/>
        <stp>BDH|16471009641090776777</stp>
        <tr r="AT173" s="10"/>
      </tp>
      <tp t="e">
        <v>#N/A</v>
        <stp/>
        <stp>BDH|13624008901384470260</stp>
        <tr r="AC104" s="10"/>
      </tp>
      <tp t="e">
        <v>#N/A</v>
        <stp/>
        <stp>BDH|12399022667777364607</stp>
        <tr r="X117" s="10"/>
      </tp>
      <tp t="e">
        <v>#N/A</v>
        <stp/>
        <stp>BDH|11927788253090576621</stp>
        <tr r="X189" s="10"/>
      </tp>
      <tp t="e">
        <v>#N/A</v>
        <stp/>
        <stp>BDH|14852324186309055394</stp>
        <tr r="W86" s="10"/>
      </tp>
      <tp t="e">
        <v>#N/A</v>
        <stp/>
        <stp>BDH|12068424831012325252</stp>
        <tr r="AN76" s="10"/>
      </tp>
      <tp t="e">
        <v>#N/A</v>
        <stp/>
        <stp>BDH|17779697518771359400</stp>
        <tr r="Z23" s="10"/>
      </tp>
      <tp t="e">
        <v>#N/A</v>
        <stp/>
        <stp>BDH|18244517215409637055</stp>
        <tr r="V91" s="10"/>
      </tp>
      <tp t="e">
        <v>#N/A</v>
        <stp/>
        <stp>BDH|17002564031851284505</stp>
        <tr r="AS3" s="10"/>
      </tp>
      <tp t="e">
        <v>#N/A</v>
        <stp/>
        <stp>BDH|12578452970326499218</stp>
        <tr r="AL30" s="10"/>
      </tp>
      <tp t="e">
        <v>#N/A</v>
        <stp/>
        <stp>BDH|11791577757392216609</stp>
        <tr r="N73" s="10"/>
      </tp>
      <tp t="e">
        <v>#N/A</v>
        <stp/>
        <stp>BDH|10269110515781248411</stp>
        <tr r="K22" s="10"/>
      </tp>
      <tp t="e">
        <v>#N/A</v>
        <stp/>
        <stp>BDH|17763148096849102312</stp>
        <tr r="F156" s="10"/>
      </tp>
      <tp t="e">
        <v>#N/A</v>
        <stp/>
        <stp>BDH|17142367264774737313</stp>
        <tr r="O9" s="10"/>
      </tp>
      <tp t="e">
        <v>#N/A</v>
        <stp/>
        <stp>BDH|14466611965698298962</stp>
        <tr r="AV169" s="10"/>
      </tp>
      <tp t="e">
        <v>#N/A</v>
        <stp/>
        <stp>BDH|10871429835656353484</stp>
        <tr r="AN116" s="10"/>
      </tp>
      <tp t="e">
        <v>#N/A</v>
        <stp/>
        <stp>BDH|17694718109946296389</stp>
        <tr r="W30" s="10"/>
      </tp>
      <tp t="e">
        <v>#N/A</v>
        <stp/>
        <stp>BDH|12349078816396165076</stp>
        <tr r="N153" s="10"/>
      </tp>
      <tp t="e">
        <v>#N/A</v>
        <stp/>
        <stp>BDH|13332747710312608258</stp>
        <tr r="AK35" s="10"/>
      </tp>
      <tp t="e">
        <v>#N/A</v>
        <stp/>
        <stp>BDH|12830655674627981147</stp>
        <tr r="O42" s="10"/>
      </tp>
      <tp t="e">
        <v>#N/A</v>
        <stp/>
        <stp>BDH|17156133307225052612</stp>
        <tr r="AV110" s="10"/>
      </tp>
      <tp t="e">
        <v>#N/A</v>
        <stp/>
        <stp>BDH|17515009670135499052</stp>
        <tr r="Z131" s="10"/>
      </tp>
      <tp t="e">
        <v>#N/A</v>
        <stp/>
        <stp>BDH|15311879593862615353</stp>
        <tr r="AM58" s="10"/>
      </tp>
      <tp t="e">
        <v>#N/A</v>
        <stp/>
        <stp>BDH|16097638727242282529</stp>
        <tr r="AL190" s="10"/>
      </tp>
      <tp t="e">
        <v>#N/A</v>
        <stp/>
        <stp>BDH|17183524621442085761</stp>
        <tr r="Z121" s="10"/>
      </tp>
      <tp t="e">
        <v>#N/A</v>
        <stp/>
        <stp>BDH|10092970357111191851</stp>
        <tr r="AG40" s="10"/>
      </tp>
      <tp t="e">
        <v>#N/A</v>
        <stp/>
        <stp>BDH|10839344155656540583</stp>
        <tr r="AM184" s="10"/>
      </tp>
      <tp t="e">
        <v>#N/A</v>
        <stp/>
        <stp>BDH|17414358508215945449</stp>
        <tr r="AU135" s="10"/>
      </tp>
      <tp t="e">
        <v>#N/A</v>
        <stp/>
        <stp>BDH|12025576772604149103</stp>
        <tr r="AI50" s="10"/>
      </tp>
      <tp t="e">
        <v>#N/A</v>
        <stp/>
        <stp>BDH|13998608258117251270</stp>
        <tr r="AL189" s="10"/>
      </tp>
      <tp t="e">
        <v>#N/A</v>
        <stp/>
        <stp>BDH|16074105340587528110</stp>
        <tr r="AL11" s="10"/>
      </tp>
      <tp t="e">
        <v>#N/A</v>
        <stp/>
        <stp>BDH|11947056437303849471</stp>
        <tr r="D66" s="10"/>
      </tp>
      <tp t="e">
        <v>#N/A</v>
        <stp/>
        <stp>BDH|17303717726026063105</stp>
        <tr r="AA184" s="10"/>
      </tp>
      <tp t="e">
        <v>#N/A</v>
        <stp/>
        <stp>BDH|10601851391026047261</stp>
        <tr r="AJ174" s="10"/>
      </tp>
      <tp t="e">
        <v>#N/A</v>
        <stp/>
        <stp>BDH|14892900084308287898</stp>
        <tr r="V85" s="10"/>
      </tp>
      <tp t="e">
        <v>#N/A</v>
        <stp/>
        <stp>BDH|17554351797801549951</stp>
        <tr r="AU122" s="10"/>
      </tp>
      <tp t="e">
        <v>#N/A</v>
        <stp/>
        <stp>BDH|17567935471929015502</stp>
        <tr r="AQ15" s="10"/>
      </tp>
      <tp t="e">
        <v>#N/A</v>
        <stp/>
        <stp>BDH|18077328050779020252</stp>
        <tr r="AH101" s="10"/>
      </tp>
      <tp t="e">
        <v>#N/A</v>
        <stp/>
        <stp>BDH|18151954253606216728</stp>
        <tr r="AW61" s="10"/>
      </tp>
      <tp t="e">
        <v>#N/A</v>
        <stp/>
        <stp>BDH|14741939982869015918</stp>
        <tr r="AK9" s="10"/>
      </tp>
      <tp t="e">
        <v>#N/A</v>
        <stp/>
        <stp>BDH|16104140450880452761</stp>
        <tr r="AH170" s="10"/>
      </tp>
      <tp t="e">
        <v>#N/A</v>
        <stp/>
        <stp>BDH|13488228701047770375</stp>
        <tr r="AU4" s="10"/>
      </tp>
      <tp t="e">
        <v>#N/A</v>
        <stp/>
        <stp>BDH|16641561950550538321</stp>
        <tr r="O121" s="10"/>
      </tp>
      <tp t="e">
        <v>#N/A</v>
        <stp/>
        <stp>BDH|12418575925363137305</stp>
        <tr r="J24" s="10"/>
      </tp>
      <tp t="e">
        <v>#N/A</v>
        <stp/>
        <stp>BDH|18210165839549907636</stp>
        <tr r="AD18" s="10"/>
      </tp>
      <tp t="e">
        <v>#N/A</v>
        <stp/>
        <stp>BDH|10572294775192615285</stp>
        <tr r="AM120" s="10"/>
      </tp>
      <tp t="e">
        <v>#N/A</v>
        <stp/>
        <stp>BDH|10500043945700571165</stp>
        <tr r="G12" s="10"/>
      </tp>
      <tp t="e">
        <v>#N/A</v>
        <stp/>
        <stp>BDH|14865080148740641593</stp>
        <tr r="P52" s="10"/>
      </tp>
      <tp t="e">
        <v>#N/A</v>
        <stp/>
        <stp>BDH|15833342079067042320</stp>
        <tr r="T33" s="10"/>
      </tp>
      <tp t="e">
        <v>#N/A</v>
        <stp/>
        <stp>BDH|13755468094912654944</stp>
        <tr r="E29" s="10"/>
      </tp>
      <tp t="e">
        <v>#N/A</v>
        <stp/>
        <stp>BDH|13494623775135367279</stp>
        <tr r="D136" s="10"/>
      </tp>
      <tp t="e">
        <v>#N/A</v>
        <stp/>
        <stp>BDH|15128716476576981692</stp>
        <tr r="S64" s="10"/>
      </tp>
      <tp t="e">
        <v>#N/A</v>
        <stp/>
        <stp>BDH|12592034111557032110</stp>
        <tr r="AD28" s="10"/>
      </tp>
      <tp t="e">
        <v>#N/A</v>
        <stp/>
        <stp>BDH|12242509260606558214</stp>
        <tr r="AL138" s="10"/>
      </tp>
      <tp t="e">
        <v>#N/A</v>
        <stp/>
        <stp>BDH|17239159254480632637</stp>
        <tr r="AN134" s="10"/>
      </tp>
      <tp t="e">
        <v>#N/A</v>
        <stp/>
        <stp>BDH|14511760529304998052</stp>
        <tr r="Y147" s="10"/>
      </tp>
      <tp t="e">
        <v>#N/A</v>
        <stp/>
        <stp>BDH|10085778171084394130</stp>
        <tr r="AE43" s="10"/>
      </tp>
      <tp t="e">
        <v>#N/A</v>
        <stp/>
        <stp>BDH|16122396905321987120</stp>
        <tr r="AQ58" s="10"/>
      </tp>
      <tp t="e">
        <v>#N/A</v>
        <stp/>
        <stp>BDH|11279305934954541050</stp>
        <tr r="AQ30" s="10"/>
      </tp>
      <tp t="e">
        <v>#N/A</v>
        <stp/>
        <stp>BDH|14321076377022522408</stp>
        <tr r="AU70" s="10"/>
      </tp>
      <tp t="e">
        <v>#N/A</v>
        <stp/>
        <stp>BDH|16165256382568304139</stp>
        <tr r="AD33" s="10"/>
      </tp>
      <tp t="e">
        <v>#N/A</v>
        <stp/>
        <stp>BDH|15112468503514604040</stp>
        <tr r="I162" s="10"/>
      </tp>
      <tp t="e">
        <v>#N/A</v>
        <stp/>
        <stp>BDH|10428506054102349752</stp>
        <tr r="AI20" s="10"/>
      </tp>
      <tp t="e">
        <v>#N/A</v>
        <stp/>
        <stp>BDH|12902115088096600807</stp>
        <tr r="AM60" s="10"/>
      </tp>
      <tp t="e">
        <v>#N/A</v>
        <stp/>
        <stp>BDH|17713312874194128252</stp>
        <tr r="Q146" s="10"/>
      </tp>
      <tp t="e">
        <v>#N/A</v>
        <stp/>
        <stp>BDH|14212212322771041072</stp>
        <tr r="R102" s="10"/>
      </tp>
      <tp t="e">
        <v>#N/A</v>
        <stp/>
        <stp>BDH|14133596974593373096</stp>
        <tr r="F50" s="10"/>
      </tp>
      <tp t="e">
        <v>#N/A</v>
        <stp/>
        <stp>BDH|17268469207920600636</stp>
        <tr r="T89" s="10"/>
      </tp>
      <tp t="e">
        <v>#N/A</v>
        <stp/>
        <stp>BDH|18038810941949135879</stp>
        <tr r="AP23" s="10"/>
      </tp>
      <tp t="e">
        <v>#N/A</v>
        <stp/>
        <stp>BDH|16976984894222321105</stp>
        <tr r="AF120" s="10"/>
      </tp>
      <tp t="e">
        <v>#N/A</v>
        <stp/>
        <stp>BDH|10214249114966448003</stp>
        <tr r="X143" s="10"/>
      </tp>
      <tp t="e">
        <v>#N/A</v>
        <stp/>
        <stp>BDH|15440686894599751694</stp>
        <tr r="T156" s="10"/>
      </tp>
      <tp t="e">
        <v>#N/A</v>
        <stp/>
        <stp>BDH|15556534404404260165</stp>
        <tr r="Q120" s="10"/>
      </tp>
      <tp t="e">
        <v>#N/A</v>
        <stp/>
        <stp>BDH|12344112775128818993</stp>
        <tr r="AT16" s="10"/>
      </tp>
      <tp t="e">
        <v>#N/A</v>
        <stp/>
        <stp>BDH|15259375669774960134</stp>
        <tr r="D14" s="10"/>
      </tp>
      <tp t="e">
        <v>#N/A</v>
        <stp/>
        <stp>BDH|17504023728838881816</stp>
        <tr r="AT24" s="10"/>
      </tp>
      <tp t="e">
        <v>#N/A</v>
        <stp/>
        <stp>BDH|16522764359202423383</stp>
        <tr r="AM127" s="10"/>
      </tp>
      <tp t="e">
        <v>#N/A</v>
        <stp/>
        <stp>BDH|14097775672814359505</stp>
        <tr r="AG12" s="10"/>
      </tp>
      <tp t="e">
        <v>#N/A</v>
        <stp/>
        <stp>BDH|15635790717156881090</stp>
        <tr r="AM39" s="10"/>
      </tp>
      <tp t="e">
        <v>#N/A</v>
        <stp/>
        <stp>BDH|17890348274132085410</stp>
        <tr r="Y48" s="10"/>
      </tp>
      <tp t="e">
        <v>#N/A</v>
        <stp/>
        <stp>BDH|18083973469683377145</stp>
        <tr r="AK85" s="10"/>
      </tp>
      <tp t="e">
        <v>#N/A</v>
        <stp/>
        <stp>BDH|16972846792971077360</stp>
        <tr r="U116" s="10"/>
      </tp>
      <tp t="e">
        <v>#N/A</v>
        <stp/>
        <stp>BDH|15590075593198059186</stp>
        <tr r="AR5" s="10"/>
      </tp>
      <tp t="e">
        <v>#N/A</v>
        <stp/>
        <stp>BDH|14395418542908112987</stp>
        <tr r="AL43" s="10"/>
      </tp>
      <tp t="e">
        <v>#N/A</v>
        <stp/>
        <stp>BDH|14415186662925654316</stp>
        <tr r="E69" s="10"/>
      </tp>
      <tp t="e">
        <v>#N/A</v>
        <stp/>
        <stp>BDH|16232494933565187106</stp>
        <tr r="H49" s="10"/>
      </tp>
      <tp t="e">
        <v>#N/A</v>
        <stp/>
        <stp>BDH|16314030730921965102</stp>
        <tr r="AC179" s="10"/>
      </tp>
      <tp t="e">
        <v>#N/A</v>
        <stp/>
        <stp>BDH|12377609782430102996</stp>
        <tr r="AP90" s="10"/>
      </tp>
      <tp t="e">
        <v>#N/A</v>
        <stp/>
        <stp>BDH|13327577954320923606</stp>
        <tr r="G5" s="10"/>
      </tp>
      <tp t="e">
        <v>#N/A</v>
        <stp/>
        <stp>BDH|14803376144227032125</stp>
        <tr r="AN146" s="10"/>
      </tp>
      <tp t="e">
        <v>#N/A</v>
        <stp/>
        <stp>BDH|17136907784671443281</stp>
        <tr r="AB105" s="10"/>
      </tp>
      <tp t="e">
        <v>#N/A</v>
        <stp/>
        <stp>BDH|17089512658684631668</stp>
        <tr r="AQ44" s="10"/>
      </tp>
      <tp t="e">
        <v>#N/A</v>
        <stp/>
        <stp>BDH|11931629580039444369</stp>
        <tr r="Z119" s="10"/>
      </tp>
      <tp t="e">
        <v>#N/A</v>
        <stp/>
        <stp>BDH|14625069837903654183</stp>
        <tr r="M67" s="10"/>
      </tp>
      <tp t="e">
        <v>#N/A</v>
        <stp/>
        <stp>BDH|12975696350293864711</stp>
        <tr r="P119" s="10"/>
      </tp>
      <tp t="e">
        <v>#N/A</v>
        <stp/>
        <stp>BDH|17284768567282253183</stp>
        <tr r="W189" s="10"/>
      </tp>
      <tp t="e">
        <v>#N/A</v>
        <stp/>
        <stp>BDH|15160262772392409783</stp>
        <tr r="AB73" s="10"/>
      </tp>
      <tp t="e">
        <v>#N/A</v>
        <stp/>
        <stp>BDH|12649080290958618618</stp>
        <tr r="AV62" s="10"/>
      </tp>
      <tp t="e">
        <v>#N/A</v>
        <stp/>
        <stp>BDH|18229298762351766864</stp>
        <tr r="Q5" s="10"/>
      </tp>
      <tp t="e">
        <v>#N/A</v>
        <stp/>
        <stp>BDH|17959769676317467551</stp>
        <tr r="S36" s="10"/>
      </tp>
      <tp t="e">
        <v>#N/A</v>
        <stp/>
        <stp>BDH|15850439615715061065</stp>
        <tr r="AN33" s="10"/>
      </tp>
      <tp t="e">
        <v>#N/A</v>
        <stp/>
        <stp>BDH|12442408935694001495</stp>
        <tr r="AT178" s="10"/>
      </tp>
      <tp t="e">
        <v>#N/A</v>
        <stp/>
        <stp>BDH|16395645164496352583</stp>
        <tr r="H50" s="10"/>
      </tp>
      <tp t="e">
        <v>#N/A</v>
        <stp/>
        <stp>BDH|15939040702972369242</stp>
        <tr r="I96" s="10"/>
      </tp>
      <tp t="e">
        <v>#N/A</v>
        <stp/>
        <stp>BDH|13049595358894832217</stp>
        <tr r="W172" s="10"/>
      </tp>
      <tp t="e">
        <v>#N/A</v>
        <stp/>
        <stp>BDH|14158645347365274688</stp>
        <tr r="AF6" s="10"/>
      </tp>
      <tp t="e">
        <v>#N/A</v>
        <stp/>
        <stp>BDH|17950760542415095454</stp>
        <tr r="J45" s="10"/>
      </tp>
      <tp t="e">
        <v>#N/A</v>
        <stp/>
        <stp>BDH|13273102370749280989</stp>
        <tr r="O182" s="10"/>
      </tp>
      <tp t="e">
        <v>#N/A</v>
        <stp/>
        <stp>BDH|10707757359125525266</stp>
        <tr r="H90" s="10"/>
      </tp>
      <tp t="e">
        <v>#N/A</v>
        <stp/>
        <stp>BDH|14888319973732107737</stp>
        <tr r="Y111" s="10"/>
      </tp>
      <tp t="e">
        <v>#N/A</v>
        <stp/>
        <stp>BDH|10388167410876426395</stp>
        <tr r="S164" s="10"/>
      </tp>
      <tp t="e">
        <v>#N/A</v>
        <stp/>
        <stp>BDH|14492588920220770634</stp>
        <tr r="AN135" s="10"/>
      </tp>
      <tp t="e">
        <v>#N/A</v>
        <stp/>
        <stp>BDH|13655031250630835356</stp>
        <tr r="AG7" s="10"/>
      </tp>
      <tp t="e">
        <v>#N/A</v>
        <stp/>
        <stp>BDH|17411553788719388628</stp>
        <tr r="Q76" s="10"/>
      </tp>
      <tp t="e">
        <v>#N/A</v>
        <stp/>
        <stp>BDH|13361426823478879827</stp>
        <tr r="H30" s="10"/>
      </tp>
      <tp t="e">
        <v>#N/A</v>
        <stp/>
        <stp>BDH|17343263383089879164</stp>
        <tr r="I161" s="10"/>
      </tp>
      <tp t="e">
        <v>#N/A</v>
        <stp/>
        <stp>BDH|15523358479906707258</stp>
        <tr r="AN157" s="10"/>
      </tp>
      <tp t="e">
        <v>#N/A</v>
        <stp/>
        <stp>BDH|16416124738817608637</stp>
        <tr r="T180" s="10"/>
      </tp>
      <tp t="e">
        <v>#N/A</v>
        <stp/>
        <stp>BDH|15160294722940002011</stp>
        <tr r="AU174" s="10"/>
      </tp>
      <tp t="e">
        <v>#N/A</v>
        <stp/>
        <stp>BDH|13252383435315052349</stp>
        <tr r="AO70" s="10"/>
      </tp>
      <tp t="e">
        <v>#N/A</v>
        <stp/>
        <stp>BDH|16300951819078709338</stp>
        <tr r="Y133" s="10"/>
      </tp>
      <tp t="e">
        <v>#N/A</v>
        <stp/>
        <stp>BDH|15422752588828172730</stp>
        <tr r="AU24" s="10"/>
      </tp>
      <tp t="e">
        <v>#N/A</v>
        <stp/>
        <stp>BDH|12165806148433334819</stp>
        <tr r="AD186" s="10"/>
      </tp>
      <tp t="e">
        <v>#N/A</v>
        <stp/>
        <stp>BDH|16413846575354784891</stp>
        <tr r="AF45" s="10"/>
      </tp>
      <tp t="e">
        <v>#N/A</v>
        <stp/>
        <stp>BDH|11095835279239919283</stp>
        <tr r="AC13" s="10"/>
      </tp>
      <tp t="e">
        <v>#N/A</v>
        <stp/>
        <stp>BDH|17220646674511879215</stp>
        <tr r="AT105" s="10"/>
      </tp>
      <tp t="e">
        <v>#N/A</v>
        <stp/>
        <stp>BDH|12462992488260625687</stp>
        <tr r="AK78" s="10"/>
      </tp>
      <tp t="e">
        <v>#N/A</v>
        <stp/>
        <stp>BDH|10943388630831237485</stp>
        <tr r="H137" s="10"/>
      </tp>
      <tp t="e">
        <v>#N/A</v>
        <stp/>
        <stp>BDH|13877365462391027272</stp>
        <tr r="P75" s="10"/>
      </tp>
      <tp t="e">
        <v>#N/A</v>
        <stp/>
        <stp>BDH|10845511926756654427</stp>
        <tr r="C58" s="10"/>
      </tp>
      <tp t="e">
        <v>#N/A</v>
        <stp/>
        <stp>BDH|11146386265602423336</stp>
        <tr r="V142" s="10"/>
      </tp>
      <tp t="e">
        <v>#N/A</v>
        <stp/>
        <stp>BDH|17774752959033612363</stp>
        <tr r="E87" s="10"/>
      </tp>
      <tp t="e">
        <v>#N/A</v>
        <stp/>
        <stp>BDH|14679945688071216135</stp>
        <tr r="P158" s="10"/>
      </tp>
      <tp t="e">
        <v>#N/A</v>
        <stp/>
        <stp>BDH|16495142955401834668</stp>
        <tr r="N157" s="10"/>
      </tp>
      <tp t="e">
        <v>#N/A</v>
        <stp/>
        <stp>BDH|13198529054476993046</stp>
        <tr r="V131" s="10"/>
      </tp>
      <tp t="e">
        <v>#N/A</v>
        <stp/>
        <stp>BDH|17555089060197562320</stp>
        <tr r="V30" s="10"/>
      </tp>
      <tp t="e">
        <v>#N/A</v>
        <stp/>
        <stp>BDH|15503780229587678289</stp>
        <tr r="K30" s="10"/>
      </tp>
      <tp t="e">
        <v>#N/A</v>
        <stp/>
        <stp>BDH|11749383786248696755</stp>
        <tr r="AQ55" s="10"/>
      </tp>
      <tp t="e">
        <v>#N/A</v>
        <stp/>
        <stp>BDH|14519849518270130820</stp>
        <tr r="AH108" s="10"/>
      </tp>
      <tp t="e">
        <v>#N/A</v>
        <stp/>
        <stp>BDH|14690088190008097041</stp>
        <tr r="AO157" s="10"/>
      </tp>
      <tp t="e">
        <v>#N/A</v>
        <stp/>
        <stp>BDH|14770505309827654327</stp>
        <tr r="AU41" s="10"/>
      </tp>
      <tp t="e">
        <v>#N/A</v>
        <stp/>
        <stp>BDH|11866253906367691170</stp>
        <tr r="AH10" s="10"/>
      </tp>
      <tp t="e">
        <v>#N/A</v>
        <stp/>
        <stp>BDH|17828149987039517245</stp>
        <tr r="E184" s="10"/>
      </tp>
      <tp t="e">
        <v>#N/A</v>
        <stp/>
        <stp>BDH|16551656748839120837</stp>
        <tr r="AD79" s="10"/>
      </tp>
      <tp t="e">
        <v>#N/A</v>
        <stp/>
        <stp>BDH|16843186137217983646</stp>
        <tr r="K190" s="10"/>
      </tp>
      <tp t="e">
        <v>#N/A</v>
        <stp/>
        <stp>BDH|16976238093289693159</stp>
        <tr r="D170" s="10"/>
      </tp>
      <tp t="e">
        <v>#N/A</v>
        <stp/>
        <stp>BDH|13713954228285631866</stp>
        <tr r="AV119" s="10"/>
      </tp>
      <tp t="e">
        <v>#N/A</v>
        <stp/>
        <stp>BDH|13970477165770659474</stp>
        <tr r="U138" s="10"/>
      </tp>
      <tp t="e">
        <v>#N/A</v>
        <stp/>
        <stp>BDH|18434574129052609862</stp>
        <tr r="AC153" s="10"/>
      </tp>
      <tp t="e">
        <v>#N/A</v>
        <stp/>
        <stp>BDH|11678019877002230188</stp>
        <tr r="P148" s="10"/>
      </tp>
      <tp t="e">
        <v>#N/A</v>
        <stp/>
        <stp>BDH|16475795147668888888</stp>
        <tr r="AT53" s="10"/>
      </tp>
      <tp t="e">
        <v>#N/A</v>
        <stp/>
        <stp>BDH|17591195024867471618</stp>
        <tr r="V39" s="10"/>
      </tp>
      <tp t="e">
        <v>#N/A</v>
        <stp/>
        <stp>BDH|15762592941424688542</stp>
        <tr r="AO156" s="10"/>
      </tp>
      <tp t="e">
        <v>#N/A</v>
        <stp/>
        <stp>BDH|11398092525365262307</stp>
        <tr r="AQ118" s="10"/>
      </tp>
      <tp t="e">
        <v>#N/A</v>
        <stp/>
        <stp>BDH|11345345535820952464</stp>
        <tr r="AV130" s="10"/>
      </tp>
      <tp t="e">
        <v>#N/A</v>
        <stp/>
        <stp>BDH|17573377511955969570</stp>
        <tr r="V118" s="10"/>
      </tp>
      <tp t="e">
        <v>#N/A</v>
        <stp/>
        <stp>BDH|15735088346746299266</stp>
        <tr r="AO81" s="10"/>
      </tp>
      <tp t="e">
        <v>#N/A</v>
        <stp/>
        <stp>BDH|15146934534618224297</stp>
        <tr r="X175" s="10"/>
      </tp>
      <tp t="e">
        <v>#N/A</v>
        <stp/>
        <stp>BDH|11776084785839719508</stp>
        <tr r="W152" s="10"/>
      </tp>
      <tp t="e">
        <v>#N/A</v>
        <stp/>
        <stp>BDH|12779220743898846939</stp>
        <tr r="G143" s="10"/>
      </tp>
      <tp t="e">
        <v>#N/A</v>
        <stp/>
        <stp>BDH|15904760874345552537</stp>
        <tr r="N33" s="10"/>
      </tp>
      <tp t="e">
        <v>#N/A</v>
        <stp/>
        <stp>BDH|17340267108760761072</stp>
        <tr r="X119" s="10"/>
      </tp>
      <tp t="e">
        <v>#N/A</v>
        <stp/>
        <stp>BDH|12281519958114229344</stp>
        <tr r="AE179" s="10"/>
      </tp>
      <tp t="e">
        <v>#N/A</v>
        <stp/>
        <stp>BDH|17769437047055737797</stp>
        <tr r="X64" s="10"/>
      </tp>
      <tp t="e">
        <v>#N/A</v>
        <stp/>
        <stp>BDH|17136535474957890733</stp>
        <tr r="AN39" s="10"/>
      </tp>
      <tp t="e">
        <v>#N/A</v>
        <stp/>
        <stp>BDH|16330171524655521582</stp>
        <tr r="V126" s="10"/>
      </tp>
      <tp t="e">
        <v>#N/A</v>
        <stp/>
        <stp>BDH|13726264846690908029</stp>
        <tr r="N103" s="10"/>
      </tp>
      <tp t="e">
        <v>#N/A</v>
        <stp/>
        <stp>BDH|10437660159985566325</stp>
        <tr r="L37" s="10"/>
      </tp>
      <tp t="e">
        <v>#N/A</v>
        <stp/>
        <stp>BDH|15995629165262423269</stp>
        <tr r="AP139" s="10"/>
      </tp>
      <tp t="e">
        <v>#N/A</v>
        <stp/>
        <stp>BDH|17303407353462433188</stp>
        <tr r="G127" s="10"/>
      </tp>
      <tp t="e">
        <v>#N/A</v>
        <stp/>
        <stp>BDH|18283879779613528158</stp>
        <tr r="W150" s="10"/>
      </tp>
      <tp t="e">
        <v>#N/A</v>
        <stp/>
        <stp>BDH|15554591254196045642</stp>
        <tr r="O118" s="10"/>
      </tp>
      <tp t="e">
        <v>#N/A</v>
        <stp/>
        <stp>BDH|15659794523106420340</stp>
        <tr r="AR59" s="10"/>
      </tp>
      <tp t="e">
        <v>#N/A</v>
        <stp/>
        <stp>BDH|15644860420813597997</stp>
        <tr r="AD127" s="10"/>
      </tp>
      <tp t="e">
        <v>#N/A</v>
        <stp/>
        <stp>BDH|16612663937991882732</stp>
        <tr r="Z45" s="10"/>
      </tp>
      <tp t="e">
        <v>#N/A</v>
        <stp/>
        <stp>BDH|15239911087292042385</stp>
        <tr r="W154" s="10"/>
      </tp>
      <tp t="e">
        <v>#N/A</v>
        <stp/>
        <stp>BDH|16242366977035846271</stp>
        <tr r="AT156" s="10"/>
      </tp>
      <tp t="e">
        <v>#N/A</v>
        <stp/>
        <stp>BDH|10732750692959892244</stp>
        <tr r="AI8" s="10"/>
      </tp>
      <tp t="e">
        <v>#N/A</v>
        <stp/>
        <stp>BDH|10853465182511245827</stp>
        <tr r="G191" s="10"/>
      </tp>
      <tp t="e">
        <v>#N/A</v>
        <stp/>
        <stp>BDH|16026152209751243325</stp>
        <tr r="AQ133" s="10"/>
      </tp>
      <tp t="e">
        <v>#N/A</v>
        <stp/>
        <stp>BDH|18438190650020861991</stp>
        <tr r="M90" s="10"/>
      </tp>
      <tp t="e">
        <v>#N/A</v>
        <stp/>
        <stp>BDH|17931069121365382515</stp>
        <tr r="AC24" s="10"/>
      </tp>
      <tp t="e">
        <v>#N/A</v>
        <stp/>
        <stp>BDH|16227029149405531208</stp>
        <tr r="AV5" s="10"/>
      </tp>
      <tp t="e">
        <v>#N/A</v>
        <stp/>
        <stp>BDH|16724896518972291880</stp>
        <tr r="AN104" s="10"/>
      </tp>
      <tp t="e">
        <v>#N/A</v>
        <stp/>
        <stp>BDH|17380238765651388795</stp>
        <tr r="F83" s="10"/>
      </tp>
      <tp t="e">
        <v>#N/A</v>
        <stp/>
        <stp>BDH|10771368134016873323</stp>
        <tr r="T13" s="10"/>
      </tp>
      <tp t="e">
        <v>#N/A</v>
        <stp/>
        <stp>BDH|11571456560945874375</stp>
        <tr r="AH129" s="10"/>
      </tp>
      <tp t="e">
        <v>#N/A</v>
        <stp/>
        <stp>BDH|14605010214226589692</stp>
        <tr r="AV42" s="10"/>
      </tp>
      <tp t="e">
        <v>#N/A</v>
        <stp/>
        <stp>BDH|12629211853923368384</stp>
        <tr r="AW52" s="10"/>
      </tp>
      <tp t="e">
        <v>#N/A</v>
        <stp/>
        <stp>BDH|10567955172373414899</stp>
        <tr r="AJ188" s="10"/>
      </tp>
      <tp t="e">
        <v>#N/A</v>
        <stp/>
        <stp>BDH|16189523210186461183</stp>
        <tr r="R171" s="10"/>
      </tp>
      <tp t="e">
        <v>#N/A</v>
        <stp/>
        <stp>BDH|11889534966162626541</stp>
        <tr r="F112" s="10"/>
      </tp>
      <tp t="e">
        <v>#N/A</v>
        <stp/>
        <stp>BDH|11008151948111073029</stp>
        <tr r="N46" s="10"/>
      </tp>
      <tp t="e">
        <v>#N/A</v>
        <stp/>
        <stp>BDH|13099133661778934943</stp>
        <tr r="Z38" s="10"/>
      </tp>
      <tp t="e">
        <v>#N/A</v>
        <stp/>
        <stp>BDH|10117890015664728858</stp>
        <tr r="AH28" s="10"/>
      </tp>
      <tp t="e">
        <v>#N/A</v>
        <stp/>
        <stp>BDH|13045370936631971779</stp>
        <tr r="AF9" s="10"/>
      </tp>
      <tp t="e">
        <v>#N/A</v>
        <stp/>
        <stp>BDH|14965135951310681529</stp>
        <tr r="AE114" s="10"/>
      </tp>
      <tp t="e">
        <v>#N/A</v>
        <stp/>
        <stp>BDH|12853299713536884250</stp>
        <tr r="AH29" s="10"/>
      </tp>
      <tp t="e">
        <v>#N/A</v>
        <stp/>
        <stp>BDH|12868032875143579342</stp>
        <tr r="P126" s="10"/>
      </tp>
      <tp t="e">
        <v>#N/A</v>
        <stp/>
        <stp>BDH|16771471738262369642</stp>
        <tr r="U124" s="10"/>
      </tp>
      <tp t="e">
        <v>#N/A</v>
        <stp/>
        <stp>BDH|10867466203272328310</stp>
        <tr r="AP78" s="10"/>
      </tp>
      <tp t="e">
        <v>#N/A</v>
        <stp/>
        <stp>BDH|16466302104086775684</stp>
        <tr r="AW127" s="10"/>
      </tp>
      <tp t="e">
        <v>#N/A</v>
        <stp/>
        <stp>BDH|14736047213711822176</stp>
        <tr r="AQ145" s="10"/>
      </tp>
      <tp t="e">
        <v>#N/A</v>
        <stp/>
        <stp>BDH|12506397933040505751</stp>
        <tr r="R48" s="10"/>
      </tp>
      <tp t="e">
        <v>#N/A</v>
        <stp/>
        <stp>BDH|11670714700252079180</stp>
        <tr r="AF46" s="10"/>
      </tp>
      <tp t="e">
        <v>#N/A</v>
        <stp/>
        <stp>BDH|17794076268493754708</stp>
        <tr r="AV111" s="10"/>
      </tp>
      <tp t="e">
        <v>#N/A</v>
        <stp/>
        <stp>BDH|15133200230167610686</stp>
        <tr r="O65" s="10"/>
      </tp>
      <tp t="e">
        <v>#N/A</v>
        <stp/>
        <stp>BDH|12647839469878434172</stp>
        <tr r="AE75" s="10"/>
      </tp>
      <tp t="e">
        <v>#N/A</v>
        <stp/>
        <stp>BDH|16812542605082011479</stp>
        <tr r="AF178" s="10"/>
      </tp>
      <tp t="e">
        <v>#N/A</v>
        <stp/>
        <stp>BDH|10612412059923239722</stp>
        <tr r="AF103" s="10"/>
      </tp>
      <tp t="e">
        <v>#N/A</v>
        <stp/>
        <stp>BDH|13034314107747832209</stp>
        <tr r="AU67" s="10"/>
      </tp>
      <tp t="e">
        <v>#N/A</v>
        <stp/>
        <stp>BDH|17942769310097618375</stp>
        <tr r="AN44" s="10"/>
      </tp>
      <tp t="e">
        <v>#N/A</v>
        <stp/>
        <stp>BDH|17606239505061659184</stp>
        <tr r="U133" s="10"/>
      </tp>
      <tp t="e">
        <v>#N/A</v>
        <stp/>
        <stp>BDH|12101707808707547729</stp>
        <tr r="V26" s="10"/>
      </tp>
      <tp t="e">
        <v>#N/A</v>
        <stp/>
        <stp>BDH|13974420226922671254</stp>
        <tr r="AQ139" s="10"/>
      </tp>
      <tp t="e">
        <v>#N/A</v>
        <stp/>
        <stp>BDH|10659711693632890927</stp>
        <tr r="AK179" s="10"/>
      </tp>
      <tp t="e">
        <v>#N/A</v>
        <stp/>
        <stp>BDH|13007762469805874291</stp>
        <tr r="F60" s="10"/>
      </tp>
      <tp t="e">
        <v>#N/A</v>
        <stp/>
        <stp>BDH|10274841687595766086</stp>
        <tr r="AN70" s="10"/>
      </tp>
      <tp t="e">
        <v>#N/A</v>
        <stp/>
        <stp>BDH|17270381605838358928</stp>
        <tr r="W170" s="10"/>
      </tp>
      <tp t="e">
        <v>#N/A</v>
        <stp/>
        <stp>BDH|11702793825502712324</stp>
        <tr r="I180" s="10"/>
      </tp>
      <tp t="e">
        <v>#N/A</v>
        <stp/>
        <stp>BDH|15707870598024249546</stp>
        <tr r="AU5" s="10"/>
      </tp>
      <tp t="e">
        <v>#N/A</v>
        <stp/>
        <stp>BDH|13798704382209293097</stp>
        <tr r="AK93" s="10"/>
      </tp>
      <tp t="e">
        <v>#N/A</v>
        <stp/>
        <stp>BDH|14626021564023612483</stp>
        <tr r="AI147" s="10"/>
      </tp>
      <tp t="e">
        <v>#N/A</v>
        <stp/>
        <stp>BDH|14505960188866017659</stp>
        <tr r="R18" s="10"/>
      </tp>
      <tp t="e">
        <v>#N/A</v>
        <stp/>
        <stp>BDH|11750004526202874474</stp>
        <tr r="Z52" s="10"/>
      </tp>
      <tp t="e">
        <v>#N/A</v>
        <stp/>
        <stp>BDH|13530819399962326501</stp>
        <tr r="AV91" s="10"/>
      </tp>
      <tp t="e">
        <v>#N/A</v>
        <stp/>
        <stp>BDH|14236644719824099211</stp>
        <tr r="AR65" s="10"/>
      </tp>
      <tp t="e">
        <v>#N/A</v>
        <stp/>
        <stp>BDH|16707340658781319461</stp>
        <tr r="K152" s="10"/>
      </tp>
      <tp t="e">
        <v>#N/A</v>
        <stp/>
        <stp>BDH|11446260212256809160</stp>
        <tr r="R35" s="10"/>
      </tp>
      <tp t="e">
        <v>#N/A</v>
        <stp/>
        <stp>BDH|18431421139793101903</stp>
        <tr r="AM129" s="10"/>
      </tp>
      <tp t="e">
        <v>#N/A</v>
        <stp/>
        <stp>BDH|17161344513710137093</stp>
        <tr r="W136" s="10"/>
      </tp>
      <tp t="e">
        <v>#N/A</v>
        <stp/>
        <stp>BDH|10356467712142033294</stp>
        <tr r="AS22" s="10"/>
      </tp>
      <tp t="e">
        <v>#N/A</v>
        <stp/>
        <stp>BDH|17310199274746280223</stp>
        <tr r="AL35" s="10"/>
      </tp>
    </main>
    <main first="bofaddin.rtdserver">
      <tp t="e">
        <v>#N/A</v>
        <stp/>
        <stp>BDH|6289295390606183</stp>
        <tr r="Q8" s="10"/>
      </tp>
      <tp t="e">
        <v>#N/A</v>
        <stp/>
        <stp>BDH|6995427143765376</stp>
        <tr r="AL116" s="10"/>
      </tp>
    </main>
    <main first="bofaddin.rtdserver">
      <tp t="e">
        <v>#N/A</v>
        <stp/>
        <stp>BDH|1839355997559654</stp>
        <tr r="AL10" s="10"/>
      </tp>
    </main>
    <main first="bofaddin.rtdserver">
      <tp t="e">
        <v>#N/A</v>
        <stp/>
        <stp>BDH|4884486356271214</stp>
        <tr r="X66" s="10"/>
      </tp>
      <tp t="s">
        <v>#N/A Requesting Data...2215310300</v>
        <stp/>
        <stp>BDP|6422425612939798699</stp>
        <tr r="B39" s="1"/>
      </tp>
      <tp t="s">
        <v>#N/A Requesting Data...2142109521</v>
        <stp/>
        <stp>BDP|4430473728309147701</stp>
        <tr r="F69" s="2"/>
      </tp>
      <tp t="e">
        <v>#N/A</v>
        <stp/>
        <stp>BDH|1080142736338080781</stp>
        <tr r="AK22" s="10"/>
      </tp>
      <tp t="e">
        <v>#N/A</v>
        <stp/>
        <stp>BDH|8230964706428820501</stp>
        <tr r="AR25" s="10"/>
      </tp>
      <tp t="e">
        <v>#N/A</v>
        <stp/>
        <stp>BDH|3766182768668540086</stp>
        <tr r="X11" s="10"/>
      </tp>
      <tp t="e">
        <v>#N/A</v>
        <stp/>
        <stp>BDH|5805265944767983898</stp>
        <tr r="N137" s="10"/>
      </tp>
      <tp t="e">
        <v>#N/A</v>
        <stp/>
        <stp>BDH|1677998278533562089</stp>
        <tr r="X183" s="10"/>
      </tp>
      <tp t="e">
        <v>#N/A</v>
        <stp/>
        <stp>BDH|4951905876221555702</stp>
        <tr r="AU52" s="10"/>
      </tp>
      <tp t="e">
        <v>#N/A</v>
        <stp/>
        <stp>BDH|6985651190484706118</stp>
        <tr r="AG70" s="10"/>
      </tp>
      <tp t="e">
        <v>#N/A</v>
        <stp/>
        <stp>BDH|6019452058102303945</stp>
        <tr r="Z177" s="10"/>
      </tp>
      <tp t="e">
        <v>#N/A</v>
        <stp/>
        <stp>BDH|4480855089898359016</stp>
        <tr r="K105" s="10"/>
      </tp>
      <tp t="e">
        <v>#N/A</v>
        <stp/>
        <stp>BDH|2003952249606362554</stp>
        <tr r="AJ38" s="10"/>
      </tp>
      <tp t="e">
        <v>#N/A</v>
        <stp/>
        <stp>BDH|9751249939472443646</stp>
        <tr r="AP24" s="10"/>
      </tp>
      <tp t="e">
        <v>#N/A</v>
        <stp/>
        <stp>BDH|4628898257524739150</stp>
        <tr r="AR99" s="10"/>
      </tp>
      <tp t="e">
        <v>#N/A</v>
        <stp/>
        <stp>BDH|2687583733730610811</stp>
        <tr r="S119" s="10"/>
      </tp>
      <tp t="e">
        <v>#N/A</v>
        <stp/>
        <stp>BDH|7663382500211392971</stp>
        <tr r="AK86" s="10"/>
      </tp>
      <tp t="e">
        <v>#N/A</v>
        <stp/>
        <stp>BDH|8605465818665257408</stp>
        <tr r="F122" s="10"/>
      </tp>
      <tp t="s">
        <v>#N/A Requesting Data...3987370106</v>
        <stp/>
        <stp>BDP|7012990980959472367</stp>
        <tr r="F3" s="2"/>
        <tr r="F17" s="2"/>
        <tr r="F54" s="2"/>
      </tp>
      <tp t="e">
        <v>#N/A</v>
        <stp/>
        <stp>BDH|3926200593126328221</stp>
        <tr r="AG190" s="10"/>
      </tp>
      <tp t="e">
        <v>#N/A</v>
        <stp/>
        <stp>BDH|9566615737465820507</stp>
        <tr r="P98" s="10"/>
      </tp>
      <tp t="e">
        <v>#N/A</v>
        <stp/>
        <stp>BDH|2476950729166266315</stp>
        <tr r="AC113" s="10"/>
      </tp>
      <tp t="e">
        <v>#N/A</v>
        <stp/>
        <stp>BDH|6529803781899677398</stp>
        <tr r="L23" s="10"/>
      </tp>
      <tp t="e">
        <v>#N/A</v>
        <stp/>
        <stp>BDH|8365939609394490963</stp>
        <tr r="AD39" s="10"/>
      </tp>
      <tp t="e">
        <v>#N/A</v>
        <stp/>
        <stp>BDH|8626298323382600612</stp>
        <tr r="AG21" s="10"/>
      </tp>
      <tp t="e">
        <v>#N/A</v>
        <stp/>
        <stp>BDH|5529841100595846428</stp>
        <tr r="AI103" s="10"/>
      </tp>
      <tp t="e">
        <v>#N/A</v>
        <stp/>
        <stp>BDH|1244209248868893396</stp>
        <tr r="AC66" s="10"/>
      </tp>
      <tp t="e">
        <v>#N/A</v>
        <stp/>
        <stp>BDH|9078690682242907999</stp>
        <tr r="I67" s="10"/>
      </tp>
      <tp t="e">
        <v>#N/A</v>
        <stp/>
        <stp>BDH|9548992858500896975</stp>
        <tr r="AF144" s="10"/>
      </tp>
      <tp t="e">
        <v>#N/A</v>
        <stp/>
        <stp>BDH|3594488771975229954</stp>
        <tr r="AE56" s="10"/>
      </tp>
      <tp t="e">
        <v>#N/A</v>
        <stp/>
        <stp>BDH|5135295932479364117</stp>
        <tr r="AA107" s="10"/>
      </tp>
      <tp t="e">
        <v>#N/A</v>
        <stp/>
        <stp>BDH|8948177108073934674</stp>
        <tr r="D85" s="10"/>
      </tp>
      <tp t="e">
        <v>#N/A</v>
        <stp/>
        <stp>BDH|1875907821556116003</stp>
        <tr r="Z193" s="10"/>
      </tp>
      <tp t="e">
        <v>#N/A</v>
        <stp/>
        <stp>BDH|1931551224599421342</stp>
        <tr r="AB64" s="10"/>
      </tp>
      <tp t="e">
        <v>#N/A</v>
        <stp/>
        <stp>BDH|8670158525512811562</stp>
        <tr r="AV54" s="10"/>
      </tp>
      <tp t="e">
        <v>#N/A</v>
        <stp/>
        <stp>BDH|1976844236460173628</stp>
        <tr r="AM185" s="10"/>
      </tp>
      <tp t="e">
        <v>#N/A</v>
        <stp/>
        <stp>BDH|2541996035160885493</stp>
        <tr r="AU139" s="10"/>
      </tp>
      <tp t="e">
        <v>#N/A</v>
        <stp/>
        <stp>BDH|8472104542200821168</stp>
        <tr r="AT92" s="10"/>
      </tp>
      <tp t="e">
        <v>#N/A</v>
        <stp/>
        <stp>BDH|8608175859610780070</stp>
        <tr r="O154" s="10"/>
      </tp>
      <tp t="e">
        <v>#N/A</v>
        <stp/>
        <stp>BDH|1881720397796011555</stp>
        <tr r="W188" s="10"/>
      </tp>
      <tp t="e">
        <v>#N/A</v>
        <stp/>
        <stp>BDH|9219481755855256157</stp>
        <tr r="AF164" s="10"/>
      </tp>
      <tp t="e">
        <v>#N/A</v>
        <stp/>
        <stp>BDH|8674116668856102564</stp>
        <tr r="AH22" s="10"/>
      </tp>
      <tp t="e">
        <v>#N/A</v>
        <stp/>
        <stp>BDH|8135784843997649046</stp>
        <tr r="O171" s="10"/>
      </tp>
      <tp t="e">
        <v>#N/A</v>
        <stp/>
        <stp>BDH|4811874835577147438</stp>
        <tr r="AV18" s="10"/>
      </tp>
      <tp t="e">
        <v>#N/A</v>
        <stp/>
        <stp>BDH|3889197226235931961</stp>
        <tr r="AR134" s="10"/>
      </tp>
      <tp t="e">
        <v>#N/A</v>
        <stp/>
        <stp>BDH|9165380244672172049</stp>
        <tr r="AV180" s="10"/>
      </tp>
      <tp t="e">
        <v>#N/A</v>
        <stp/>
        <stp>BDH|5078852118695598504</stp>
        <tr r="Y79" s="10"/>
      </tp>
      <tp t="s">
        <v>#N/A Requesting Data...2484455894</v>
        <stp/>
        <stp>BDP|1232143977503924814</stp>
        <tr r="F133" s="2"/>
      </tp>
      <tp t="e">
        <v>#N/A</v>
        <stp/>
        <stp>BDH|2800473424310170837</stp>
        <tr r="K28" s="10"/>
      </tp>
      <tp t="e">
        <v>#N/A</v>
        <stp/>
        <stp>BDH|4603014769616499839</stp>
        <tr r="D17" s="10"/>
      </tp>
      <tp t="e">
        <v>#N/A</v>
        <stp/>
        <stp>BDH|9632243142675868615</stp>
        <tr r="K128" s="10"/>
      </tp>
      <tp t="e">
        <v>#N/A</v>
        <stp/>
        <stp>BDH|5237769951638585393</stp>
        <tr r="W61" s="10"/>
      </tp>
      <tp t="e">
        <v>#N/A</v>
        <stp/>
        <stp>BDH|2936203796267163272</stp>
        <tr r="AN31" s="10"/>
      </tp>
      <tp t="e">
        <v>#N/A</v>
        <stp/>
        <stp>BDH|8477308459823696128</stp>
        <tr r="AL95" s="10"/>
      </tp>
      <tp t="e">
        <v>#N/A</v>
        <stp/>
        <stp>BDH|4526663785721880778</stp>
        <tr r="AE154" s="10"/>
      </tp>
      <tp t="e">
        <v>#N/A</v>
        <stp/>
        <stp>BDH|6381236554609926442</stp>
        <tr r="X132" s="10"/>
      </tp>
      <tp t="e">
        <v>#N/A</v>
        <stp/>
        <stp>BDH|9836178563355540703</stp>
        <tr r="AP8" s="10"/>
      </tp>
      <tp t="e">
        <v>#N/A</v>
        <stp/>
        <stp>BDH|7179621832377739986</stp>
        <tr r="U106" s="10"/>
      </tp>
      <tp t="e">
        <v>#N/A</v>
        <stp/>
        <stp>BDH|7148420792492910464</stp>
        <tr r="AR6" s="10"/>
      </tp>
      <tp t="e">
        <v>#N/A</v>
        <stp/>
        <stp>BDH|6651682057668636117</stp>
        <tr r="E177" s="10"/>
      </tp>
      <tp t="e">
        <v>#N/A</v>
        <stp/>
        <stp>BDH|3818978421836749271</stp>
        <tr r="AS35" s="10"/>
      </tp>
      <tp t="e">
        <v>#N/A</v>
        <stp/>
        <stp>BDH|9234122019415502021</stp>
        <tr r="AK71" s="10"/>
      </tp>
      <tp t="e">
        <v>#N/A</v>
        <stp/>
        <stp>BDH|8738840802429726582</stp>
        <tr r="AE178" s="10"/>
      </tp>
      <tp t="e">
        <v>#N/A</v>
        <stp/>
        <stp>BDH|4158289236371498851</stp>
        <tr r="AO22" s="10"/>
      </tp>
      <tp t="e">
        <v>#N/A</v>
        <stp/>
        <stp>BDH|3538664694733090390</stp>
        <tr r="AA96" s="10"/>
      </tp>
      <tp t="e">
        <v>#N/A</v>
        <stp/>
        <stp>BDH|6362180104188760368</stp>
        <tr r="D96" s="10"/>
      </tp>
      <tp t="e">
        <v>#N/A</v>
        <stp/>
        <stp>BDH|2192336758971286966</stp>
        <tr r="T138" s="10"/>
      </tp>
      <tp t="e">
        <v>#N/A</v>
        <stp/>
        <stp>BDH|8935708951583515537</stp>
        <tr r="D52" s="10"/>
      </tp>
      <tp t="e">
        <v>#N/A</v>
        <stp/>
        <stp>BDH|9123228376042340285</stp>
        <tr r="AR7" s="10"/>
      </tp>
      <tp t="e">
        <v>#N/A</v>
        <stp/>
        <stp>BDH|9253268638505536170</stp>
        <tr r="E147" s="10"/>
      </tp>
      <tp t="e">
        <v>#N/A</v>
        <stp/>
        <stp>BDH|4236647309396253839</stp>
        <tr r="R110" s="10"/>
      </tp>
      <tp t="e">
        <v>#N/A</v>
        <stp/>
        <stp>BDH|3850680199972096278</stp>
        <tr r="AG188" s="10"/>
      </tp>
      <tp t="e">
        <v>#N/A</v>
        <stp/>
        <stp>BDH|5791486355710641821</stp>
        <tr r="H65" s="10"/>
      </tp>
      <tp t="e">
        <v>#N/A</v>
        <stp/>
        <stp>BDH|6115793952920121857</stp>
        <tr r="AQ100" s="10"/>
      </tp>
      <tp t="s">
        <v>#N/A Requesting Data...2402864290</v>
        <stp/>
        <stp>BDP|7927025733521786905</stp>
        <tr r="D24" s="1"/>
      </tp>
      <tp t="s">
        <v>#N/A Requesting Data...3433831166</v>
        <stp/>
        <stp>BDP|6254932929091388049</stp>
        <tr r="B35" s="1"/>
      </tp>
      <tp t="e">
        <v>#N/A</v>
        <stp/>
        <stp>BDH|4320511297243990739</stp>
        <tr r="E22" s="10"/>
      </tp>
      <tp t="e">
        <v>#N/A</v>
        <stp/>
        <stp>BDH|4941533227047002827</stp>
        <tr r="U38" s="10"/>
      </tp>
      <tp t="e">
        <v>#N/A</v>
        <stp/>
        <stp>BDH|8018588098921652991</stp>
        <tr r="Z17" s="10"/>
      </tp>
      <tp t="e">
        <v>#N/A</v>
        <stp/>
        <stp>BDH|6483568359109139354</stp>
        <tr r="AQ73" s="10"/>
      </tp>
      <tp t="e">
        <v>#N/A</v>
        <stp/>
        <stp>BDH|9747218468289854893</stp>
        <tr r="O11" s="10"/>
      </tp>
      <tp t="e">
        <v>#N/A</v>
        <stp/>
        <stp>BDH|6302848545447924144</stp>
        <tr r="O85" s="10"/>
      </tp>
      <tp t="e">
        <v>#N/A</v>
        <stp/>
        <stp>BDH|9145399652726331563</stp>
        <tr r="AG192" s="10"/>
      </tp>
      <tp t="e">
        <v>#N/A</v>
        <stp/>
        <stp>BDH|9166560141396977208</stp>
        <tr r="AA66" s="10"/>
      </tp>
      <tp t="e">
        <v>#N/A</v>
        <stp/>
        <stp>BDH|2314968532643971714</stp>
        <tr r="D176" s="10"/>
      </tp>
      <tp t="e">
        <v>#N/A</v>
        <stp/>
        <stp>BDH|6052871837727789684</stp>
        <tr r="AA157" s="10"/>
      </tp>
      <tp t="s">
        <v>#N/A Requesting Data...2696273562</v>
        <stp/>
        <stp>BDP|1197686694262349025</stp>
        <tr r="H117" s="2"/>
      </tp>
      <tp t="e">
        <v>#N/A</v>
        <stp/>
        <stp>BDH|9699783765984577025</stp>
        <tr r="O81" s="10"/>
      </tp>
      <tp t="e">
        <v>#N/A</v>
        <stp/>
        <stp>BDH|6840374756904695833</stp>
        <tr r="K115" s="10"/>
      </tp>
      <tp t="e">
        <v>#N/A</v>
        <stp/>
        <stp>BDH|4871137279298815660</stp>
        <tr r="M107" s="10"/>
      </tp>
      <tp t="e">
        <v>#N/A</v>
        <stp/>
        <stp>BDH|9480802391865922102</stp>
        <tr r="AL191" s="10"/>
      </tp>
      <tp t="e">
        <v>#N/A</v>
        <stp/>
        <stp>BDH|9956400159374561092</stp>
        <tr r="S192" s="10"/>
      </tp>
      <tp t="e">
        <v>#N/A</v>
        <stp/>
        <stp>BDH|4934377798156959432</stp>
        <tr r="AQ114" s="10"/>
      </tp>
      <tp t="e">
        <v>#N/A</v>
        <stp/>
        <stp>BDH|6838800410520374373</stp>
        <tr r="AH115" s="10"/>
      </tp>
      <tp t="e">
        <v>#N/A</v>
        <stp/>
        <stp>BDH|7395679220576103991</stp>
        <tr r="AW95" s="10"/>
      </tp>
      <tp t="e">
        <v>#N/A</v>
        <stp/>
        <stp>BDH|8724363122583613691</stp>
        <tr r="P10" s="10"/>
      </tp>
      <tp t="e">
        <v>#N/A</v>
        <stp/>
        <stp>BDH|8221796397079857386</stp>
        <tr r="AS154" s="10"/>
      </tp>
      <tp t="e">
        <v>#N/A</v>
        <stp/>
        <stp>BDH|5624555936258865715</stp>
        <tr r="R129" s="10"/>
      </tp>
      <tp t="e">
        <v>#N/A</v>
        <stp/>
        <stp>BDH|1706352306288116697</stp>
        <tr r="G136" s="10"/>
      </tp>
      <tp t="e">
        <v>#N/A</v>
        <stp/>
        <stp>BDH|1869802954257673769</stp>
        <tr r="AE28" s="10"/>
      </tp>
      <tp t="e">
        <v>#N/A</v>
        <stp/>
        <stp>BDH|7818912581858368275</stp>
        <tr r="J154" s="10"/>
      </tp>
      <tp t="e">
        <v>#N/A</v>
        <stp/>
        <stp>BDH|6738149463254920951</stp>
        <tr r="AU175" s="10"/>
      </tp>
      <tp t="e">
        <v>#N/A</v>
        <stp/>
        <stp>BDH|6017398554284853893</stp>
        <tr r="O22" s="10"/>
      </tp>
      <tp t="e">
        <v>#N/A</v>
        <stp/>
        <stp>BDH|4321913330800654280</stp>
        <tr r="T91" s="10"/>
      </tp>
      <tp t="e">
        <v>#N/A</v>
        <stp/>
        <stp>BDH|9844273382249828698</stp>
        <tr r="AP77" s="10"/>
      </tp>
      <tp t="e">
        <v>#N/A</v>
        <stp/>
        <stp>BDH|4299682665010515864</stp>
        <tr r="AN29" s="10"/>
      </tp>
      <tp t="e">
        <v>#N/A</v>
        <stp/>
        <stp>BDH|8374225874559949812</stp>
        <tr r="U192" s="10"/>
      </tp>
      <tp t="e">
        <v>#N/A</v>
        <stp/>
        <stp>BDH|8635297462072644263</stp>
        <tr r="K11" s="10"/>
      </tp>
      <tp t="e">
        <v>#N/A</v>
        <stp/>
        <stp>BDH|9228733224123807303</stp>
        <tr r="M92" s="10"/>
      </tp>
      <tp t="e">
        <v>#N/A</v>
        <stp/>
        <stp>BDH|4970890581480427884</stp>
        <tr r="AR62" s="10"/>
      </tp>
      <tp t="e">
        <v>#N/A</v>
        <stp/>
        <stp>BDH|8056118919607552309</stp>
        <tr r="G20" s="10"/>
      </tp>
      <tp t="e">
        <v>#N/A</v>
        <stp/>
        <stp>BDH|6461684517564331952</stp>
        <tr r="AQ98" s="10"/>
      </tp>
      <tp t="e">
        <v>#N/A</v>
        <stp/>
        <stp>BDH|3792741771159739683</stp>
        <tr r="G103" s="10"/>
      </tp>
      <tp t="e">
        <v>#N/A</v>
        <stp/>
        <stp>BDH|9142461212817136795</stp>
        <tr r="AI33" s="10"/>
      </tp>
      <tp t="e">
        <v>#N/A</v>
        <stp/>
        <stp>BDH|4496284155706778937</stp>
        <tr r="AR32" s="10"/>
      </tp>
      <tp t="e">
        <v>#N/A</v>
        <stp/>
        <stp>BDH|3731832188447202838</stp>
        <tr r="X145" s="10"/>
      </tp>
      <tp t="e">
        <v>#N/A</v>
        <stp/>
        <stp>BDH|2809266192333320629</stp>
        <tr r="S95" s="10"/>
      </tp>
      <tp t="e">
        <v>#N/A</v>
        <stp/>
        <stp>BDH|7756553282714534272</stp>
        <tr r="AI22" s="10"/>
      </tp>
      <tp t="e">
        <v>#N/A</v>
        <stp/>
        <stp>BDH|9585741230089706849</stp>
        <tr r="AN123" s="10"/>
      </tp>
      <tp t="e">
        <v>#N/A</v>
        <stp/>
        <stp>BDH|8377443261151210767</stp>
        <tr r="AF97" s="10"/>
      </tp>
      <tp t="e">
        <v>#N/A</v>
        <stp/>
        <stp>BDH|6119035495251200275</stp>
        <tr r="V31" s="10"/>
      </tp>
      <tp t="e">
        <v>#N/A</v>
        <stp/>
        <stp>BDH|9092004412764807088</stp>
        <tr r="E151" s="10"/>
      </tp>
      <tp t="e">
        <v>#N/A</v>
        <stp/>
        <stp>BDH|1311778515972336907</stp>
        <tr r="R88" s="10"/>
      </tp>
      <tp t="e">
        <v>#N/A</v>
        <stp/>
        <stp>BDH|4569180979457264940</stp>
        <tr r="AI91" s="10"/>
      </tp>
      <tp t="e">
        <v>#N/A</v>
        <stp/>
        <stp>BDH|3624683427723922823</stp>
        <tr r="G122" s="10"/>
      </tp>
      <tp t="e">
        <v>#N/A</v>
        <stp/>
        <stp>BDH|8391133204503217648</stp>
        <tr r="F17" s="10"/>
      </tp>
      <tp t="e">
        <v>#N/A</v>
        <stp/>
        <stp>BDH|3902851531901866577</stp>
        <tr r="X83" s="10"/>
      </tp>
      <tp t="e">
        <v>#N/A</v>
        <stp/>
        <stp>BDH|3193018750963785958</stp>
        <tr r="AS115" s="10"/>
      </tp>
      <tp t="e">
        <v>#N/A</v>
        <stp/>
        <stp>BDH|8339928857781449903</stp>
        <tr r="AN22" s="10"/>
      </tp>
      <tp t="e">
        <v>#N/A</v>
        <stp/>
        <stp>BDH|9542118569541947367</stp>
        <tr r="AP95" s="10"/>
      </tp>
      <tp t="e">
        <v>#N/A</v>
        <stp/>
        <stp>BDH|7316563870809351045</stp>
        <tr r="AM80" s="10"/>
      </tp>
      <tp t="e">
        <v>#N/A</v>
        <stp/>
        <stp>BDH|2555489984675918727</stp>
        <tr r="N126" s="10"/>
      </tp>
      <tp t="e">
        <v>#N/A</v>
        <stp/>
        <stp>BDH|1528146761559792354</stp>
        <tr r="AA126" s="10"/>
      </tp>
      <tp t="e">
        <v>#N/A</v>
        <stp/>
        <stp>BDH|6120131162604760942</stp>
        <tr r="V132" s="10"/>
      </tp>
      <tp t="e">
        <v>#N/A</v>
        <stp/>
        <stp>BDH|9505912422147117943</stp>
        <tr r="AK182" s="10"/>
      </tp>
      <tp t="e">
        <v>#N/A</v>
        <stp/>
        <stp>BDH|3042774619531446891</stp>
        <tr r="D9" s="10"/>
      </tp>
      <tp t="e">
        <v>#N/A</v>
        <stp/>
        <stp>BDH|3609312243498241052</stp>
        <tr r="L117" s="10"/>
      </tp>
      <tp t="e">
        <v>#N/A</v>
        <stp/>
        <stp>BDH|9675995419314673935</stp>
        <tr r="E25" s="10"/>
      </tp>
      <tp t="e">
        <v>#N/A</v>
        <stp/>
        <stp>BDH|3639872443525609676</stp>
        <tr r="N140" s="10"/>
      </tp>
      <tp t="e">
        <v>#N/A</v>
        <stp/>
        <stp>BDH|4078998851812216693</stp>
        <tr r="AJ106" s="10"/>
      </tp>
      <tp t="e">
        <v>#N/A</v>
        <stp/>
        <stp>BDH|2274646496595218410</stp>
        <tr r="R98" s="10"/>
      </tp>
      <tp t="e">
        <v>#N/A</v>
        <stp/>
        <stp>BDH|2176577498373435194</stp>
        <tr r="AU18" s="10"/>
      </tp>
      <tp t="e">
        <v>#N/A</v>
        <stp/>
        <stp>BDH|5840782091240406760</stp>
        <tr r="AN176" s="10"/>
      </tp>
      <tp t="e">
        <v>#N/A</v>
        <stp/>
        <stp>BDH|4505247226790312875</stp>
        <tr r="P146" s="10"/>
      </tp>
      <tp t="e">
        <v>#N/A</v>
        <stp/>
        <stp>BDH|3293704184351413119</stp>
        <tr r="U78" s="10"/>
      </tp>
      <tp t="e">
        <v>#N/A</v>
        <stp/>
        <stp>BDH|1989570707989864121</stp>
        <tr r="AA141" s="10"/>
      </tp>
      <tp t="e">
        <v>#N/A</v>
        <stp/>
        <stp>BDH|3209817786749770611</stp>
        <tr r="W184" s="10"/>
      </tp>
      <tp t="e">
        <v>#N/A</v>
        <stp/>
        <stp>BDH|5617558677683516827</stp>
        <tr r="C187" s="10"/>
      </tp>
      <tp t="e">
        <v>#N/A</v>
        <stp/>
        <stp>BDH|7036147966058478458</stp>
        <tr r="AI73" s="10"/>
      </tp>
      <tp t="e">
        <v>#N/A</v>
        <stp/>
        <stp>BDH|7898334290517917612</stp>
        <tr r="O175" s="10"/>
      </tp>
      <tp t="e">
        <v>#N/A</v>
        <stp/>
        <stp>BDH|6468126237599484160</stp>
        <tr r="AS106" s="10"/>
      </tp>
      <tp t="e">
        <v>#N/A</v>
        <stp/>
        <stp>BDH|6614833233579130848</stp>
        <tr r="AC42" s="10"/>
      </tp>
      <tp t="e">
        <v>#N/A</v>
        <stp/>
        <stp>BDH|3944332278273625879</stp>
        <tr r="K74" s="10"/>
      </tp>
      <tp t="e">
        <v>#N/A</v>
        <stp/>
        <stp>BDH|3861042336595162989</stp>
        <tr r="AI87" s="10"/>
      </tp>
      <tp t="s">
        <v>#N/A Requesting Data...3229689345</v>
        <stp/>
        <stp>BDP|9693668522835064421</stp>
        <tr r="F22" s="2"/>
        <tr r="F24" s="2"/>
      </tp>
      <tp t="e">
        <v>#N/A</v>
        <stp/>
        <stp>BDH|5314360480101372366</stp>
        <tr r="H169" s="10"/>
      </tp>
      <tp t="e">
        <v>#N/A</v>
        <stp/>
        <stp>BDH|7411451061031704873</stp>
        <tr r="K37" s="10"/>
      </tp>
      <tp t="e">
        <v>#N/A</v>
        <stp/>
        <stp>BDH|8110432529650870230</stp>
        <tr r="AM165" s="10"/>
      </tp>
      <tp t="e">
        <v>#N/A</v>
        <stp/>
        <stp>BDH|7823269657599134589</stp>
        <tr r="AI11" s="10"/>
      </tp>
      <tp t="e">
        <v>#N/A</v>
        <stp/>
        <stp>BDH|2716256636289462607</stp>
        <tr r="I22" s="10"/>
      </tp>
      <tp t="e">
        <v>#N/A</v>
        <stp/>
        <stp>BDH|8867505836646790498</stp>
        <tr r="AM66" s="10"/>
      </tp>
      <tp t="e">
        <v>#N/A</v>
        <stp/>
        <stp>BDH|7029557171678349170</stp>
        <tr r="AH41" s="10"/>
      </tp>
      <tp t="e">
        <v>#N/A</v>
        <stp/>
        <stp>BDH|4194941303885427429</stp>
        <tr r="AQ115" s="10"/>
      </tp>
      <tp t="e">
        <v>#N/A</v>
        <stp/>
        <stp>BDH|4014972547707963298</stp>
        <tr r="AU37" s="10"/>
      </tp>
      <tp t="e">
        <v>#N/A</v>
        <stp/>
        <stp>BDH|7391368882771484134</stp>
        <tr r="AQ149" s="10"/>
      </tp>
      <tp t="e">
        <v>#N/A</v>
        <stp/>
        <stp>BDH|9926428019536749656</stp>
        <tr r="H105" s="10"/>
      </tp>
      <tp t="e">
        <v>#N/A</v>
        <stp/>
        <stp>BDH|8489267472448213927</stp>
        <tr r="W19" s="10"/>
      </tp>
      <tp t="e">
        <v>#N/A</v>
        <stp/>
        <stp>BDH|9639608057221057710</stp>
        <tr r="AR47" s="10"/>
      </tp>
      <tp t="e">
        <v>#N/A</v>
        <stp/>
        <stp>BDH|7201701988360265488</stp>
        <tr r="U136" s="10"/>
      </tp>
      <tp t="e">
        <v>#N/A</v>
        <stp/>
        <stp>BDH|8167531715840617011</stp>
        <tr r="S151" s="10"/>
      </tp>
      <tp t="e">
        <v>#N/A</v>
        <stp/>
        <stp>BDH|9671065425132293574</stp>
        <tr r="I9" s="10"/>
      </tp>
      <tp t="e">
        <v>#N/A</v>
        <stp/>
        <stp>BDH|9168271335623379708</stp>
        <tr r="AU129" s="10"/>
      </tp>
      <tp t="e">
        <v>#N/A</v>
        <stp/>
        <stp>BDH|1873766289987156563</stp>
        <tr r="AE96" s="10"/>
      </tp>
      <tp t="s">
        <v>#N/A Requesting Data...3944972077</v>
        <stp/>
        <stp>BDP|8968472969681266749</stp>
        <tr r="D45" s="1"/>
      </tp>
      <tp t="e">
        <v>#N/A</v>
        <stp/>
        <stp>BDH|5809823469224775354</stp>
        <tr r="L163" s="10"/>
      </tp>
      <tp t="e">
        <v>#N/A</v>
        <stp/>
        <stp>BDH|8656540734175458734</stp>
        <tr r="AF20" s="10"/>
      </tp>
      <tp t="e">
        <v>#N/A</v>
        <stp/>
        <stp>BDH|9446669563451558459</stp>
        <tr r="X112" s="10"/>
      </tp>
      <tp t="e">
        <v>#N/A</v>
        <stp/>
        <stp>BDH|1470968163805634760</stp>
        <tr r="T110" s="10"/>
      </tp>
      <tp t="e">
        <v>#N/A</v>
        <stp/>
        <stp>BDH|6662962837399626901</stp>
        <tr r="E66" s="10"/>
      </tp>
      <tp t="e">
        <v>#N/A</v>
        <stp/>
        <stp>BDH|4988650866811237994</stp>
        <tr r="AR84" s="10"/>
      </tp>
      <tp t="e">
        <v>#N/A</v>
        <stp/>
        <stp>BDH|7916940921470864055</stp>
        <tr r="L124" s="10"/>
      </tp>
      <tp t="e">
        <v>#N/A</v>
        <stp/>
        <stp>BDH|8542284926510240488</stp>
        <tr r="H70" s="10"/>
      </tp>
      <tp t="e">
        <v>#N/A</v>
        <stp/>
        <stp>BDH|5246929121115803784</stp>
        <tr r="I117" s="10"/>
      </tp>
      <tp t="e">
        <v>#N/A</v>
        <stp/>
        <stp>BDH|1306540289853742384</stp>
        <tr r="AH135" s="10"/>
      </tp>
      <tp t="e">
        <v>#N/A</v>
        <stp/>
        <stp>BDH|1793896854111827134</stp>
        <tr r="D80" s="10"/>
      </tp>
      <tp t="e">
        <v>#N/A</v>
        <stp/>
        <stp>BDH|2742318350319361142</stp>
        <tr r="AF89" s="10"/>
      </tp>
      <tp t="e">
        <v>#N/A</v>
        <stp/>
        <stp>BDH|4826973227953032090</stp>
        <tr r="AE6" s="10"/>
      </tp>
      <tp t="e">
        <v>#N/A</v>
        <stp/>
        <stp>BDH|1636113397215163008</stp>
        <tr r="AT99" s="10"/>
      </tp>
      <tp t="e">
        <v>#N/A</v>
        <stp/>
        <stp>BDH|4001348562598196568</stp>
        <tr r="F113" s="10"/>
      </tp>
      <tp t="e">
        <v>#N/A</v>
        <stp/>
        <stp>BDH|1382140606539550557</stp>
        <tr r="M26" s="10"/>
      </tp>
      <tp t="e">
        <v>#N/A</v>
        <stp/>
        <stp>BDH|3299950141690181269</stp>
        <tr r="L142" s="10"/>
      </tp>
      <tp t="e">
        <v>#N/A</v>
        <stp/>
        <stp>BDH|8523949977083121967</stp>
        <tr r="N134" s="10"/>
      </tp>
      <tp t="s">
        <v>#N/A Requesting Data...3611319445</v>
        <stp/>
        <stp>BDP|3375934253293533004</stp>
        <tr r="O27" s="1"/>
      </tp>
      <tp t="e">
        <v>#N/A</v>
        <stp/>
        <stp>BDH|9971568986460628898</stp>
        <tr r="AW82" s="10"/>
      </tp>
      <tp t="e">
        <v>#N/A</v>
        <stp/>
        <stp>BDH|8213726026036709776</stp>
        <tr r="AC9" s="10"/>
      </tp>
      <tp t="e">
        <v>#N/A</v>
        <stp/>
        <stp>BDH|9587966187324441069</stp>
        <tr r="AK21" s="10"/>
      </tp>
      <tp t="e">
        <v>#N/A</v>
        <stp/>
        <stp>BDH|7515938514966614521</stp>
        <tr r="R144" s="10"/>
      </tp>
      <tp t="e">
        <v>#N/A</v>
        <stp/>
        <stp>BDH|4246981245196040393</stp>
        <tr r="M150" s="10"/>
      </tp>
      <tp t="e">
        <v>#N/A</v>
        <stp/>
        <stp>BDH|3124341378972382980</stp>
        <tr r="AV126" s="10"/>
      </tp>
      <tp t="e">
        <v>#N/A</v>
        <stp/>
        <stp>BDH|8578714670716078225</stp>
        <tr r="F147" s="10"/>
      </tp>
      <tp t="e">
        <v>#N/A</v>
        <stp/>
        <stp>BDH|9650876567978967395</stp>
        <tr r="AG63" s="10"/>
      </tp>
      <tp t="e">
        <v>#N/A</v>
        <stp/>
        <stp>BDH|5729999834683541091</stp>
        <tr r="AJ176" s="10"/>
      </tp>
      <tp t="e">
        <v>#N/A</v>
        <stp/>
        <stp>BDH|6917918978496050263</stp>
        <tr r="AF136" s="10"/>
      </tp>
      <tp t="e">
        <v>#N/A</v>
        <stp/>
        <stp>BDH|8029715420396594720</stp>
        <tr r="K166" s="10"/>
      </tp>
      <tp t="e">
        <v>#N/A</v>
        <stp/>
        <stp>BDH|7889948396852423985</stp>
        <tr r="AP137" s="10"/>
      </tp>
      <tp t="e">
        <v>#N/A</v>
        <stp/>
        <stp>BDH|3383410893153624114</stp>
        <tr r="I132" s="10"/>
      </tp>
      <tp t="e">
        <v>#N/A</v>
        <stp/>
        <stp>BDH|9935632895189157394</stp>
        <tr r="V77" s="10"/>
      </tp>
      <tp t="e">
        <v>#N/A</v>
        <stp/>
        <stp>BDH|3110168815818052755</stp>
        <tr r="AM145" s="10"/>
      </tp>
      <tp t="e">
        <v>#N/A</v>
        <stp/>
        <stp>BDH|6565372983312227345</stp>
        <tr r="J151" s="10"/>
      </tp>
      <tp t="e">
        <v>#N/A</v>
        <stp/>
        <stp>BDH|1162307744472556873</stp>
        <tr r="M4" s="10"/>
      </tp>
      <tp t="e">
        <v>#N/A</v>
        <stp/>
        <stp>BDH|4725908711466085615</stp>
        <tr r="AR114" s="10"/>
      </tp>
      <tp t="e">
        <v>#N/A</v>
        <stp/>
        <stp>BDH|4859936409918602938</stp>
        <tr r="AW17" s="10"/>
      </tp>
      <tp t="e">
        <v>#N/A</v>
        <stp/>
        <stp>BDH|1100296314249971726</stp>
        <tr r="D146" s="10"/>
      </tp>
      <tp t="e">
        <v>#N/A</v>
        <stp/>
        <stp>BDH|5452902442830193403</stp>
        <tr r="AK178" s="10"/>
      </tp>
      <tp t="e">
        <v>#N/A</v>
        <stp/>
        <stp>BDH|6680707648309190080</stp>
        <tr r="Y98" s="10"/>
      </tp>
      <tp t="e">
        <v>#N/A</v>
        <stp/>
        <stp>BDH|6597639786112766602</stp>
        <tr r="K6" s="10"/>
      </tp>
      <tp t="e">
        <v>#N/A</v>
        <stp/>
        <stp>BDH|7453141696963712069</stp>
        <tr r="J148" s="10"/>
      </tp>
      <tp t="e">
        <v>#N/A</v>
        <stp/>
        <stp>BDH|9378754338784128583</stp>
        <tr r="S102" s="10"/>
      </tp>
      <tp t="e">
        <v>#N/A</v>
        <stp/>
        <stp>BDH|9778782037798735987</stp>
        <tr r="AB103" s="10"/>
      </tp>
      <tp t="e">
        <v>#N/A</v>
        <stp/>
        <stp>BDH|3728625962656904997</stp>
        <tr r="AH105" s="10"/>
      </tp>
      <tp t="e">
        <v>#N/A</v>
        <stp/>
        <stp>BDH|8992784642163743431</stp>
        <tr r="U12" s="10"/>
      </tp>
      <tp t="e">
        <v>#N/A</v>
        <stp/>
        <stp>BDH|2032861421923218721</stp>
        <tr r="Y125" s="10"/>
      </tp>
      <tp t="e">
        <v>#N/A</v>
        <stp/>
        <stp>BDH|1199961514385323073</stp>
        <tr r="V102" s="10"/>
      </tp>
      <tp t="e">
        <v>#N/A</v>
        <stp/>
        <stp>BDH|2754626875398726708</stp>
        <tr r="M97" s="10"/>
      </tp>
      <tp t="e">
        <v>#N/A</v>
        <stp/>
        <stp>BDH|3350533377015633869</stp>
        <tr r="H116" s="10"/>
      </tp>
      <tp t="e">
        <v>#N/A</v>
        <stp/>
        <stp>BDH|7030605382491199447</stp>
        <tr r="I23" s="10"/>
      </tp>
      <tp t="e">
        <v>#N/A</v>
        <stp/>
        <stp>BDH|6077299909740127867</stp>
        <tr r="O46" s="10"/>
      </tp>
      <tp t="e">
        <v>#N/A</v>
        <stp/>
        <stp>BDH|3728233091927311315</stp>
        <tr r="V70" s="10"/>
      </tp>
      <tp t="e">
        <v>#N/A</v>
        <stp/>
        <stp>BDH|5931113313470423988</stp>
        <tr r="J4" s="10"/>
      </tp>
      <tp t="e">
        <v>#N/A</v>
        <stp/>
        <stp>BDH|9871121129973318570</stp>
        <tr r="AM29" s="10"/>
      </tp>
      <tp t="s">
        <v>#N/A Requesting Data...2155509130</v>
        <stp/>
        <stp>BDP|4177038839352840973</stp>
        <tr r="B48" s="6"/>
        <tr r="E37" s="1"/>
        <tr r="H109" s="2"/>
      </tp>
      <tp t="e">
        <v>#N/A</v>
        <stp/>
        <stp>BDH|5531670512848694623</stp>
        <tr r="N146" s="10"/>
      </tp>
      <tp t="e">
        <v>#N/A</v>
        <stp/>
        <stp>BDH|8175017667735177721</stp>
        <tr r="AT23" s="10"/>
      </tp>
      <tp t="e">
        <v>#N/A</v>
        <stp/>
        <stp>BDH|1776769660648329469</stp>
        <tr r="AH56" s="10"/>
      </tp>
      <tp t="e">
        <v>#N/A</v>
        <stp/>
        <stp>BDH|5704286886274836754</stp>
        <tr r="AT146" s="10"/>
      </tp>
      <tp t="e">
        <v>#N/A</v>
        <stp/>
        <stp>BDH|9547484630043808113</stp>
        <tr r="M53" s="10"/>
      </tp>
      <tp t="e">
        <v>#N/A</v>
        <stp/>
        <stp>BDH|8697445930152791117</stp>
        <tr r="S28" s="10"/>
      </tp>
      <tp t="e">
        <v>#N/A</v>
        <stp/>
        <stp>BDH|2998079697632408593</stp>
        <tr r="P183" s="10"/>
      </tp>
      <tp t="e">
        <v>#N/A</v>
        <stp/>
        <stp>BDH|9811517039180139350</stp>
        <tr r="X65" s="10"/>
      </tp>
      <tp t="e">
        <v>#N/A</v>
        <stp/>
        <stp>BDH|1957351970049163095</stp>
        <tr r="S71" s="10"/>
      </tp>
      <tp t="e">
        <v>#N/A</v>
        <stp/>
        <stp>BDH|1899553529783994992</stp>
        <tr r="AI188" s="10"/>
      </tp>
      <tp t="e">
        <v>#N/A</v>
        <stp/>
        <stp>BDH|4640653725048248408</stp>
        <tr r="P168" s="10"/>
      </tp>
      <tp t="e">
        <v>#N/A</v>
        <stp/>
        <stp>BDH|7431738890426418371</stp>
        <tr r="E62" s="10"/>
      </tp>
      <tp t="e">
        <v>#N/A</v>
        <stp/>
        <stp>BDH|4265554702518917588</stp>
        <tr r="AV185" s="10"/>
      </tp>
      <tp t="e">
        <v>#N/A</v>
        <stp/>
        <stp>BDH|1143205732139786506</stp>
        <tr r="D57" s="10"/>
      </tp>
      <tp t="e">
        <v>#N/A</v>
        <stp/>
        <stp>BDH|1907822960015787684</stp>
        <tr r="V109" s="10"/>
      </tp>
      <tp t="e">
        <v>#N/A</v>
        <stp/>
        <stp>BDH|1059995072584903775</stp>
        <tr r="D70" s="10"/>
      </tp>
      <tp t="e">
        <v>#N/A</v>
        <stp/>
        <stp>BDH|8617482303643073382</stp>
        <tr r="AR119" s="10"/>
      </tp>
      <tp t="e">
        <v>#N/A</v>
        <stp/>
        <stp>BDH|9046137227750509647</stp>
        <tr r="AL15" s="10"/>
      </tp>
      <tp t="e">
        <v>#N/A</v>
        <stp/>
        <stp>BDH|4407276150319773610</stp>
        <tr r="AE3" s="10"/>
      </tp>
      <tp t="e">
        <v>#N/A</v>
        <stp/>
        <stp>BDH|1606314238098330595</stp>
        <tr r="AS40" s="10"/>
      </tp>
      <tp t="e">
        <v>#N/A</v>
        <stp/>
        <stp>BDH|5801603410739915740</stp>
        <tr r="W110" s="10"/>
      </tp>
      <tp t="e">
        <v>#N/A</v>
        <stp/>
        <stp>BDH|3356331853748511137</stp>
        <tr r="J168" s="10"/>
      </tp>
      <tp t="e">
        <v>#N/A</v>
        <stp/>
        <stp>BDH|1369251699482216486</stp>
        <tr r="AU189" s="10"/>
      </tp>
      <tp t="e">
        <v>#N/A</v>
        <stp/>
        <stp>BDH|7040010790266229460</stp>
        <tr r="Z77" s="10"/>
      </tp>
      <tp t="e">
        <v>#N/A</v>
        <stp/>
        <stp>BDH|1133796391013839040</stp>
        <tr r="AQ25" s="10"/>
      </tp>
      <tp t="e">
        <v>#N/A</v>
        <stp/>
        <stp>BDH|4197713397094519273</stp>
        <tr r="AK10" s="10"/>
      </tp>
      <tp t="e">
        <v>#N/A</v>
        <stp/>
        <stp>BDH|3513561980197780511</stp>
        <tr r="R17" s="10"/>
      </tp>
      <tp t="e">
        <v>#N/A</v>
        <stp/>
        <stp>BDH|7215132003908193268</stp>
        <tr r="AC17" s="10"/>
      </tp>
      <tp t="e">
        <v>#N/A</v>
        <stp/>
        <stp>BDH|2025738647304562944</stp>
        <tr r="K139" s="10"/>
      </tp>
      <tp t="e">
        <v>#N/A</v>
        <stp/>
        <stp>BDH|9814658623274853534</stp>
        <tr r="U177" s="10"/>
      </tp>
      <tp t="e">
        <v>#N/A</v>
        <stp/>
        <stp>BDH|8875436249530684416</stp>
        <tr r="AH85" s="10"/>
      </tp>
      <tp t="e">
        <v>#N/A</v>
        <stp/>
        <stp>BDH|1892668191310275289</stp>
        <tr r="P94" s="10"/>
      </tp>
      <tp t="e">
        <v>#N/A</v>
        <stp/>
        <stp>BDH|2929298895644967196</stp>
        <tr r="H81" s="10"/>
      </tp>
      <tp t="e">
        <v>#N/A</v>
        <stp/>
        <stp>BDH|6415935827728777928</stp>
        <tr r="N185" s="10"/>
      </tp>
      <tp t="e">
        <v>#N/A</v>
        <stp/>
        <stp>BDH|7887279980856840723</stp>
        <tr r="X168" s="10"/>
      </tp>
      <tp t="e">
        <v>#N/A</v>
        <stp/>
        <stp>BDH|92496202041861451</stp>
        <tr r="AV80" s="10"/>
      </tp>
      <tp t="e">
        <v>#N/A</v>
        <stp/>
        <stp>BDH|95630454720623245</stp>
        <tr r="Y167" s="10"/>
      </tp>
      <tp t="e">
        <v>#N/A</v>
        <stp/>
        <stp>BDH|2242350108398711426</stp>
        <tr r="AB173" s="10"/>
      </tp>
      <tp t="e">
        <v>#N/A</v>
        <stp/>
        <stp>BDH|5869727444238645327</stp>
        <tr r="AB132" s="10"/>
      </tp>
      <tp t="e">
        <v>#N/A</v>
        <stp/>
        <stp>BDH|5049902197539830153</stp>
        <tr r="X192" s="10"/>
      </tp>
      <tp t="e">
        <v>#N/A</v>
        <stp/>
        <stp>BDH|8170799907505174749</stp>
        <tr r="AE50" s="10"/>
      </tp>
      <tp t="e">
        <v>#N/A</v>
        <stp/>
        <stp>BDH|1576145189804284105</stp>
        <tr r="AW184" s="10"/>
      </tp>
      <tp t="e">
        <v>#N/A</v>
        <stp/>
        <stp>BDH|5189182009071250886</stp>
        <tr r="AJ133" s="10"/>
      </tp>
      <tp t="e">
        <v>#N/A</v>
        <stp/>
        <stp>BDH|4589808650631655599</stp>
        <tr r="AT150" s="10"/>
      </tp>
      <tp t="e">
        <v>#N/A</v>
        <stp/>
        <stp>BDH|2324062628725193863</stp>
        <tr r="M42" s="10"/>
      </tp>
      <tp t="e">
        <v>#N/A</v>
        <stp/>
        <stp>BDH|9968465615512893382</stp>
        <tr r="AG30" s="10"/>
      </tp>
      <tp t="e">
        <v>#N/A</v>
        <stp/>
        <stp>BDH|3205200208988112415</stp>
        <tr r="U76" s="10"/>
      </tp>
      <tp t="e">
        <v>#N/A</v>
        <stp/>
        <stp>BDH|8282684951176805090</stp>
        <tr r="AH51" s="10"/>
      </tp>
      <tp t="e">
        <v>#N/A</v>
        <stp/>
        <stp>BDH|7861144876719341521</stp>
        <tr r="AB150" s="10"/>
      </tp>
      <tp t="e">
        <v>#N/A</v>
        <stp/>
        <stp>BDH|8123750605121856323</stp>
        <tr r="AI104" s="10"/>
      </tp>
      <tp t="e">
        <v>#N/A</v>
        <stp/>
        <stp>BDH|3220057769891482910</stp>
        <tr r="AS52" s="10"/>
      </tp>
      <tp t="e">
        <v>#N/A</v>
        <stp/>
        <stp>BDH|5713081497574616550</stp>
        <tr r="AA154" s="10"/>
      </tp>
      <tp t="e">
        <v>#N/A</v>
        <stp/>
        <stp>BDH|8055481074232307442</stp>
        <tr r="F34" s="10"/>
      </tp>
      <tp t="e">
        <v>#N/A</v>
        <stp/>
        <stp>BDH|6530676219258105410</stp>
        <tr r="I8" s="10"/>
      </tp>
      <tp t="e">
        <v>#N/A</v>
        <stp/>
        <stp>BDH|3958708297407784726</stp>
        <tr r="G131" s="10"/>
      </tp>
      <tp t="e">
        <v>#N/A</v>
        <stp/>
        <stp>BDH|9786492233222786116</stp>
        <tr r="C129" s="10"/>
      </tp>
      <tp t="e">
        <v>#N/A</v>
        <stp/>
        <stp>BDH|8910349528124986077</stp>
        <tr r="Q44" s="10"/>
      </tp>
      <tp t="e">
        <v>#N/A</v>
        <stp/>
        <stp>BDH|8887135443413371308</stp>
        <tr r="AW23" s="10"/>
      </tp>
      <tp t="e">
        <v>#N/A</v>
        <stp/>
        <stp>BDH|5795298867194599870</stp>
        <tr r="F93" s="10"/>
      </tp>
      <tp t="e">
        <v>#N/A</v>
        <stp/>
        <stp>BDH|9270509874783519580</stp>
        <tr r="S81" s="10"/>
      </tp>
      <tp t="e">
        <v>#N/A</v>
        <stp/>
        <stp>BDH|9994156730594596228</stp>
        <tr r="AU32" s="10"/>
      </tp>
      <tp t="e">
        <v>#N/A</v>
        <stp/>
        <stp>BDH|4942149714149070021</stp>
        <tr r="N35" s="10"/>
      </tp>
      <tp t="e">
        <v>#N/A</v>
        <stp/>
        <stp>BDH|6311690369373919819</stp>
        <tr r="W18" s="10"/>
      </tp>
      <tp t="e">
        <v>#N/A</v>
        <stp/>
        <stp>BDH|1079411743328085491</stp>
        <tr r="AO73" s="10"/>
      </tp>
      <tp t="e">
        <v>#N/A</v>
        <stp/>
        <stp>BDH|9161864588923606724</stp>
        <tr r="G6" s="10"/>
      </tp>
      <tp t="e">
        <v>#N/A</v>
        <stp/>
        <stp>BDH|4246596330826943990</stp>
        <tr r="F168" s="10"/>
      </tp>
      <tp t="e">
        <v>#N/A</v>
        <stp/>
        <stp>BDH|4383909655891854452</stp>
        <tr r="AI126" s="10"/>
      </tp>
      <tp t="e">
        <v>#N/A</v>
        <stp/>
        <stp>BDH|3106771960439620686</stp>
        <tr r="Q175" s="10"/>
      </tp>
      <tp t="e">
        <v>#N/A</v>
        <stp/>
        <stp>BDH|7480048537850618998</stp>
        <tr r="AI189" s="10"/>
      </tp>
      <tp t="e">
        <v>#N/A</v>
        <stp/>
        <stp>BDH|8664132218073301666</stp>
        <tr r="K94" s="10"/>
      </tp>
      <tp t="e">
        <v>#N/A</v>
        <stp/>
        <stp>BDH|6562494324929497447</stp>
        <tr r="D93" s="10"/>
      </tp>
      <tp t="e">
        <v>#N/A</v>
        <stp/>
        <stp>BDH|5658230904713850910</stp>
        <tr r="H78" s="10"/>
      </tp>
      <tp t="e">
        <v>#N/A</v>
        <stp/>
        <stp>BDH|8805661285309512265</stp>
        <tr r="J48" s="10"/>
      </tp>
      <tp t="e">
        <v>#N/A</v>
        <stp/>
        <stp>BDH|1046996003086042320</stp>
        <tr r="F37" s="10"/>
      </tp>
      <tp t="e">
        <v>#N/A</v>
        <stp/>
        <stp>BDH|9674717536282090293</stp>
        <tr r="H118" s="10"/>
      </tp>
      <tp t="e">
        <v>#N/A</v>
        <stp/>
        <stp>BDH|5809365055877228914</stp>
        <tr r="T184" s="10"/>
      </tp>
      <tp t="e">
        <v>#N/A</v>
        <stp/>
        <stp>BDH|8190594193870190927</stp>
        <tr r="AG43" s="10"/>
      </tp>
      <tp t="e">
        <v>#N/A</v>
        <stp/>
        <stp>BDH|8201992392314192102</stp>
        <tr r="AQ166" s="10"/>
      </tp>
      <tp t="e">
        <v>#N/A</v>
        <stp/>
        <stp>BDH|6809189223131949920</stp>
        <tr r="AM79" s="10"/>
      </tp>
      <tp t="e">
        <v>#N/A</v>
        <stp/>
        <stp>BDH|7451658154878408199</stp>
        <tr r="AC122" s="10"/>
      </tp>
      <tp t="e">
        <v>#N/A</v>
        <stp/>
        <stp>BDH|7985107996121326340</stp>
        <tr r="AD17" s="10"/>
      </tp>
      <tp t="e">
        <v>#N/A</v>
        <stp/>
        <stp>BDH|5947160983524561518</stp>
        <tr r="T57" s="10"/>
      </tp>
      <tp t="e">
        <v>#N/A</v>
        <stp/>
        <stp>BDH|6053209199764802495</stp>
        <tr r="V74" s="10"/>
      </tp>
      <tp t="s">
        <v>#N/A Requesting Data...3947585278</v>
        <stp/>
        <stp>BDP|8424732128996026662</stp>
        <tr r="B44" s="1"/>
      </tp>
      <tp t="e">
        <v>#N/A</v>
        <stp/>
        <stp>BDH|4978919480958228034</stp>
        <tr r="P87" s="10"/>
      </tp>
      <tp t="e">
        <v>#N/A</v>
        <stp/>
        <stp>BDH|1521571167226441984</stp>
        <tr r="U125" s="10"/>
      </tp>
      <tp t="e">
        <v>#N/A</v>
        <stp/>
        <stp>BDH|9370893993901588455</stp>
        <tr r="AG146" s="10"/>
      </tp>
      <tp t="e">
        <v>#N/A</v>
        <stp/>
        <stp>BDH|4933504067763659917</stp>
        <tr r="AG189" s="10"/>
      </tp>
      <tp t="e">
        <v>#N/A</v>
        <stp/>
        <stp>BDH|6893170155766782942</stp>
        <tr r="AP163" s="10"/>
      </tp>
      <tp t="e">
        <v>#N/A</v>
        <stp/>
        <stp>BDH|6621565553129824222</stp>
        <tr r="AV29" s="10"/>
      </tp>
      <tp t="e">
        <v>#N/A</v>
        <stp/>
        <stp>BDH|7128601190147105294</stp>
        <tr r="N161" s="10"/>
      </tp>
      <tp t="e">
        <v>#N/A</v>
        <stp/>
        <stp>BDH|1943675039628883166</stp>
        <tr r="AB130" s="10"/>
      </tp>
      <tp t="e">
        <v>#N/A</v>
        <stp/>
        <stp>BDH|6321681594380304459</stp>
        <tr r="AK125" s="10"/>
      </tp>
      <tp t="e">
        <v>#N/A</v>
        <stp/>
        <stp>BDH|5644544139698091627</stp>
        <tr r="R57" s="10"/>
      </tp>
      <tp t="s">
        <v>#N/A Requesting Data...3711320152</v>
        <stp/>
        <stp>BDP|5880786585457981023</stp>
        <tr r="B26" s="6"/>
        <tr r="E19" s="1"/>
        <tr r="H36" s="2"/>
        <tr r="H38" s="2"/>
        <tr r="H39" s="2"/>
        <tr r="H90" s="2"/>
      </tp>
      <tp t="e">
        <v>#N/A</v>
        <stp/>
        <stp>BDH|6766454360611546894</stp>
        <tr r="R189" s="10"/>
      </tp>
      <tp t="e">
        <v>#N/A</v>
        <stp/>
        <stp>BDH|5093876974473473498</stp>
        <tr r="AA150" s="10"/>
      </tp>
      <tp t="e">
        <v>#N/A</v>
        <stp/>
        <stp>BDH|2112586352176040955</stp>
        <tr r="Z151" s="10"/>
      </tp>
      <tp t="e">
        <v>#N/A</v>
        <stp/>
        <stp>BDH|2420786813720916984</stp>
        <tr r="AQ52" s="10"/>
      </tp>
      <tp t="e">
        <v>#N/A</v>
        <stp/>
        <stp>BDH|2797477390700919271</stp>
        <tr r="K145" s="10"/>
      </tp>
      <tp t="e">
        <v>#N/A</v>
        <stp/>
        <stp>BDH|7196038819272692932</stp>
        <tr r="I54" s="10"/>
      </tp>
      <tp t="e">
        <v>#N/A</v>
        <stp/>
        <stp>BDH|8368615476466355299</stp>
        <tr r="P104" s="10"/>
      </tp>
      <tp t="e">
        <v>#N/A</v>
        <stp/>
        <stp>BDH|2878777150644055918</stp>
        <tr r="X155" s="10"/>
      </tp>
      <tp t="e">
        <v>#N/A</v>
        <stp/>
        <stp>BDH|9713018065740525286</stp>
        <tr r="H24" s="10"/>
      </tp>
      <tp t="e">
        <v>#N/A</v>
        <stp/>
        <stp>BDH|5690693793232001527</stp>
        <tr r="G79" s="10"/>
      </tp>
      <tp t="e">
        <v>#N/A</v>
        <stp/>
        <stp>BDH|1272892594939969484</stp>
        <tr r="E92" s="10"/>
      </tp>
      <tp t="e">
        <v>#N/A</v>
        <stp/>
        <stp>BDH|3146461021930970808</stp>
        <tr r="R192" s="10"/>
      </tp>
      <tp t="e">
        <v>#N/A</v>
        <stp/>
        <stp>BDH|7284778293342889619</stp>
        <tr r="E39" s="10"/>
      </tp>
      <tp t="e">
        <v>#N/A</v>
        <stp/>
        <stp>BDH|9669098698804844907</stp>
        <tr r="M43" s="10"/>
      </tp>
      <tp t="e">
        <v>#N/A</v>
        <stp/>
        <stp>BDH|8253510508499063940</stp>
        <tr r="AK54" s="10"/>
      </tp>
      <tp t="e">
        <v>#N/A</v>
        <stp/>
        <stp>BDH|2431013141539979224</stp>
        <tr r="R181" s="10"/>
      </tp>
      <tp t="e">
        <v>#N/A</v>
        <stp/>
        <stp>BDH|1919896555814954533</stp>
        <tr r="E129" s="10"/>
      </tp>
      <tp t="e">
        <v>#N/A</v>
        <stp/>
        <stp>BDH|5356848639072667173</stp>
        <tr r="M20" s="10"/>
      </tp>
      <tp t="e">
        <v>#N/A</v>
        <stp/>
        <stp>BDH|3782856522800684496</stp>
        <tr r="AV69" s="10"/>
      </tp>
      <tp t="e">
        <v>#N/A</v>
        <stp/>
        <stp>BDH|5053850902437801709</stp>
        <tr r="V99" s="10"/>
      </tp>
      <tp t="e">
        <v>#N/A</v>
        <stp/>
        <stp>BDH|1618558593461640191</stp>
        <tr r="V110" s="10"/>
      </tp>
      <tp t="e">
        <v>#N/A</v>
        <stp/>
        <stp>BDH|1223933459436285656</stp>
        <tr r="AB20" s="10"/>
      </tp>
      <tp t="e">
        <v>#N/A</v>
        <stp/>
        <stp>BDH|8771167455404980526</stp>
        <tr r="P181" s="10"/>
      </tp>
      <tp t="e">
        <v>#N/A</v>
        <stp/>
        <stp>BDH|4308715600587891953</stp>
        <tr r="AR113" s="10"/>
      </tp>
      <tp t="e">
        <v>#N/A</v>
        <stp/>
        <stp>BDH|4969825234837137512</stp>
        <tr r="AT9" s="10"/>
      </tp>
      <tp t="e">
        <v>#N/A</v>
        <stp/>
        <stp>BDH|3189839901226586097</stp>
        <tr r="U83" s="10"/>
      </tp>
      <tp t="e">
        <v>#N/A</v>
        <stp/>
        <stp>BDH|4146782098665797296</stp>
        <tr r="AP44" s="10"/>
      </tp>
      <tp t="e">
        <v>#N/A</v>
        <stp/>
        <stp>BDH|6834897569514675118</stp>
        <tr r="AG178" s="10"/>
      </tp>
      <tp t="s">
        <v>#N/A Requesting Data...4025440173</v>
        <stp/>
        <stp>BDP|4835968766960215663</stp>
        <tr r="D19" s="6"/>
        <tr r="H43" s="1"/>
      </tp>
      <tp t="e">
        <v>#N/A</v>
        <stp/>
        <stp>BDH|1601221609428740660</stp>
        <tr r="J50" s="10"/>
      </tp>
      <tp t="e">
        <v>#N/A</v>
        <stp/>
        <stp>BDH|6856057073619130536</stp>
        <tr r="W147" s="10"/>
      </tp>
      <tp t="e">
        <v>#N/A</v>
        <stp/>
        <stp>BDH|7617390414448724006</stp>
        <tr r="AN184" s="10"/>
      </tp>
      <tp t="e">
        <v>#N/A</v>
        <stp/>
        <stp>BDH|7718230079039377627</stp>
        <tr r="G19" s="10"/>
      </tp>
      <tp t="e">
        <v>#N/A</v>
        <stp/>
        <stp>BDH|6942444481466769171</stp>
        <tr r="F117" s="10"/>
      </tp>
      <tp t="e">
        <v>#N/A</v>
        <stp/>
        <stp>BDH|8486001716071945578</stp>
        <tr r="L103" s="10"/>
      </tp>
      <tp t="e">
        <v>#N/A</v>
        <stp/>
        <stp>BDH|3946656935652203971</stp>
        <tr r="W124" s="10"/>
      </tp>
      <tp t="e">
        <v>#N/A</v>
        <stp/>
        <stp>BDH|7598943152934653292</stp>
        <tr r="AH157" s="10"/>
      </tp>
      <tp t="e">
        <v>#N/A</v>
        <stp/>
        <stp>BDH|1247766417522771886</stp>
        <tr r="U81" s="10"/>
      </tp>
      <tp t="e">
        <v>#N/A</v>
        <stp/>
        <stp>BDH|8842228053644128640</stp>
        <tr r="AH15" s="10"/>
      </tp>
      <tp t="e">
        <v>#N/A</v>
        <stp/>
        <stp>BDH|8517034050819957932</stp>
        <tr r="AN179" s="10"/>
      </tp>
      <tp t="e">
        <v>#N/A</v>
        <stp/>
        <stp>BDH|6116288797183670342</stp>
        <tr r="O191" s="10"/>
      </tp>
      <tp t="e">
        <v>#N/A</v>
        <stp/>
        <stp>BDH|7695990800115716646</stp>
        <tr r="K134" s="10"/>
      </tp>
      <tp t="e">
        <v>#N/A</v>
        <stp/>
        <stp>BDH|8527413249303590645</stp>
        <tr r="C65" s="10"/>
      </tp>
      <tp t="e">
        <v>#N/A</v>
        <stp/>
        <stp>BDH|2109871678575621548</stp>
        <tr r="M155" s="10"/>
      </tp>
      <tp t="e">
        <v>#N/A</v>
        <stp/>
        <stp>BDH|9497393751471363329</stp>
        <tr r="AH61" s="10"/>
      </tp>
      <tp t="e">
        <v>#N/A</v>
        <stp/>
        <stp>BDH|7463093690311263221</stp>
        <tr r="AQ46" s="10"/>
      </tp>
      <tp t="e">
        <v>#N/A</v>
        <stp/>
        <stp>BDH|2102573199724201704</stp>
        <tr r="R26" s="10"/>
      </tp>
      <tp t="e">
        <v>#N/A</v>
        <stp/>
        <stp>BDH|1641884143768753876</stp>
        <tr r="AK43" s="10"/>
      </tp>
      <tp t="e">
        <v>#N/A</v>
        <stp/>
        <stp>BDH|5942084280578952854</stp>
        <tr r="O44" s="10"/>
      </tp>
      <tp t="e">
        <v>#N/A</v>
        <stp/>
        <stp>BDH|4087368383634821600</stp>
        <tr r="AR37" s="10"/>
      </tp>
      <tp t="e">
        <v>#N/A</v>
        <stp/>
        <stp>BDH|4037184304649943181</stp>
        <tr r="Q171" s="10"/>
      </tp>
      <tp t="e">
        <v>#N/A</v>
        <stp/>
        <stp>BDH|1754085530737204800</stp>
        <tr r="D43" s="10"/>
      </tp>
      <tp t="e">
        <v>#N/A</v>
        <stp/>
        <stp>BDH|5327807823094557686</stp>
        <tr r="G142" s="10"/>
      </tp>
      <tp t="e">
        <v>#N/A</v>
        <stp/>
        <stp>BDH|2642281458659982120</stp>
        <tr r="AS175" s="10"/>
      </tp>
      <tp t="e">
        <v>#N/A</v>
        <stp/>
        <stp>BDH|7719629418305893889</stp>
        <tr r="AQ38" s="10"/>
      </tp>
      <tp t="e">
        <v>#N/A</v>
        <stp/>
        <stp>BDH|2634968736784815130</stp>
        <tr r="Y53" s="10"/>
      </tp>
      <tp t="e">
        <v>#N/A</v>
        <stp/>
        <stp>BDH|8554774348705781302</stp>
        <tr r="W179" s="10"/>
      </tp>
      <tp t="e">
        <v>#N/A</v>
        <stp/>
        <stp>BDH|9085199971264695636</stp>
        <tr r="Y64" s="10"/>
      </tp>
      <tp t="e">
        <v>#N/A</v>
        <stp/>
        <stp>BDH|7646931797142920869</stp>
        <tr r="Q147" s="10"/>
      </tp>
      <tp t="e">
        <v>#N/A</v>
        <stp/>
        <stp>BDH|2115678629363145831</stp>
        <tr r="M104" s="10"/>
      </tp>
      <tp t="e">
        <v>#N/A</v>
        <stp/>
        <stp>BDH|1393842552496956715</stp>
        <tr r="Z117" s="10"/>
      </tp>
      <tp t="e">
        <v>#N/A</v>
        <stp/>
        <stp>BDH|6441201789568988996</stp>
        <tr r="E180" s="10"/>
      </tp>
      <tp t="e">
        <v>#N/A</v>
        <stp/>
        <stp>BDH|8735353660559426946</stp>
        <tr r="V94" s="10"/>
      </tp>
      <tp t="e">
        <v>#N/A</v>
        <stp/>
        <stp>BDH|2958103862680884818</stp>
        <tr r="AV59" s="10"/>
      </tp>
      <tp t="e">
        <v>#N/A</v>
        <stp/>
        <stp>BDH|8188856012279593516</stp>
        <tr r="AQ28" s="10"/>
      </tp>
      <tp t="e">
        <v>#N/A</v>
        <stp/>
        <stp>BDH|4612822796380736871</stp>
        <tr r="J42" s="10"/>
      </tp>
      <tp t="e">
        <v>#N/A</v>
        <stp/>
        <stp>BDH|5755983959223598719</stp>
        <tr r="M117" s="10"/>
      </tp>
      <tp t="e">
        <v>#N/A</v>
        <stp/>
        <stp>BDH|6729018023931353841</stp>
        <tr r="Y42" s="10"/>
      </tp>
      <tp t="e">
        <v>#N/A</v>
        <stp/>
        <stp>BDH|1916848449164595438</stp>
        <tr r="P65" s="10"/>
      </tp>
      <tp t="e">
        <v>#N/A</v>
        <stp/>
        <stp>BDH|6107364046918204414</stp>
        <tr r="I47" s="10"/>
      </tp>
      <tp t="e">
        <v>#N/A</v>
        <stp/>
        <stp>BDH|5167104297087180753</stp>
        <tr r="W160" s="10"/>
      </tp>
      <tp t="e">
        <v>#N/A</v>
        <stp/>
        <stp>BDH|6621424026889764470</stp>
        <tr r="AB136" s="10"/>
      </tp>
      <tp t="e">
        <v>#N/A</v>
        <stp/>
        <stp>BDH|4689719611808239761</stp>
        <tr r="W131" s="10"/>
      </tp>
      <tp t="e">
        <v>#N/A</v>
        <stp/>
        <stp>BDH|3945410799040495376</stp>
        <tr r="AP108" s="10"/>
      </tp>
      <tp t="e">
        <v>#N/A</v>
        <stp/>
        <stp>BDH|7643050636499285053</stp>
        <tr r="AG127" s="10"/>
      </tp>
      <tp t="e">
        <v>#N/A</v>
        <stp/>
        <stp>BDH|8236550782538011079</stp>
        <tr r="U65" s="10"/>
      </tp>
      <tp t="e">
        <v>#N/A</v>
        <stp/>
        <stp>BDH|8537487421016699583</stp>
        <tr r="Y174" s="10"/>
      </tp>
      <tp t="s">
        <v>#N/A Requesting Data...3004798664</v>
        <stp/>
        <stp>BDP|2514845204916240142</stp>
        <tr r="F70" s="2"/>
      </tp>
      <tp t="s">
        <v>#N/A Requesting Data...2373012770</v>
        <stp/>
        <stp>BDP|1784364725595732806</stp>
        <tr r="D21" s="6"/>
        <tr r="H14" s="1"/>
      </tp>
      <tp t="e">
        <v>#N/A</v>
        <stp/>
        <stp>BDH|1984323327654884974</stp>
        <tr r="AG80" s="10"/>
      </tp>
      <tp t="e">
        <v>#N/A</v>
        <stp/>
        <stp>BDH|3085669544025666977</stp>
        <tr r="Z94" s="10"/>
      </tp>
      <tp t="e">
        <v>#N/A</v>
        <stp/>
        <stp>BDH|4813342897106169596</stp>
        <tr r="AD100" s="10"/>
      </tp>
      <tp t="e">
        <v>#N/A</v>
        <stp/>
        <stp>BDH|9322132845625239440</stp>
        <tr r="T168" s="10"/>
      </tp>
      <tp t="e">
        <v>#N/A</v>
        <stp/>
        <stp>BDH|6792227399969767985</stp>
        <tr r="C83" s="10"/>
      </tp>
      <tp t="e">
        <v>#N/A</v>
        <stp/>
        <stp>BDH|6995784616075598810</stp>
        <tr r="AO55" s="10"/>
      </tp>
      <tp t="e">
        <v>#N/A</v>
        <stp/>
        <stp>BDH|1237331282867542059</stp>
        <tr r="K114" s="10"/>
      </tp>
      <tp t="e">
        <v>#N/A</v>
        <stp/>
        <stp>BDH|5687336982876016540</stp>
        <tr r="AF3" s="10"/>
      </tp>
      <tp t="e">
        <v>#N/A</v>
        <stp/>
        <stp>BDH|5791831441496336256</stp>
        <tr r="AC163" s="10"/>
      </tp>
      <tp t="e">
        <v>#N/A</v>
        <stp/>
        <stp>BDH|3096914925496026373</stp>
        <tr r="AO139" s="10"/>
      </tp>
      <tp t="e">
        <v>#N/A</v>
        <stp/>
        <stp>BDH|9535878256141562820</stp>
        <tr r="C127" s="10"/>
      </tp>
      <tp t="e">
        <v>#N/A</v>
        <stp/>
        <stp>BDH|6306970020089261967</stp>
        <tr r="D178" s="10"/>
      </tp>
      <tp t="e">
        <v>#N/A</v>
        <stp/>
        <stp>BDH|9716921611225445906</stp>
        <tr r="H96" s="10"/>
      </tp>
      <tp t="e">
        <v>#N/A</v>
        <stp/>
        <stp>BDH|7187515906326058969</stp>
        <tr r="AG54" s="10"/>
      </tp>
      <tp t="e">
        <v>#N/A</v>
        <stp/>
        <stp>BDH|9480138942671246070</stp>
        <tr r="AQ181" s="10"/>
      </tp>
      <tp t="e">
        <v>#N/A</v>
        <stp/>
        <stp>BDH|6670188888046792413</stp>
        <tr r="AV186" s="10"/>
      </tp>
      <tp t="e">
        <v>#N/A</v>
        <stp/>
        <stp>BDH|2556691328633256863</stp>
        <tr r="E68" s="10"/>
      </tp>
      <tp t="e">
        <v>#N/A</v>
        <stp/>
        <stp>BDH|9577332448403610087</stp>
        <tr r="AH63" s="10"/>
      </tp>
      <tp t="e">
        <v>#N/A</v>
        <stp/>
        <stp>BDH|7004888469062690677</stp>
        <tr r="AJ157" s="10"/>
      </tp>
      <tp t="e">
        <v>#N/A</v>
        <stp/>
        <stp>BDH|3764416853399562603</stp>
        <tr r="T4" s="10"/>
      </tp>
      <tp t="e">
        <v>#N/A</v>
        <stp/>
        <stp>BDH|3063598280265127688</stp>
        <tr r="U129" s="10"/>
      </tp>
      <tp t="e">
        <v>#N/A</v>
        <stp/>
        <stp>BDH|6619502095692731540</stp>
        <tr r="P136" s="10"/>
      </tp>
      <tp t="e">
        <v>#N/A</v>
        <stp/>
        <stp>BDH|9223378052690186262</stp>
        <tr r="AG172" s="10"/>
      </tp>
      <tp t="e">
        <v>#N/A</v>
        <stp/>
        <stp>BDH|5751804817312666362</stp>
        <tr r="M190" s="10"/>
      </tp>
      <tp t="e">
        <v>#N/A</v>
        <stp/>
        <stp>BDH|5580692644402936815</stp>
        <tr r="W6" s="10"/>
      </tp>
      <tp t="e">
        <v>#N/A</v>
        <stp/>
        <stp>BDH|3640851667075598517</stp>
        <tr r="AI105" s="10"/>
      </tp>
      <tp t="e">
        <v>#N/A</v>
        <stp/>
        <stp>BDH|4492897417353937333</stp>
        <tr r="AS183" s="10"/>
      </tp>
      <tp t="e">
        <v>#N/A</v>
        <stp/>
        <stp>BDH|6200303097273157249</stp>
        <tr r="AB4" s="10"/>
      </tp>
      <tp t="e">
        <v>#N/A</v>
        <stp/>
        <stp>BDH|8869426713140195085</stp>
        <tr r="C193" s="10"/>
      </tp>
      <tp t="e">
        <v>#N/A</v>
        <stp/>
        <stp>BDH|6786805997458532257</stp>
        <tr r="AV89" s="10"/>
      </tp>
      <tp t="e">
        <v>#N/A</v>
        <stp/>
        <stp>BDH|2678928387486517866</stp>
        <tr r="AQ84" s="10"/>
      </tp>
      <tp t="e">
        <v>#N/A</v>
        <stp/>
        <stp>BDH|2337056926898530552</stp>
        <tr r="U62" s="10"/>
      </tp>
      <tp t="e">
        <v>#N/A</v>
        <stp/>
        <stp>BDH|3006963760025583434</stp>
        <tr r="AR150" s="10"/>
      </tp>
      <tp t="e">
        <v>#N/A</v>
        <stp/>
        <stp>BDH|1148953634233330539</stp>
        <tr r="AB85" s="10"/>
      </tp>
      <tp t="e">
        <v>#N/A</v>
        <stp/>
        <stp>BDH|1301190091157375388</stp>
        <tr r="AP37" s="10"/>
      </tp>
      <tp t="e">
        <v>#N/A</v>
        <stp/>
        <stp>BDH|7047829564914312046</stp>
        <tr r="AJ120" s="10"/>
      </tp>
      <tp t="e">
        <v>#N/A</v>
        <stp/>
        <stp>BDH|4766007298350639083</stp>
        <tr r="S163" s="10"/>
      </tp>
      <tp t="e">
        <v>#N/A</v>
        <stp/>
        <stp>BDH|7043579882003293466</stp>
        <tr r="J96" s="10"/>
      </tp>
      <tp t="e">
        <v>#N/A</v>
        <stp/>
        <stp>BDH|5176432274439120266</stp>
        <tr r="F114" s="10"/>
      </tp>
      <tp t="e">
        <v>#N/A</v>
        <stp/>
        <stp>BDH|4782545492850457544</stp>
        <tr r="AR86" s="10"/>
      </tp>
      <tp t="e">
        <v>#N/A</v>
        <stp/>
        <stp>BDH|4570663949922814938</stp>
        <tr r="AK29" s="10"/>
      </tp>
      <tp t="e">
        <v>#N/A</v>
        <stp/>
        <stp>BDH|8769113312481451413</stp>
        <tr r="Y121" s="10"/>
      </tp>
      <tp t="e">
        <v>#N/A</v>
        <stp/>
        <stp>BDH|6163922562872224628</stp>
        <tr r="AS65" s="10"/>
      </tp>
      <tp t="e">
        <v>#N/A</v>
        <stp/>
        <stp>BDH|4778270889630030384</stp>
        <tr r="AO4" s="10"/>
      </tp>
      <tp t="e">
        <v>#N/A</v>
        <stp/>
        <stp>BDH|6467836410961224340</stp>
        <tr r="AU27" s="10"/>
      </tp>
      <tp t="e">
        <v>#N/A</v>
        <stp/>
        <stp>BDH|2971989421713306723</stp>
        <tr r="AF40" s="10"/>
      </tp>
      <tp t="e">
        <v>#N/A</v>
        <stp/>
        <stp>BDH|8694453832476372433</stp>
        <tr r="AE101" s="10"/>
      </tp>
      <tp t="e">
        <v>#N/A</v>
        <stp/>
        <stp>BDH|3438110795350458659</stp>
        <tr r="AH100" s="10"/>
      </tp>
      <tp t="e">
        <v>#N/A</v>
        <stp/>
        <stp>BDH|2822810808917150012</stp>
        <tr r="AB156" s="10"/>
      </tp>
      <tp t="e">
        <v>#N/A</v>
        <stp/>
        <stp>BDH|7080667410268625510</stp>
        <tr r="AU101" s="10"/>
      </tp>
      <tp t="e">
        <v>#N/A</v>
        <stp/>
        <stp>BDH|1769319830338620410</stp>
        <tr r="C106" s="10"/>
      </tp>
      <tp t="e">
        <v>#N/A</v>
        <stp/>
        <stp>BDH|3834995161627769668</stp>
        <tr r="AB111" s="10"/>
      </tp>
      <tp t="e">
        <v>#N/A</v>
        <stp/>
        <stp>BDH|6716063956557580931</stp>
        <tr r="O86" s="10"/>
      </tp>
      <tp t="e">
        <v>#N/A</v>
        <stp/>
        <stp>BDH|4649475092012638633</stp>
        <tr r="AO87" s="10"/>
      </tp>
      <tp t="e">
        <v>#N/A</v>
        <stp/>
        <stp>BDH|4886742322565888906</stp>
        <tr r="AE176" s="10"/>
      </tp>
      <tp t="e">
        <v>#N/A</v>
        <stp/>
        <stp>BDH|7860887150394628300</stp>
        <tr r="AN17" s="10"/>
      </tp>
      <tp t="e">
        <v>#N/A</v>
        <stp/>
        <stp>BDH|1611923024104375357</stp>
        <tr r="AM169" s="10"/>
      </tp>
      <tp t="e">
        <v>#N/A</v>
        <stp/>
        <stp>BDH|4547841561697685008</stp>
        <tr r="AE102" s="10"/>
      </tp>
      <tp t="e">
        <v>#N/A</v>
        <stp/>
        <stp>BDH|8514166337774446366</stp>
        <tr r="AE112" s="10"/>
      </tp>
      <tp t="e">
        <v>#N/A</v>
        <stp/>
        <stp>BDH|9045017652444165543</stp>
        <tr r="V46" s="10"/>
      </tp>
      <tp t="e">
        <v>#N/A</v>
        <stp/>
        <stp>BDH|3610719022598196321</stp>
        <tr r="AI149" s="10"/>
      </tp>
      <tp t="e">
        <v>#N/A</v>
        <stp/>
        <stp>BDH|7724201327059323355</stp>
        <tr r="H157" s="10"/>
      </tp>
      <tp t="e">
        <v>#N/A</v>
        <stp/>
        <stp>BDH|4012946952815023009</stp>
        <tr r="AB33" s="10"/>
      </tp>
      <tp t="e">
        <v>#N/A</v>
        <stp/>
        <stp>BDH|5065993861556671180</stp>
        <tr r="H3" s="10"/>
      </tp>
      <tp t="e">
        <v>#N/A</v>
        <stp/>
        <stp>BDH|3765134391352245413</stp>
        <tr r="N188" s="10"/>
      </tp>
      <tp t="e">
        <v>#N/A</v>
        <stp/>
        <stp>BDH|1768217404696304871</stp>
        <tr r="Q93" s="10"/>
      </tp>
      <tp t="e">
        <v>#N/A</v>
        <stp/>
        <stp>BDH|5472627847973768907</stp>
        <tr r="AE165" s="10"/>
      </tp>
      <tp t="e">
        <v>#N/A</v>
        <stp/>
        <stp>BDH|9244295040695985747</stp>
        <tr r="J112" s="10"/>
      </tp>
      <tp t="e">
        <v>#N/A</v>
        <stp/>
        <stp>BDH|9663259433417733212</stp>
        <tr r="AA187" s="10"/>
      </tp>
      <tp t="e">
        <v>#N/A</v>
        <stp/>
        <stp>BDH|8410270961786656729</stp>
        <tr r="J152" s="10"/>
      </tp>
      <tp t="e">
        <v>#N/A</v>
        <stp/>
        <stp>BDH|1716933931087099136</stp>
        <tr r="Z74" s="10"/>
      </tp>
      <tp t="e">
        <v>#N/A</v>
        <stp/>
        <stp>BDH|3019243983230481457</stp>
        <tr r="AC90" s="10"/>
      </tp>
      <tp t="e">
        <v>#N/A</v>
        <stp/>
        <stp>BDH|2279308121089661737</stp>
        <tr r="AS138" s="10"/>
      </tp>
      <tp t="e">
        <v>#N/A</v>
        <stp/>
        <stp>BDH|6843978618693513045</stp>
        <tr r="O92" s="10"/>
      </tp>
      <tp t="s">
        <v>#N/A Requesting Data...2685521166</v>
        <stp/>
        <stp>BDP|8322537454487239210</stp>
        <tr r="D10" s="1"/>
      </tp>
      <tp t="e">
        <v>#N/A</v>
        <stp/>
        <stp>BDH|6539966628703805342</stp>
        <tr r="AM84" s="10"/>
      </tp>
      <tp t="e">
        <v>#N/A</v>
        <stp/>
        <stp>BDH|3966474384840894250</stp>
        <tr r="O176" s="10"/>
      </tp>
      <tp t="e">
        <v>#N/A</v>
        <stp/>
        <stp>BDH|4878187336138657377</stp>
        <tr r="M86" s="10"/>
      </tp>
      <tp t="e">
        <v>#N/A</v>
        <stp/>
        <stp>BDH|6994793340428788004</stp>
        <tr r="S140" s="10"/>
      </tp>
      <tp t="e">
        <v>#N/A</v>
        <stp/>
        <stp>BDH|8345313344210053214</stp>
        <tr r="AG134" s="10"/>
      </tp>
      <tp t="e">
        <v>#N/A</v>
        <stp/>
        <stp>BDH|7702801194199521216</stp>
        <tr r="AO145" s="10"/>
      </tp>
      <tp t="e">
        <v>#N/A</v>
        <stp/>
        <stp>BDH|1962477758539142407</stp>
        <tr r="G186" s="10"/>
      </tp>
      <tp t="e">
        <v>#N/A</v>
        <stp/>
        <stp>BDH|8473155850486600700</stp>
        <tr r="AF172" s="10"/>
      </tp>
      <tp t="e">
        <v>#N/A</v>
        <stp/>
        <stp>BDH|9918097256177320623</stp>
        <tr r="E108" s="10"/>
      </tp>
      <tp t="e">
        <v>#N/A</v>
        <stp/>
        <stp>BDH|2531605251168368408</stp>
        <tr r="D124" s="10"/>
      </tp>
      <tp t="e">
        <v>#N/A</v>
        <stp/>
        <stp>BDH|1886072728838426648</stp>
        <tr r="AG186" s="10"/>
      </tp>
      <tp t="e">
        <v>#N/A</v>
        <stp/>
        <stp>BDH|9530741626018733979</stp>
        <tr r="AR16" s="10"/>
      </tp>
      <tp t="e">
        <v>#N/A</v>
        <stp/>
        <stp>BDH|8646747919272903159</stp>
        <tr r="AV168" s="10"/>
      </tp>
      <tp t="e">
        <v>#N/A</v>
        <stp/>
        <stp>BDH|6460624796410083475</stp>
        <tr r="O139" s="10"/>
      </tp>
      <tp t="e">
        <v>#N/A</v>
        <stp/>
        <stp>BDH|9800198842302108350</stp>
        <tr r="Y97" s="10"/>
      </tp>
      <tp t="e">
        <v>#N/A</v>
        <stp/>
        <stp>BDH|2657911154586091545</stp>
        <tr r="AN186" s="10"/>
      </tp>
      <tp t="e">
        <v>#N/A</v>
        <stp/>
        <stp>BDH|4797384192661338295</stp>
        <tr r="J179" s="10"/>
      </tp>
      <tp t="e">
        <v>#N/A</v>
        <stp/>
        <stp>BDH|8701418174873281577</stp>
        <tr r="AE99" s="10"/>
      </tp>
      <tp t="e">
        <v>#N/A</v>
        <stp/>
        <stp>BDH|5381911646314721147</stp>
        <tr r="X37" s="10"/>
      </tp>
      <tp t="e">
        <v>#N/A</v>
        <stp/>
        <stp>BDH|7924392217531224928</stp>
        <tr r="AA75" s="10"/>
      </tp>
      <tp t="s">
        <v>#N/A Requesting Data...4115715468</v>
        <stp/>
        <stp>BDP|9045530210804792403</stp>
        <tr r="D45" s="6"/>
        <tr r="H33" s="1"/>
      </tp>
      <tp t="e">
        <v>#N/A</v>
        <stp/>
        <stp>BDH|8092532304952595268</stp>
        <tr r="N88" s="10"/>
      </tp>
      <tp t="e">
        <v>#N/A</v>
        <stp/>
        <stp>BDH|5411800763455142323</stp>
        <tr r="AU159" s="10"/>
      </tp>
      <tp t="e">
        <v>#N/A</v>
        <stp/>
        <stp>BDH|1326960501422928791</stp>
        <tr r="AI67" s="10"/>
      </tp>
      <tp t="e">
        <v>#N/A</v>
        <stp/>
        <stp>BDH|5923610980313513594</stp>
        <tr r="Z8" s="10"/>
      </tp>
      <tp t="e">
        <v>#N/A</v>
        <stp/>
        <stp>BDH|6880386456748690546</stp>
        <tr r="O58" s="10"/>
      </tp>
      <tp t="e">
        <v>#N/A</v>
        <stp/>
        <stp>BDH|3618544916078574254</stp>
        <tr r="T158" s="10"/>
      </tp>
      <tp t="e">
        <v>#N/A</v>
        <stp/>
        <stp>BDH|6192374537882776924</stp>
        <tr r="W192" s="10"/>
      </tp>
      <tp t="e">
        <v>#N/A</v>
        <stp/>
        <stp>BDH|9547862560292662814</stp>
        <tr r="AV35" s="10"/>
      </tp>
      <tp t="e">
        <v>#N/A</v>
        <stp/>
        <stp>BDH|2735867964539415856</stp>
        <tr r="T85" s="10"/>
      </tp>
      <tp t="e">
        <v>#N/A</v>
        <stp/>
        <stp>BDH|6870278918731680958</stp>
        <tr r="AG151" s="10"/>
      </tp>
      <tp t="e">
        <v>#N/A</v>
        <stp/>
        <stp>BDH|9845282712947704012</stp>
        <tr r="E11" s="10"/>
      </tp>
      <tp t="e">
        <v>#N/A</v>
        <stp/>
        <stp>BDH|5682910468881286697</stp>
        <tr r="AF94" s="10"/>
      </tp>
      <tp t="e">
        <v>#N/A</v>
        <stp/>
        <stp>BDH|8848330924476886236</stp>
        <tr r="V88" s="10"/>
      </tp>
      <tp t="e">
        <v>#N/A</v>
        <stp/>
        <stp>BDH|8907203439632171643</stp>
        <tr r="AV95" s="10"/>
      </tp>
      <tp t="e">
        <v>#N/A</v>
        <stp/>
        <stp>BDH|6977033309678021361</stp>
        <tr r="AV105" s="10"/>
      </tp>
      <tp t="e">
        <v>#N/A</v>
        <stp/>
        <stp>BDH|1157322333518020450</stp>
        <tr r="AU104" s="10"/>
      </tp>
      <tp t="e">
        <v>#N/A</v>
        <stp/>
        <stp>BDH|2105860151153493178</stp>
        <tr r="Q52" s="10"/>
      </tp>
      <tp t="e">
        <v>#N/A</v>
        <stp/>
        <stp>BDH|4348096104751952820</stp>
        <tr r="Q53" s="10"/>
      </tp>
      <tp t="e">
        <v>#N/A</v>
        <stp/>
        <stp>BDH|2446017320399154416</stp>
        <tr r="AI159" s="10"/>
      </tp>
      <tp t="e">
        <v>#N/A</v>
        <stp/>
        <stp>BDH|4512348074969770472</stp>
        <tr r="AE121" s="10"/>
      </tp>
      <tp t="e">
        <v>#N/A</v>
        <stp/>
        <stp>BDH|9241663794113316862</stp>
        <tr r="K150" s="10"/>
      </tp>
      <tp t="e">
        <v>#N/A</v>
        <stp/>
        <stp>BDH|5068074963428741666</stp>
        <tr r="P152" s="10"/>
      </tp>
      <tp t="e">
        <v>#N/A</v>
        <stp/>
        <stp>BDH|7569914726373035275</stp>
        <tr r="Q193" s="10"/>
      </tp>
      <tp t="e">
        <v>#N/A</v>
        <stp/>
        <stp>BDH|8869463920293353084</stp>
        <tr r="Y166" s="10"/>
      </tp>
      <tp t="e">
        <v>#N/A</v>
        <stp/>
        <stp>BDH|8136276149740838328</stp>
        <tr r="AF8" s="10"/>
      </tp>
      <tp t="e">
        <v>#N/A</v>
        <stp/>
        <stp>BDH|8757173115684791171</stp>
        <tr r="AO63" s="10"/>
      </tp>
      <tp t="e">
        <v>#N/A</v>
        <stp/>
        <stp>BDH|8099247437365277141</stp>
        <tr r="AN124" s="10"/>
      </tp>
      <tp t="e">
        <v>#N/A</v>
        <stp/>
        <stp>BDH|9036788497743804926</stp>
        <tr r="AB114" s="10"/>
      </tp>
      <tp t="e">
        <v>#N/A</v>
        <stp/>
        <stp>BDH|9373505153785568109</stp>
        <tr r="AD5" s="10"/>
      </tp>
      <tp t="e">
        <v>#N/A</v>
        <stp/>
        <stp>BDH|6591742822097577931</stp>
        <tr r="S43" s="10"/>
      </tp>
      <tp t="e">
        <v>#N/A</v>
        <stp/>
        <stp>BDH|1709884319546068338</stp>
        <tr r="AP19" s="10"/>
      </tp>
      <tp t="e">
        <v>#N/A</v>
        <stp/>
        <stp>BDH|5422865409423845369</stp>
        <tr r="AF173" s="10"/>
      </tp>
    </main>
    <main first="bofaddin.rtdserver">
      <tp t="e">
        <v>#N/A</v>
        <stp/>
        <stp>BDH|18731463824710514</stp>
        <tr r="O17" s="10"/>
      </tp>
      <tp t="e">
        <v>#N/A</v>
        <stp/>
        <stp>BDH|42718325527042205</stp>
        <tr r="AU192" s="10"/>
      </tp>
      <tp t="e">
        <v>#N/A</v>
        <stp/>
        <stp>BDH|73321785872265992</stp>
        <tr r="U109" s="10"/>
      </tp>
      <tp t="e">
        <v>#N/A</v>
        <stp/>
        <stp>BDH|53538679231182302</stp>
        <tr r="AH75" s="10"/>
      </tp>
      <tp t="e">
        <v>#N/A</v>
        <stp/>
        <stp>BDH|55991333579258333</stp>
        <tr r="AV182" s="10"/>
      </tp>
      <tp t="s">
        <v>#N/A Requesting Data...3227107380</v>
        <stp/>
        <stp>BDP|5886864416200511271</stp>
        <tr r="B9" s="1"/>
      </tp>
      <tp t="e">
        <v>#N/A</v>
        <stp/>
        <stp>BDH|6193813628960222202</stp>
        <tr r="L155" s="10"/>
      </tp>
      <tp t="e">
        <v>#N/A</v>
        <stp/>
        <stp>BDH|1405000563568813156</stp>
        <tr r="F144" s="10"/>
      </tp>
      <tp t="e">
        <v>#N/A</v>
        <stp/>
        <stp>BDH|9586482363711495406</stp>
        <tr r="I38" s="10"/>
      </tp>
      <tp t="e">
        <v>#N/A</v>
        <stp/>
        <stp>BDH|5032843025558986928</stp>
        <tr r="L84" s="10"/>
      </tp>
      <tp t="e">
        <v>#N/A</v>
        <stp/>
        <stp>BDH|8277883177159102063</stp>
        <tr r="AC184" s="10"/>
      </tp>
      <tp t="e">
        <v>#N/A</v>
        <stp/>
        <stp>BDH|5921355187963677370</stp>
        <tr r="AA47" s="10"/>
      </tp>
      <tp t="e">
        <v>#N/A</v>
        <stp/>
        <stp>BDH|2119007216879533484</stp>
        <tr r="I55" s="10"/>
      </tp>
      <tp t="e">
        <v>#N/A</v>
        <stp/>
        <stp>BDH|4215995286413017879</stp>
        <tr r="AC143" s="10"/>
      </tp>
      <tp t="e">
        <v>#N/A</v>
        <stp/>
        <stp>BDH|8247169462187537694</stp>
        <tr r="AL80" s="10"/>
      </tp>
      <tp t="e">
        <v>#N/A</v>
        <stp/>
        <stp>BDH|4950209698388243995</stp>
        <tr r="C160" s="10"/>
      </tp>
      <tp t="e">
        <v>#N/A</v>
        <stp/>
        <stp>BDH|6281989827067675407</stp>
        <tr r="E170" s="10"/>
      </tp>
      <tp t="e">
        <v>#N/A</v>
        <stp/>
        <stp>BDH|8567368958600501058</stp>
        <tr r="AP7" s="10"/>
      </tp>
      <tp t="e">
        <v>#N/A</v>
        <stp/>
        <stp>BDH|4448377892077931733</stp>
        <tr r="AL54" s="10"/>
      </tp>
      <tp t="e">
        <v>#N/A</v>
        <stp/>
        <stp>BDH|7938365232618013162</stp>
        <tr r="AD176" s="10"/>
      </tp>
      <tp t="e">
        <v>#N/A</v>
        <stp/>
        <stp>BDH|8679685300389331967</stp>
        <tr r="AG23" s="10"/>
      </tp>
      <tp t="e">
        <v>#N/A</v>
        <stp/>
        <stp>BDH|9834026167298548937</stp>
        <tr r="AF88" s="10"/>
      </tp>
      <tp t="e">
        <v>#N/A</v>
        <stp/>
        <stp>BDH|1937719038719933228</stp>
        <tr r="AF146" s="10"/>
      </tp>
      <tp t="e">
        <v>#N/A</v>
        <stp/>
        <stp>BDH|7871419271882629852</stp>
        <tr r="F21" s="10"/>
      </tp>
      <tp t="e">
        <v>#N/A</v>
        <stp/>
        <stp>BDH|3323415529842725974</stp>
        <tr r="T176" s="10"/>
      </tp>
      <tp t="e">
        <v>#N/A</v>
        <stp/>
        <stp>BDH|4096009968699091537</stp>
        <tr r="X28" s="10"/>
      </tp>
      <tp t="e">
        <v>#N/A</v>
        <stp/>
        <stp>BDH|4013163253687866968</stp>
        <tr r="AN94" s="10"/>
      </tp>
      <tp t="e">
        <v>#N/A</v>
        <stp/>
        <stp>BDH|8519515343864451386</stp>
        <tr r="AW157" s="10"/>
      </tp>
      <tp t="e">
        <v>#N/A</v>
        <stp/>
        <stp>BDH|9216347848815674536</stp>
        <tr r="H68" s="10"/>
      </tp>
      <tp t="e">
        <v>#N/A</v>
        <stp/>
        <stp>BDH|1400199781014440233</stp>
        <tr r="AL84" s="10"/>
      </tp>
      <tp t="e">
        <v>#N/A</v>
        <stp/>
        <stp>BDH|8862129316842595420</stp>
        <tr r="AH141" s="10"/>
      </tp>
      <tp t="s">
        <v>#N/A Requesting Data...3399574616</v>
        <stp/>
        <stp>BDP|9771278590894919818</stp>
        <tr r="I18" s="1"/>
      </tp>
      <tp t="e">
        <v>#N/A</v>
        <stp/>
        <stp>BDH|8362361639974380277</stp>
        <tr r="H66" s="10"/>
      </tp>
      <tp t="e">
        <v>#N/A</v>
        <stp/>
        <stp>BDH|7217036105861842849</stp>
        <tr r="N95" s="10"/>
      </tp>
      <tp t="e">
        <v>#N/A</v>
        <stp/>
        <stp>BDH|2488643799825209636</stp>
        <tr r="H135" s="10"/>
      </tp>
      <tp t="e">
        <v>#N/A</v>
        <stp/>
        <stp>BDH|9851721680938012029</stp>
        <tr r="Z122" s="10"/>
      </tp>
      <tp t="e">
        <v>#N/A</v>
        <stp/>
        <stp>BDH|7020413089533834680</stp>
        <tr r="AQ8" s="10"/>
      </tp>
      <tp t="e">
        <v>#N/A</v>
        <stp/>
        <stp>BDH|3990879817761482556</stp>
        <tr r="AO29" s="10"/>
      </tp>
      <tp t="e">
        <v>#N/A</v>
        <stp/>
        <stp>BDH|3475396185891738772</stp>
        <tr r="AS26" s="10"/>
      </tp>
      <tp t="e">
        <v>#N/A</v>
        <stp/>
        <stp>BDH|2282811548151390109</stp>
        <tr r="AD47" s="10"/>
      </tp>
      <tp t="e">
        <v>#N/A</v>
        <stp/>
        <stp>BDH|8161397569302913109</stp>
        <tr r="P84" s="10"/>
      </tp>
      <tp t="e">
        <v>#N/A</v>
        <stp/>
        <stp>BDH|4007555441282558998</stp>
        <tr r="G91" s="10"/>
      </tp>
      <tp t="e">
        <v>#N/A</v>
        <stp/>
        <stp>BDH|6800198114141572980</stp>
        <tr r="J52" s="10"/>
      </tp>
      <tp t="s">
        <v>#N/A Requesting Data...2430364802</v>
        <stp/>
        <stp>BDP|9698251064157701498</stp>
        <tr r="B16" s="6"/>
        <tr r="E11" s="1"/>
        <tr r="H16" s="2"/>
      </tp>
      <tp t="e">
        <v>#N/A</v>
        <stp/>
        <stp>BDH|9874076800335206241</stp>
        <tr r="R40" s="10"/>
      </tp>
      <tp t="e">
        <v>#N/A</v>
        <stp/>
        <stp>BDH|5303297403050115914</stp>
        <tr r="AR35" s="10"/>
      </tp>
      <tp t="e">
        <v>#N/A</v>
        <stp/>
        <stp>BDH|5633873294218480288</stp>
        <tr r="AD166" s="10"/>
      </tp>
      <tp t="e">
        <v>#N/A</v>
        <stp/>
        <stp>BDH|4259346208461756800</stp>
        <tr r="O64" s="10"/>
      </tp>
      <tp t="e">
        <v>#N/A</v>
        <stp/>
        <stp>BDH|2395659808188508226</stp>
        <tr r="Y135" s="10"/>
      </tp>
      <tp t="e">
        <v>#N/A</v>
        <stp/>
        <stp>BDH|4070038431021288890</stp>
        <tr r="O190" s="10"/>
      </tp>
      <tp t="e">
        <v>#N/A</v>
        <stp/>
        <stp>BDH|6982536100989361406</stp>
        <tr r="S54" s="10"/>
      </tp>
      <tp t="e">
        <v>#N/A</v>
        <stp/>
        <stp>BDH|1249905135875911070</stp>
        <tr r="AC63" s="10"/>
      </tp>
      <tp t="e">
        <v>#N/A</v>
        <stp/>
        <stp>BDH|1542282336427713958</stp>
        <tr r="I149" s="10"/>
      </tp>
      <tp t="e">
        <v>#N/A</v>
        <stp/>
        <stp>BDH|2252396632965522953</stp>
        <tr r="AH19" s="10"/>
      </tp>
      <tp t="e">
        <v>#N/A</v>
        <stp/>
        <stp>BDH|7040494364282606952</stp>
        <tr r="AP80" s="10"/>
      </tp>
      <tp t="e">
        <v>#N/A</v>
        <stp/>
        <stp>BDH|7829340754507616806</stp>
        <tr r="U148" s="10"/>
      </tp>
      <tp t="e">
        <v>#N/A</v>
        <stp/>
        <stp>BDH|8452652241466841264</stp>
        <tr r="AM108" s="10"/>
      </tp>
      <tp t="e">
        <v>#N/A</v>
        <stp/>
        <stp>BDH|9946444065522174770</stp>
        <tr r="AB42" s="10"/>
      </tp>
      <tp t="e">
        <v>#N/A</v>
        <stp/>
        <stp>BDH|8977362130946173009</stp>
        <tr r="R71" s="10"/>
      </tp>
      <tp t="e">
        <v>#N/A</v>
        <stp/>
        <stp>BDH|8717505375526414285</stp>
        <tr r="N112" s="10"/>
      </tp>
      <tp t="e">
        <v>#N/A</v>
        <stp/>
        <stp>BDH|7319394434789835087</stp>
        <tr r="AA106" s="10"/>
      </tp>
      <tp t="e">
        <v>#N/A</v>
        <stp/>
        <stp>BDH|9818222635873458558</stp>
        <tr r="AS177" s="10"/>
      </tp>
      <tp t="e">
        <v>#N/A</v>
        <stp/>
        <stp>BDH|4905706015085101930</stp>
        <tr r="AE92" s="10"/>
      </tp>
      <tp t="e">
        <v>#N/A</v>
        <stp/>
        <stp>BDH|1318854877733716388</stp>
        <tr r="AU72" s="10"/>
      </tp>
      <tp t="e">
        <v>#N/A</v>
        <stp/>
        <stp>BDH|5231893705892537157</stp>
        <tr r="W59" s="10"/>
      </tp>
      <tp t="e">
        <v>#N/A</v>
        <stp/>
        <stp>BDH|7748207558887034916</stp>
        <tr r="R156" s="10"/>
      </tp>
      <tp t="e">
        <v>#N/A</v>
        <stp/>
        <stp>BDH|9359980962428718011</stp>
        <tr r="M141" s="10"/>
      </tp>
      <tp t="e">
        <v>#N/A</v>
        <stp/>
        <stp>BDH|6545546033116960846</stp>
        <tr r="AE149" s="10"/>
      </tp>
      <tp t="e">
        <v>#N/A</v>
        <stp/>
        <stp>BDH|3919653892604425654</stp>
        <tr r="AW50" s="10"/>
      </tp>
      <tp t="e">
        <v>#N/A</v>
        <stp/>
        <stp>BDH|8984778118132936205</stp>
        <tr r="AA52" s="10"/>
      </tp>
      <tp t="e">
        <v>#N/A</v>
        <stp/>
        <stp>BDH|8838150266576090748</stp>
        <tr r="G72" s="10"/>
      </tp>
      <tp t="e">
        <v>#N/A</v>
        <stp/>
        <stp>BDH|3258635189086319547</stp>
        <tr r="AW62" s="10"/>
      </tp>
      <tp t="e">
        <v>#N/A</v>
        <stp/>
        <stp>BDH|9788392717131661404</stp>
        <tr r="V14" s="10"/>
      </tp>
      <tp t="e">
        <v>#N/A</v>
        <stp/>
        <stp>BDH|6841148797684704432</stp>
        <tr r="AM152" s="10"/>
      </tp>
      <tp t="e">
        <v>#N/A</v>
        <stp/>
        <stp>BDH|4113860035415885456</stp>
        <tr r="P56" s="10"/>
      </tp>
      <tp t="e">
        <v>#N/A</v>
        <stp/>
        <stp>BDH|2983832605790503456</stp>
        <tr r="AN69" s="10"/>
      </tp>
      <tp t="e">
        <v>#N/A</v>
        <stp/>
        <stp>BDH|4569719818049628551</stp>
        <tr r="G121" s="10"/>
      </tp>
      <tp t="e">
        <v>#N/A</v>
        <stp/>
        <stp>BDH|5035099700392374952</stp>
        <tr r="AR70" s="10"/>
      </tp>
      <tp t="e">
        <v>#N/A</v>
        <stp/>
        <stp>BDH|6377352898155338729</stp>
        <tr r="Y43" s="10"/>
      </tp>
      <tp t="e">
        <v>#N/A</v>
        <stp/>
        <stp>BDH|6865243304702466805</stp>
        <tr r="AB29" s="10"/>
      </tp>
      <tp t="e">
        <v>#N/A</v>
        <stp/>
        <stp>BDH|2562092918138942510</stp>
        <tr r="L38" s="10"/>
      </tp>
      <tp t="e">
        <v>#N/A</v>
        <stp/>
        <stp>BDH|8917617424653866185</stp>
        <tr r="AD91" s="10"/>
      </tp>
      <tp t="e">
        <v>#N/A</v>
        <stp/>
        <stp>BDH|4425394098040833011</stp>
        <tr r="AJ117" s="10"/>
      </tp>
      <tp t="e">
        <v>#N/A</v>
        <stp/>
        <stp>BDH|2317884660191265356</stp>
        <tr r="AQ7" s="10"/>
      </tp>
      <tp t="e">
        <v>#N/A</v>
        <stp/>
        <stp>BDH|9731080563899743878</stp>
        <tr r="S138" s="10"/>
      </tp>
      <tp t="e">
        <v>#N/A</v>
        <stp/>
        <stp>BDH|9156742585429832149</stp>
        <tr r="AD149" s="10"/>
      </tp>
      <tp t="e">
        <v>#N/A</v>
        <stp/>
        <stp>BDH|1790122868049050117</stp>
        <tr r="AH73" s="10"/>
      </tp>
      <tp t="e">
        <v>#N/A</v>
        <stp/>
        <stp>BDH|2764475548824672824</stp>
        <tr r="AG24" s="10"/>
      </tp>
      <tp t="e">
        <v>#N/A</v>
        <stp/>
        <stp>BDH|8693777811436915650</stp>
        <tr r="AQ57" s="10"/>
      </tp>
      <tp t="e">
        <v>#N/A</v>
        <stp/>
        <stp>BDH|3189900476000809337</stp>
        <tr r="AI12" s="10"/>
      </tp>
      <tp t="e">
        <v>#N/A</v>
        <stp/>
        <stp>BDH|8401657031852578197</stp>
        <tr r="AB109" s="10"/>
      </tp>
      <tp t="e">
        <v>#N/A</v>
        <stp/>
        <stp>BDH|8167594744894359331</stp>
        <tr r="AD85" s="10"/>
      </tp>
      <tp t="s">
        <v>#N/A Requesting Data...2510220660</v>
        <stp/>
        <stp>BDP|9204950957368433394</stp>
        <tr r="O35" s="1"/>
      </tp>
      <tp t="e">
        <v>#N/A</v>
        <stp/>
        <stp>BDH|3096954873916312587</stp>
        <tr r="O16" s="10"/>
      </tp>
      <tp t="e">
        <v>#N/A</v>
        <stp/>
        <stp>BDH|9469133646756549493</stp>
        <tr r="AM161" s="10"/>
      </tp>
      <tp t="e">
        <v>#N/A</v>
        <stp/>
        <stp>BDH|2698920957098783895</stp>
        <tr r="W139" s="10"/>
      </tp>
      <tp t="e">
        <v>#N/A</v>
        <stp/>
        <stp>BDH|6314507562433967852</stp>
        <tr r="I182" s="10"/>
      </tp>
      <tp t="e">
        <v>#N/A</v>
        <stp/>
        <stp>BDH|7987145630888737370</stp>
        <tr r="Y18" s="10"/>
      </tp>
      <tp t="e">
        <v>#N/A</v>
        <stp/>
        <stp>BDH|3107299864998179101</stp>
        <tr r="Z139" s="10"/>
      </tp>
      <tp t="e">
        <v>#N/A</v>
        <stp/>
        <stp>BDH|7957438413624654825</stp>
        <tr r="AE190" s="10"/>
      </tp>
      <tp t="e">
        <v>#N/A</v>
        <stp/>
        <stp>BDH|8095540259686409044</stp>
        <tr r="S105" s="10"/>
      </tp>
      <tp t="e">
        <v>#N/A</v>
        <stp/>
        <stp>BDH|4940807325635479559</stp>
        <tr r="AU38" s="10"/>
      </tp>
      <tp t="e">
        <v>#N/A</v>
        <stp/>
        <stp>BDH|1289687688289684899</stp>
        <tr r="AW51" s="10"/>
      </tp>
      <tp t="e">
        <v>#N/A</v>
        <stp/>
        <stp>BDH|6698582182875070018</stp>
        <tr r="Q124" s="10"/>
      </tp>
      <tp t="e">
        <v>#N/A</v>
        <stp/>
        <stp>BDH|8267853456429981257</stp>
        <tr r="G139" s="10"/>
      </tp>
      <tp t="s">
        <v>#N/A Requesting Data...2835415713</v>
        <stp/>
        <stp>BDP|4564029618679421292</stp>
        <tr r="D29" s="6"/>
        <tr r="H21" s="1"/>
      </tp>
      <tp t="e">
        <v>#N/A</v>
        <stp/>
        <stp>BDH|5043568041948229277</stp>
        <tr r="J74" s="10"/>
      </tp>
      <tp t="e">
        <v>#N/A</v>
        <stp/>
        <stp>BDH|9654030217245128315</stp>
        <tr r="N108" s="10"/>
      </tp>
      <tp t="e">
        <v>#N/A</v>
        <stp/>
        <stp>BDH|6190142934993234914</stp>
        <tr r="AO40" s="10"/>
      </tp>
      <tp t="e">
        <v>#N/A</v>
        <stp/>
        <stp>BDH|6104535734199302772</stp>
        <tr r="AR81" s="10"/>
      </tp>
      <tp t="e">
        <v>#N/A</v>
        <stp/>
        <stp>BDH|3039915932020064719</stp>
        <tr r="L7" s="10"/>
      </tp>
      <tp t="e">
        <v>#N/A</v>
        <stp/>
        <stp>BDH|9572103541756481422</stp>
        <tr r="AD188" s="10"/>
      </tp>
      <tp t="e">
        <v>#N/A</v>
        <stp/>
        <stp>BDH|3533301985142394412</stp>
        <tr r="Z106" s="10"/>
      </tp>
      <tp t="e">
        <v>#N/A</v>
        <stp/>
        <stp>BDH|1824458437040824802</stp>
        <tr r="N99" s="10"/>
      </tp>
      <tp t="e">
        <v>#N/A</v>
        <stp/>
        <stp>BDH|9328800778259039199</stp>
        <tr r="AF53" s="10"/>
      </tp>
      <tp t="e">
        <v>#N/A</v>
        <stp/>
        <stp>BDH|1777271386030681523</stp>
        <tr r="C24" s="10"/>
      </tp>
      <tp t="e">
        <v>#N/A</v>
        <stp/>
        <stp>BDH|3229326027889492518</stp>
        <tr r="N130" s="10"/>
      </tp>
      <tp t="e">
        <v>#N/A</v>
        <stp/>
        <stp>BDH|9683506754630219724</stp>
        <tr r="AC156" s="10"/>
      </tp>
      <tp t="e">
        <v>#N/A</v>
        <stp/>
        <stp>BDH|1648340550119196013</stp>
        <tr r="AC102" s="10"/>
      </tp>
      <tp t="e">
        <v>#N/A</v>
        <stp/>
        <stp>BDH|6595807520265530721</stp>
        <tr r="AT185" s="10"/>
      </tp>
      <tp t="e">
        <v>#N/A</v>
        <stp/>
        <stp>BDH|8072434313074352706</stp>
        <tr r="AB19" s="10"/>
      </tp>
      <tp t="e">
        <v>#N/A</v>
        <stp/>
        <stp>BDH|1403873515336760024</stp>
        <tr r="AI175" s="10"/>
      </tp>
      <tp t="e">
        <v>#N/A</v>
        <stp/>
        <stp>BDH|3314751866465212917</stp>
        <tr r="AL169" s="10"/>
      </tp>
      <tp t="e">
        <v>#N/A</v>
        <stp/>
        <stp>BDH|7724150299250165193</stp>
        <tr r="AK111" s="10"/>
      </tp>
      <tp t="e">
        <v>#N/A</v>
        <stp/>
        <stp>BDH|4532330905651071807</stp>
        <tr r="AT86" s="10"/>
      </tp>
      <tp t="e">
        <v>#N/A</v>
        <stp/>
        <stp>BDH|6381767232909446506</stp>
        <tr r="AM179" s="10"/>
      </tp>
      <tp t="e">
        <v>#N/A</v>
        <stp/>
        <stp>BDH|7173954411217241641</stp>
        <tr r="Q130" s="10"/>
      </tp>
      <tp t="e">
        <v>#N/A</v>
        <stp/>
        <stp>BDH|2794946752059536978</stp>
        <tr r="AT60" s="10"/>
      </tp>
      <tp t="e">
        <v>#N/A</v>
        <stp/>
        <stp>BDH|1352876653320457201</stp>
        <tr r="AF75" s="10"/>
      </tp>
      <tp t="e">
        <v>#N/A</v>
        <stp/>
        <stp>BDH|5059824574546099259</stp>
        <tr r="L67" s="10"/>
      </tp>
      <tp t="e">
        <v>#N/A</v>
        <stp/>
        <stp>BDH|9645631004696674740</stp>
        <tr r="Z80" s="10"/>
      </tp>
      <tp t="e">
        <v>#N/A</v>
        <stp/>
        <stp>BDH|8779623226664649661</stp>
        <tr r="AC183" s="10"/>
      </tp>
      <tp t="e">
        <v>#N/A</v>
        <stp/>
        <stp>BDH|4089336993910161026</stp>
        <tr r="N53" s="10"/>
      </tp>
      <tp t="e">
        <v>#N/A</v>
        <stp/>
        <stp>BDH|1435011987201461650</stp>
        <tr r="O19" s="10"/>
      </tp>
      <tp t="e">
        <v>#N/A</v>
        <stp/>
        <stp>BDH|9364134233682836781</stp>
        <tr r="F14" s="10"/>
      </tp>
      <tp t="e">
        <v>#N/A</v>
        <stp/>
        <stp>BDH|8057600138556308586</stp>
        <tr r="W21" s="10"/>
      </tp>
      <tp t="e">
        <v>#N/A</v>
        <stp/>
        <stp>BDH|9299539887292084853</stp>
        <tr r="S57" s="10"/>
      </tp>
      <tp t="e">
        <v>#N/A</v>
        <stp/>
        <stp>BDH|1747753890804170503</stp>
        <tr r="Z129" s="10"/>
      </tp>
      <tp t="e">
        <v>#N/A</v>
        <stp/>
        <stp>BDH|9879038891268145684</stp>
        <tr r="AN192" s="10"/>
      </tp>
      <tp t="e">
        <v>#N/A</v>
        <stp/>
        <stp>BDH|9871726308913669373</stp>
        <tr r="T133" s="10"/>
      </tp>
      <tp t="e">
        <v>#N/A</v>
        <stp/>
        <stp>BDH|3724252082726697152</stp>
        <tr r="W105" s="10"/>
      </tp>
      <tp t="e">
        <v>#N/A</v>
        <stp/>
        <stp>BDH|4398759871732799832</stp>
        <tr r="AA42" s="10"/>
      </tp>
      <tp t="e">
        <v>#N/A</v>
        <stp/>
        <stp>BDH|2265990745391990040</stp>
        <tr r="D173" s="10"/>
      </tp>
      <tp t="e">
        <v>#N/A</v>
        <stp/>
        <stp>BDH|5536358413629291015</stp>
        <tr r="AA51" s="10"/>
      </tp>
      <tp t="e">
        <v>#N/A</v>
        <stp/>
        <stp>BDH|3902874807986893314</stp>
        <tr r="S130" s="10"/>
      </tp>
      <tp t="e">
        <v>#N/A</v>
        <stp/>
        <stp>BDH|6963146685211192098</stp>
        <tr r="AD60" s="10"/>
      </tp>
      <tp t="e">
        <v>#N/A</v>
        <stp/>
        <stp>BDH|4201481177340916940</stp>
        <tr r="AM43" s="10"/>
      </tp>
      <tp t="e">
        <v>#N/A</v>
        <stp/>
        <stp>BDH|9065333436411022651</stp>
        <tr r="AJ77" s="10"/>
      </tp>
      <tp t="e">
        <v>#N/A</v>
        <stp/>
        <stp>BDH|7960925826011556383</stp>
        <tr r="Z170" s="10"/>
      </tp>
      <tp t="e">
        <v>#N/A</v>
        <stp/>
        <stp>BDH|2117855475260217333</stp>
        <tr r="Q102" s="10"/>
      </tp>
      <tp t="e">
        <v>#N/A</v>
        <stp/>
        <stp>BDH|8559153900583442443</stp>
        <tr r="AF43" s="10"/>
      </tp>
      <tp t="e">
        <v>#N/A</v>
        <stp/>
        <stp>BDH|3328080698354640051</stp>
        <tr r="AV85" s="10"/>
      </tp>
      <tp t="e">
        <v>#N/A</v>
        <stp/>
        <stp>BDH|9961034158581433360</stp>
        <tr r="AP66" s="10"/>
      </tp>
      <tp t="e">
        <v>#N/A</v>
        <stp/>
        <stp>BDH|6942083260467937987</stp>
        <tr r="W65" s="10"/>
      </tp>
      <tp t="e">
        <v>#N/A</v>
        <stp/>
        <stp>BDH|6467061866387114953</stp>
        <tr r="AE103" s="10"/>
      </tp>
      <tp t="e">
        <v>#N/A</v>
        <stp/>
        <stp>BDH|4658046942376003809</stp>
        <tr r="M37" s="10"/>
      </tp>
      <tp t="e">
        <v>#N/A</v>
        <stp/>
        <stp>BDH|4101788299620041403</stp>
        <tr r="AH20" s="10"/>
      </tp>
      <tp t="e">
        <v>#N/A</v>
        <stp/>
        <stp>BDH|7945962090959724082</stp>
        <tr r="AQ143" s="10"/>
      </tp>
      <tp t="s">
        <v>#N/A Requesting Data...3115781632</v>
        <stp/>
        <stp>BDP|4601496048083724913</stp>
        <tr r="I20" s="1"/>
      </tp>
      <tp t="e">
        <v>#N/A</v>
        <stp/>
        <stp>BDH|6524101454454011807</stp>
        <tr r="D116" s="10"/>
      </tp>
      <tp t="e">
        <v>#N/A</v>
        <stp/>
        <stp>BDH|1216455231488023072</stp>
        <tr r="AR39" s="10"/>
      </tp>
      <tp t="e">
        <v>#N/A</v>
        <stp/>
        <stp>BDH|4468083065019935515</stp>
        <tr r="X48" s="10"/>
      </tp>
      <tp t="e">
        <v>#N/A</v>
        <stp/>
        <stp>BDH|2866713838100350832</stp>
        <tr r="AV159" s="10"/>
      </tp>
      <tp t="e">
        <v>#N/A</v>
        <stp/>
        <stp>BDH|1798154881291498764</stp>
        <tr r="AL175" s="10"/>
      </tp>
      <tp t="e">
        <v>#N/A</v>
        <stp/>
        <stp>BDH|7567548196660588532</stp>
        <tr r="AW134" s="10"/>
      </tp>
      <tp t="e">
        <v>#N/A</v>
        <stp/>
        <stp>BDH|6121805977186629111</stp>
        <tr r="D53" s="10"/>
      </tp>
      <tp t="e">
        <v>#N/A</v>
        <stp/>
        <stp>BDH|4423432690043228445</stp>
        <tr r="F164" s="10"/>
      </tp>
      <tp t="e">
        <v>#N/A</v>
        <stp/>
        <stp>BDH|8549686605271854113</stp>
        <tr r="AA109" s="10"/>
      </tp>
      <tp t="e">
        <v>#N/A</v>
        <stp/>
        <stp>BDH|4432353455158290470</stp>
        <tr r="I32" s="10"/>
      </tp>
      <tp t="e">
        <v>#N/A</v>
        <stp/>
        <stp>BDH|7307272717232381813</stp>
        <tr r="AH39" s="10"/>
      </tp>
      <tp t="e">
        <v>#N/A</v>
        <stp/>
        <stp>BDH|8674572966692298740</stp>
        <tr r="AI158" s="10"/>
      </tp>
      <tp t="e">
        <v>#N/A</v>
        <stp/>
        <stp>BDH|2862694450668199717</stp>
        <tr r="AL146" s="10"/>
      </tp>
      <tp t="e">
        <v>#N/A</v>
        <stp/>
        <stp>BDH|1787700294194468562</stp>
        <tr r="AS89" s="10"/>
      </tp>
      <tp t="e">
        <v>#N/A</v>
        <stp/>
        <stp>BDH|7889086592520242013</stp>
        <tr r="F82" s="10"/>
      </tp>
      <tp t="e">
        <v>#N/A</v>
        <stp/>
        <stp>BDH|4034498244792927851</stp>
        <tr r="AC190" s="10"/>
      </tp>
      <tp t="e">
        <v>#N/A</v>
        <stp/>
        <stp>BDH|7045723514927307840</stp>
        <tr r="AR145" s="10"/>
      </tp>
      <tp t="e">
        <v>#N/A</v>
        <stp/>
        <stp>BDH|9114810761701115819</stp>
        <tr r="T148" s="10"/>
      </tp>
      <tp t="e">
        <v>#N/A</v>
        <stp/>
        <stp>BDH|1513881939951226575</stp>
        <tr r="R70" s="10"/>
      </tp>
      <tp t="s">
        <v>#N/A Requesting Data...2597949967</v>
        <stp/>
        <stp>BDP|3754522881591481163</stp>
        <tr r="I22" s="1"/>
      </tp>
      <tp t="s">
        <v>#N/A Requesting Data...2641172530</v>
        <stp/>
        <stp>BDP|2149520936143664956</stp>
        <tr r="D17" s="6"/>
        <tr r="H12" s="1"/>
      </tp>
      <tp t="e">
        <v>#N/A</v>
        <stp/>
        <stp>BDH|6842067329829435358</stp>
        <tr r="AC119" s="10"/>
      </tp>
      <tp t="e">
        <v>#N/A</v>
        <stp/>
        <stp>BDH|7509983811103236282</stp>
        <tr r="AW162" s="10"/>
      </tp>
      <tp t="e">
        <v>#N/A</v>
        <stp/>
        <stp>BDH|9048025449531970240</stp>
        <tr r="V108" s="10"/>
      </tp>
      <tp t="e">
        <v>#N/A</v>
        <stp/>
        <stp>BDH|6996455685373787782</stp>
        <tr r="V114" s="10"/>
      </tp>
      <tp t="e">
        <v>#N/A</v>
        <stp/>
        <stp>BDH|8056213576767901485</stp>
        <tr r="W51" s="10"/>
      </tp>
      <tp t="e">
        <v>#N/A</v>
        <stp/>
        <stp>BDH|3653405210609117110</stp>
        <tr r="AT61" s="10"/>
      </tp>
      <tp t="e">
        <v>#N/A</v>
        <stp/>
        <stp>BDH|8645068348861836361</stp>
        <tr r="AM89" s="10"/>
      </tp>
      <tp t="e">
        <v>#N/A</v>
        <stp/>
        <stp>BDH|9299990608628378661</stp>
        <tr r="T166" s="10"/>
      </tp>
      <tp t="e">
        <v>#N/A</v>
        <stp/>
        <stp>BDH|9312930374930245904</stp>
        <tr r="G101" s="10"/>
      </tp>
      <tp t="e">
        <v>#N/A</v>
        <stp/>
        <stp>BDH|7168173054488491500</stp>
        <tr r="AW136" s="10"/>
      </tp>
      <tp t="e">
        <v>#N/A</v>
        <stp/>
        <stp>BDH|2357435473897705820</stp>
        <tr r="G183" s="10"/>
      </tp>
      <tp t="e">
        <v>#N/A</v>
        <stp/>
        <stp>BDH|8323316130297188155</stp>
        <tr r="W156" s="10"/>
      </tp>
      <tp t="e">
        <v>#N/A</v>
        <stp/>
        <stp>BDH|1117058996710468605</stp>
        <tr r="AD191" s="10"/>
      </tp>
      <tp t="e">
        <v>#N/A</v>
        <stp/>
        <stp>BDH|4990207472767442891</stp>
        <tr r="AI64" s="10"/>
      </tp>
      <tp t="e">
        <v>#N/A</v>
        <stp/>
        <stp>BDH|5672628764373169876</stp>
        <tr r="E175" s="10"/>
      </tp>
      <tp t="s">
        <v>#N/A Requesting Data...3461663606</v>
        <stp/>
        <stp>BDP|6388616126979629553</stp>
        <tr r="I37" s="1"/>
      </tp>
      <tp t="e">
        <v>#N/A</v>
        <stp/>
        <stp>BDH|8433706340977496274</stp>
        <tr r="U68" s="10"/>
      </tp>
      <tp t="e">
        <v>#N/A</v>
        <stp/>
        <stp>BDH|3392669583315555647</stp>
        <tr r="W103" s="10"/>
      </tp>
      <tp t="e">
        <v>#N/A</v>
        <stp/>
        <stp>BDH|5366344712401320814</stp>
        <tr r="S146" s="10"/>
      </tp>
      <tp t="e">
        <v>#N/A</v>
        <stp/>
        <stp>BDH|4752311640075048810</stp>
        <tr r="AQ150" s="10"/>
      </tp>
      <tp t="e">
        <v>#N/A</v>
        <stp/>
        <stp>BDH|9681282898234985883</stp>
        <tr r="AC86" s="10"/>
      </tp>
      <tp t="e">
        <v>#N/A</v>
        <stp/>
        <stp>BDH|2061171285500638532</stp>
        <tr r="O63" s="10"/>
      </tp>
      <tp t="e">
        <v>#N/A</v>
        <stp/>
        <stp>BDH|3835550472547857801</stp>
        <tr r="O120" s="10"/>
      </tp>
      <tp t="e">
        <v>#N/A</v>
        <stp/>
        <stp>BDH|5008083552087478991</stp>
        <tr r="I105" s="10"/>
      </tp>
      <tp t="e">
        <v>#N/A</v>
        <stp/>
        <stp>BDH|3019823777295737757</stp>
        <tr r="AN106" s="10"/>
      </tp>
      <tp t="e">
        <v>#N/A</v>
        <stp/>
        <stp>BDH|7763731092063585449</stp>
        <tr r="T108" s="10"/>
      </tp>
      <tp t="e">
        <v>#N/A</v>
        <stp/>
        <stp>BDH|3262457604628677128</stp>
        <tr r="AW9" s="10"/>
      </tp>
      <tp t="e">
        <v>#N/A</v>
        <stp/>
        <stp>BDH|2696142492371759506</stp>
        <tr r="AR158" s="10"/>
      </tp>
      <tp t="e">
        <v>#N/A</v>
        <stp/>
        <stp>BDH|8280165166918292977</stp>
        <tr r="V56" s="10"/>
      </tp>
      <tp t="e">
        <v>#N/A</v>
        <stp/>
        <stp>BDH|7757209466535529834</stp>
        <tr r="AV40" s="10"/>
      </tp>
      <tp t="e">
        <v>#N/A</v>
        <stp/>
        <stp>BDH|4111648644769684108</stp>
        <tr r="AG171" s="10"/>
      </tp>
      <tp t="e">
        <v>#N/A</v>
        <stp/>
        <stp>BDH|6231703495884001206</stp>
        <tr r="AO92" s="10"/>
      </tp>
      <tp t="e">
        <v>#N/A</v>
        <stp/>
        <stp>BDH|5741813776592645627</stp>
        <tr r="R111" s="10"/>
      </tp>
      <tp t="e">
        <v>#N/A</v>
        <stp/>
        <stp>BDH|8247009073397792627</stp>
        <tr r="AO6" s="10"/>
      </tp>
      <tp t="e">
        <v>#N/A</v>
        <stp/>
        <stp>BDH|8627114466294750521</stp>
        <tr r="S17" s="10"/>
      </tp>
      <tp t="e">
        <v>#N/A</v>
        <stp/>
        <stp>BDH|3185476016481599910</stp>
        <tr r="AC176" s="10"/>
      </tp>
      <tp t="e">
        <v>#N/A</v>
        <stp/>
        <stp>BDH|8923112749314524705</stp>
        <tr r="P122" s="10"/>
      </tp>
      <tp t="e">
        <v>#N/A</v>
        <stp/>
        <stp>BDH|6702035691439214834</stp>
        <tr r="AS166" s="10"/>
      </tp>
      <tp t="e">
        <v>#N/A</v>
        <stp/>
        <stp>BDH|1517174994000577775</stp>
        <tr r="X25" s="10"/>
      </tp>
      <tp t="e">
        <v>#N/A</v>
        <stp/>
        <stp>BDH|9370940140179676357</stp>
        <tr r="AH173" s="10"/>
      </tp>
      <tp t="e">
        <v>#N/A</v>
        <stp/>
        <stp>BDH|1188916890428550716</stp>
        <tr r="L119" s="10"/>
      </tp>
      <tp t="e">
        <v>#N/A</v>
        <stp/>
        <stp>BDH|8273575002792297114</stp>
        <tr r="AO116" s="10"/>
      </tp>
      <tp t="e">
        <v>#N/A</v>
        <stp/>
        <stp>BDH|4237760965952112947</stp>
        <tr r="W163" s="10"/>
      </tp>
      <tp t="e">
        <v>#N/A</v>
        <stp/>
        <stp>BDH|5808606894872935612</stp>
        <tr r="AO185" s="10"/>
      </tp>
      <tp t="e">
        <v>#N/A</v>
        <stp/>
        <stp>BDH|8412457714807609470</stp>
        <tr r="Z167" s="10"/>
      </tp>
      <tp t="e">
        <v>#N/A</v>
        <stp/>
        <stp>BDH|2038175114435145968</stp>
        <tr r="C27" s="10"/>
      </tp>
      <tp t="e">
        <v>#N/A</v>
        <stp/>
        <stp>BDH|3320168035619278665</stp>
        <tr r="Z105" s="10"/>
      </tp>
      <tp t="s">
        <v>#N/A Requesting Data...3072301432</v>
        <stp/>
        <stp>BDP|4547856714587654473</stp>
        <tr r="I11" s="1"/>
      </tp>
      <tp t="e">
        <v>#N/A</v>
        <stp/>
        <stp>BDH|1903168129518649458</stp>
        <tr r="AT129" s="10"/>
      </tp>
      <tp t="e">
        <v>#N/A</v>
        <stp/>
        <stp>BDH|8941990485536974195</stp>
        <tr r="S70" s="10"/>
      </tp>
      <tp t="e">
        <v>#N/A</v>
        <stp/>
        <stp>BDH|9331648010872159234</stp>
        <tr r="L136" s="10"/>
      </tp>
      <tp t="e">
        <v>#N/A</v>
        <stp/>
        <stp>BDH|8039270143911091111</stp>
        <tr r="AW121" s="10"/>
      </tp>
      <tp t="e">
        <v>#N/A</v>
        <stp/>
        <stp>BDH|3041541120248230231</stp>
        <tr r="L62" s="10"/>
      </tp>
      <tp t="e">
        <v>#N/A</v>
        <stp/>
        <stp>BDH|4170903966446328317</stp>
        <tr r="H178" s="10"/>
      </tp>
      <tp t="e">
        <v>#N/A</v>
        <stp/>
        <stp>BDH|6350201682197179557</stp>
        <tr r="Y26" s="10"/>
      </tp>
      <tp t="e">
        <v>#N/A</v>
        <stp/>
        <stp>BDH|3415600363514222900</stp>
        <tr r="AE104" s="10"/>
      </tp>
      <tp t="e">
        <v>#N/A</v>
        <stp/>
        <stp>BDH|8369031364772606276</stp>
        <tr r="K85" s="10"/>
      </tp>
      <tp t="e">
        <v>#N/A</v>
        <stp/>
        <stp>BDH|2848027399592591737</stp>
        <tr r="AK110" s="10"/>
      </tp>
      <tp t="e">
        <v>#N/A</v>
        <stp/>
        <stp>BDH|3162659962945193827</stp>
        <tr r="AR76" s="10"/>
      </tp>
      <tp t="e">
        <v>#N/A</v>
        <stp/>
        <stp>BDH|9863529471573907670</stp>
        <tr r="D151" s="10"/>
      </tp>
      <tp t="e">
        <v>#N/A</v>
        <stp/>
        <stp>BDH|5728992205016921478</stp>
        <tr r="U66" s="10"/>
      </tp>
      <tp t="e">
        <v>#N/A</v>
        <stp/>
        <stp>BDH|1431208672388704245</stp>
        <tr r="U167" s="10"/>
      </tp>
      <tp t="e">
        <v>#N/A</v>
        <stp/>
        <stp>BDH|9420210660624780770</stp>
        <tr r="AF73" s="10"/>
      </tp>
      <tp t="e">
        <v>#N/A</v>
        <stp/>
        <stp>BDH|2626572782816328755</stp>
        <tr r="C43" s="10"/>
      </tp>
      <tp t="e">
        <v>#N/A</v>
        <stp/>
        <stp>BDH|4468312082282584370</stp>
        <tr r="N189" s="10"/>
      </tp>
      <tp t="e">
        <v>#N/A</v>
        <stp/>
        <stp>BDH|2429809165027339576</stp>
        <tr r="R84" s="10"/>
      </tp>
    </main>
    <main first="bofaddin.rtdserver">
      <tp t="e">
        <v>#N/A</v>
        <stp/>
        <stp>BDH|69601840213363252</stp>
        <tr r="AI163" s="10"/>
      </tp>
      <tp t="e">
        <v>#N/A</v>
        <stp/>
        <stp>BDH|53117350860956799</stp>
        <tr r="R30" s="10"/>
      </tp>
      <tp t="e">
        <v>#N/A</v>
        <stp/>
        <stp>BDH|7169286726150072857</stp>
        <tr r="AE122" s="10"/>
      </tp>
      <tp t="e">
        <v>#N/A</v>
        <stp/>
        <stp>BDH|4387222281368989930</stp>
        <tr r="AW99" s="10"/>
      </tp>
      <tp t="e">
        <v>#N/A</v>
        <stp/>
        <stp>BDH|2099665388711790232</stp>
        <tr r="AA85" s="10"/>
      </tp>
      <tp t="e">
        <v>#N/A</v>
        <stp/>
        <stp>BDH|7332193383933484272</stp>
        <tr r="AE30" s="10"/>
      </tp>
      <tp t="e">
        <v>#N/A</v>
        <stp/>
        <stp>BDH|9860773034660376227</stp>
        <tr r="AG175" s="10"/>
      </tp>
      <tp t="e">
        <v>#N/A</v>
        <stp/>
        <stp>BDH|9280094500977171101</stp>
        <tr r="C121" s="10"/>
      </tp>
      <tp t="e">
        <v>#N/A</v>
        <stp/>
        <stp>BDH|3912868864210811299</stp>
        <tr r="P127" s="10"/>
      </tp>
      <tp t="e">
        <v>#N/A</v>
        <stp/>
        <stp>BDH|7993045890233540228</stp>
        <tr r="AK98" s="10"/>
      </tp>
      <tp t="e">
        <v>#N/A</v>
        <stp/>
        <stp>BDH|8027480251576058030</stp>
        <tr r="T32" s="10"/>
      </tp>
      <tp t="e">
        <v>#N/A</v>
        <stp/>
        <stp>BDH|5913907468686814334</stp>
        <tr r="AI137" s="10"/>
      </tp>
      <tp t="e">
        <v>#N/A</v>
        <stp/>
        <stp>BDH|9941392458505013526</stp>
        <tr r="G110" s="10"/>
      </tp>
      <tp t="e">
        <v>#N/A</v>
        <stp/>
        <stp>BDH|4955651472658048241</stp>
        <tr r="Z124" s="10"/>
      </tp>
      <tp t="e">
        <v>#N/A</v>
        <stp/>
        <stp>BDH|9470410408280607212</stp>
        <tr r="AF35" s="10"/>
      </tp>
      <tp t="e">
        <v>#N/A</v>
        <stp/>
        <stp>BDH|9474890710656708907</stp>
        <tr r="AL9" s="10"/>
      </tp>
      <tp t="e">
        <v>#N/A</v>
        <stp/>
        <stp>BDH|2263933239807162032</stp>
        <tr r="AA125" s="10"/>
      </tp>
      <tp t="e">
        <v>#N/A</v>
        <stp/>
        <stp>BDH|8156798537453544006</stp>
        <tr r="AD154" s="10"/>
      </tp>
      <tp t="e">
        <v>#N/A</v>
        <stp/>
        <stp>BDH|4520583691887021060</stp>
        <tr r="AP133" s="10"/>
      </tp>
      <tp t="e">
        <v>#N/A</v>
        <stp/>
        <stp>BDH|8797381126514644254</stp>
        <tr r="AB81" s="10"/>
      </tp>
      <tp t="s">
        <v>#N/A Requesting Data...2816058285</v>
        <stp/>
        <stp>BDP|3616975497345961947</stp>
        <tr r="D6" s="1"/>
      </tp>
      <tp t="e">
        <v>#N/A</v>
        <stp/>
        <stp>BDH|3370058393553608689</stp>
        <tr r="L131" s="10"/>
      </tp>
      <tp t="e">
        <v>#N/A</v>
        <stp/>
        <stp>BDH|6847631184164546315</stp>
        <tr r="AH172" s="10"/>
      </tp>
      <tp t="e">
        <v>#N/A</v>
        <stp/>
        <stp>BDH|8492648918393532365</stp>
        <tr r="K16" s="10"/>
      </tp>
      <tp t="e">
        <v>#N/A</v>
        <stp/>
        <stp>BDH|9047671993981818879</stp>
        <tr r="AQ34" s="10"/>
      </tp>
      <tp t="e">
        <v>#N/A</v>
        <stp/>
        <stp>BDH|2809049152891078952</stp>
        <tr r="AL126" s="10"/>
      </tp>
      <tp t="e">
        <v>#N/A</v>
        <stp/>
        <stp>BDH|9328104289168238733</stp>
        <tr r="F99" s="10"/>
      </tp>
      <tp t="e">
        <v>#N/A</v>
        <stp/>
        <stp>BDH|7974828729836016490</stp>
        <tr r="AL42" s="10"/>
      </tp>
      <tp t="e">
        <v>#N/A</v>
        <stp/>
        <stp>BDH|1174207896322831746</stp>
        <tr r="AS87" s="10"/>
      </tp>
      <tp t="e">
        <v>#N/A</v>
        <stp/>
        <stp>BDH|5698046059798361737</stp>
        <tr r="Z160" s="10"/>
      </tp>
      <tp t="e">
        <v>#N/A</v>
        <stp/>
        <stp>BDH|3917148335446161822</stp>
        <tr r="AM186" s="10"/>
      </tp>
      <tp t="e">
        <v>#N/A</v>
        <stp/>
        <stp>BDH|8104494105234706727</stp>
        <tr r="AU180" s="10"/>
      </tp>
      <tp t="e">
        <v>#N/A</v>
        <stp/>
        <stp>BDH|6069872268005513224</stp>
        <tr r="AK161" s="10"/>
      </tp>
      <tp t="e">
        <v>#N/A</v>
        <stp/>
        <stp>BDH|6019277398526368446</stp>
        <tr r="J125" s="10"/>
      </tp>
      <tp t="e">
        <v>#N/A</v>
        <stp/>
        <stp>BDH|5393144965279258488</stp>
        <tr r="AU167" s="10"/>
      </tp>
      <tp t="e">
        <v>#N/A</v>
        <stp/>
        <stp>BDH|1082386834506316878</stp>
        <tr r="G33" s="10"/>
      </tp>
      <tp t="e">
        <v>#N/A</v>
        <stp/>
        <stp>BDH|4674021729961048859</stp>
        <tr r="Y4" s="10"/>
      </tp>
      <tp t="e">
        <v>#N/A</v>
        <stp/>
        <stp>BDH|2297652778334591824</stp>
        <tr r="AF17" s="10"/>
      </tp>
      <tp t="e">
        <v>#N/A</v>
        <stp/>
        <stp>BDH|7877616790626734160</stp>
        <tr r="Q131" s="10"/>
      </tp>
      <tp t="e">
        <v>#N/A</v>
        <stp/>
        <stp>BDH|8566048997938872667</stp>
        <tr r="F20" s="10"/>
      </tp>
      <tp t="e">
        <v>#N/A</v>
        <stp/>
        <stp>BDH|2657620388676624527</stp>
        <tr r="N36" s="10"/>
      </tp>
      <tp t="e">
        <v>#N/A</v>
        <stp/>
        <stp>BDH|2155814193905975927</stp>
        <tr r="AR41" s="10"/>
      </tp>
      <tp t="e">
        <v>#N/A</v>
        <stp/>
        <stp>BDH|6380866040367969243</stp>
        <tr r="D125" s="10"/>
      </tp>
      <tp t="e">
        <v>#N/A</v>
        <stp/>
        <stp>BDH|7105418588336967297</stp>
        <tr r="W148" s="10"/>
      </tp>
      <tp t="e">
        <v>#N/A</v>
        <stp/>
        <stp>BDH|1683677218519841094</stp>
        <tr r="P123" s="10"/>
      </tp>
      <tp t="e">
        <v>#N/A</v>
        <stp/>
        <stp>BDH|1935828056250522301</stp>
        <tr r="Y107" s="10"/>
      </tp>
      <tp t="e">
        <v>#N/A</v>
        <stp/>
        <stp>BDH|5065218723189914332</stp>
        <tr r="E88" s="10"/>
      </tp>
      <tp t="s">
        <v>#N/A N/A</v>
        <stp/>
        <stp>BDP|6858965056052026718</stp>
        <tr r="B49" s="1"/>
      </tp>
      <tp t="s">
        <v>#N/A Requesting Data...2769486782</v>
        <stp/>
        <stp>BDP|8885063698408609693</stp>
        <tr r="B47" s="1"/>
      </tp>
      <tp t="e">
        <v>#N/A</v>
        <stp/>
        <stp>BDH|1704164019349978781</stp>
        <tr r="AW96" s="10"/>
      </tp>
      <tp t="e">
        <v>#N/A</v>
        <stp/>
        <stp>BDH|8108287580974285926</stp>
        <tr r="R85" s="10"/>
      </tp>
      <tp t="e">
        <v>#N/A</v>
        <stp/>
        <stp>BDH|9205523319731731375</stp>
        <tr r="AA69" s="10"/>
      </tp>
      <tp t="e">
        <v>#N/A</v>
        <stp/>
        <stp>BDH|4113413908286668974</stp>
        <tr r="J150" s="10"/>
      </tp>
      <tp t="e">
        <v>#N/A</v>
        <stp/>
        <stp>BDH|3813218621239492556</stp>
        <tr r="AW29" s="10"/>
      </tp>
      <tp t="e">
        <v>#N/A</v>
        <stp/>
        <stp>BDH|1730410118079507224</stp>
        <tr r="AQ45" s="10"/>
      </tp>
      <tp t="e">
        <v>#N/A</v>
        <stp/>
        <stp>BDH|1994739843774040904</stp>
        <tr r="AR191" s="10"/>
      </tp>
      <tp t="e">
        <v>#N/A</v>
        <stp/>
        <stp>BDH|2686547122533969904</stp>
        <tr r="O152" s="10"/>
      </tp>
      <tp t="e">
        <v>#N/A</v>
        <stp/>
        <stp>BDH|1962949884726143914</stp>
        <tr r="T93" s="10"/>
      </tp>
      <tp t="e">
        <v>#N/A</v>
        <stp/>
        <stp>BDH|1471467224631785984</stp>
        <tr r="AN133" s="10"/>
      </tp>
      <tp t="e">
        <v>#N/A</v>
        <stp/>
        <stp>BDH|9003775436431928319</stp>
        <tr r="J73" s="10"/>
      </tp>
      <tp t="e">
        <v>#N/A</v>
        <stp/>
        <stp>BDH|4905809581488233334</stp>
        <tr r="E21" s="10"/>
      </tp>
      <tp t="e">
        <v>#N/A</v>
        <stp/>
        <stp>BDH|9996119231077957399</stp>
        <tr r="N26" s="10"/>
      </tp>
      <tp t="e">
        <v>#N/A</v>
        <stp/>
        <stp>BDH|4567548799665879293</stp>
        <tr r="AS140" s="10"/>
      </tp>
      <tp t="e">
        <v>#N/A</v>
        <stp/>
        <stp>BDH|5366019884683922164</stp>
        <tr r="E142" s="10"/>
      </tp>
      <tp t="e">
        <v>#N/A</v>
        <stp/>
        <stp>BDH|5125973535550322099</stp>
        <tr r="AS41" s="10"/>
      </tp>
      <tp t="e">
        <v>#N/A</v>
        <stp/>
        <stp>BDH|1432850506990702695</stp>
        <tr r="W68" s="10"/>
      </tp>
      <tp t="s">
        <v>#N/A Requesting Data...2953093075</v>
        <stp/>
        <stp>BDP|8046280275784579661</stp>
        <tr r="I10" s="1"/>
      </tp>
      <tp t="e">
        <v>#N/A</v>
        <stp/>
        <stp>BDH|6406721848743058903</stp>
        <tr r="V24" s="10"/>
      </tp>
      <tp t="e">
        <v>#N/A</v>
        <stp/>
        <stp>BDH|2315923752527809653</stp>
        <tr r="AI136" s="10"/>
      </tp>
      <tp t="e">
        <v>#N/A</v>
        <stp/>
        <stp>BDH|2697141168139033342</stp>
        <tr r="AO115" s="10"/>
      </tp>
      <tp t="e">
        <v>#N/A</v>
        <stp/>
        <stp>BDH|9116600082691988947</stp>
        <tr r="AQ129" s="10"/>
      </tp>
      <tp t="e">
        <v>#N/A</v>
        <stp/>
        <stp>BDH|1835715112269181144</stp>
        <tr r="S39" s="10"/>
      </tp>
      <tp t="e">
        <v>#N/A</v>
        <stp/>
        <stp>BDH|6298531532658907744</stp>
        <tr r="O41" s="10"/>
      </tp>
      <tp t="e">
        <v>#N/A</v>
        <stp/>
        <stp>BDH|8176465428541159008</stp>
        <tr r="W83" s="10"/>
      </tp>
      <tp t="e">
        <v>#N/A</v>
        <stp/>
        <stp>BDH|9487403052000800707</stp>
        <tr r="AV12" s="10"/>
      </tp>
      <tp t="e">
        <v>#N/A</v>
        <stp/>
        <stp>BDH|1554039276179680089</stp>
        <tr r="AI151" s="10"/>
      </tp>
      <tp t="e">
        <v>#N/A</v>
        <stp/>
        <stp>BDH|3800928188404929951</stp>
        <tr r="AT168" s="10"/>
      </tp>
      <tp t="s">
        <v>#N/A Requesting Data...3309539812</v>
        <stp/>
        <stp>BDP|7685787060598254133</stp>
        <tr r="B18" s="6"/>
        <tr r="E13" s="1"/>
        <tr r="H19" s="2"/>
        <tr r="H29" s="2"/>
      </tp>
      <tp t="e">
        <v>#N/A</v>
        <stp/>
        <stp>BDH|1447377281985829059</stp>
        <tr r="AD120" s="10"/>
      </tp>
      <tp t="e">
        <v>#N/A</v>
        <stp/>
        <stp>BDH|4829196898527040466</stp>
        <tr r="J77" s="10"/>
      </tp>
      <tp t="e">
        <v>#N/A</v>
        <stp/>
        <stp>BDH|8750302987059938561</stp>
        <tr r="W102" s="10"/>
      </tp>
      <tp t="e">
        <v>#N/A</v>
        <stp/>
        <stp>BDH|4691581455778030348</stp>
        <tr r="F97" s="10"/>
      </tp>
      <tp t="e">
        <v>#N/A</v>
        <stp/>
        <stp>BDH|8484593195549312248</stp>
        <tr r="N9" s="10"/>
      </tp>
      <tp t="e">
        <v>#N/A</v>
        <stp/>
        <stp>BDH|9317752367426708191</stp>
        <tr r="K177" s="10"/>
      </tp>
      <tp t="e">
        <v>#N/A</v>
        <stp/>
        <stp>BDH|7260598442469573036</stp>
        <tr r="AF169" s="10"/>
      </tp>
      <tp t="e">
        <v>#N/A</v>
        <stp/>
        <stp>BDH|4451464148903547801</stp>
        <tr r="V69" s="10"/>
      </tp>
      <tp t="e">
        <v>#N/A</v>
        <stp/>
        <stp>BDH|8366598585388957295</stp>
        <tr r="L76" s="10"/>
      </tp>
      <tp t="e">
        <v>#N/A</v>
        <stp/>
        <stp>BDH|4430988511333159033</stp>
        <tr r="H13" s="10"/>
      </tp>
      <tp t="s">
        <v>#N/A Requesting Data...3597829596</v>
        <stp/>
        <stp>BDP|3108938458567444723</stp>
        <tr r="G29" s="3"/>
        <tr r="B31" s="6"/>
        <tr r="H60" s="2"/>
      </tp>
      <tp t="s">
        <v>#N/A Requesting Data...3516444011</v>
        <stp/>
        <stp>BDP|3563680314528761327</stp>
        <tr r="O11" s="1"/>
      </tp>
      <tp t="s">
        <v>#N/A Requesting Data...3562949414</v>
        <stp/>
        <stp>BDP|9616035099267578856</stp>
        <tr r="O22" s="1"/>
      </tp>
      <tp t="e">
        <v>#N/A</v>
        <stp/>
        <stp>BDH|7072634072918416198</stp>
        <tr r="T48" s="10"/>
      </tp>
      <tp t="e">
        <v>#N/A</v>
        <stp/>
        <stp>BDH|7468903139032218037</stp>
        <tr r="AV23" s="10"/>
      </tp>
      <tp t="e">
        <v>#N/A</v>
        <stp/>
        <stp>BDH|8564521579166074322</stp>
        <tr r="AW143" s="10"/>
      </tp>
      <tp t="e">
        <v>#N/A</v>
        <stp/>
        <stp>BDH|8123293189885824858</stp>
        <tr r="AC10" s="10"/>
      </tp>
      <tp t="e">
        <v>#N/A</v>
        <stp/>
        <stp>BDH|1821732719381885968</stp>
        <tr r="AC121" s="10"/>
      </tp>
      <tp t="e">
        <v>#N/A</v>
        <stp/>
        <stp>BDH|4977879416505183751</stp>
        <tr r="AV27" s="10"/>
      </tp>
      <tp t="e">
        <v>#N/A</v>
        <stp/>
        <stp>BDH|7938651753043124825</stp>
        <tr r="Y59" s="10"/>
      </tp>
      <tp t="e">
        <v>#N/A</v>
        <stp/>
        <stp>BDH|7714885978520238796</stp>
        <tr r="AW139" s="10"/>
      </tp>
      <tp t="e">
        <v>#N/A</v>
        <stp/>
        <stp>BDH|7208089055489722448</stp>
        <tr r="AK63" s="10"/>
      </tp>
      <tp t="e">
        <v>#N/A</v>
        <stp/>
        <stp>BDH|5930174877658050453</stp>
        <tr r="AM51" s="10"/>
      </tp>
      <tp t="e">
        <v>#N/A</v>
        <stp/>
        <stp>BDH|1173750688445257420</stp>
        <tr r="AA24" s="10"/>
      </tp>
      <tp t="e">
        <v>#N/A</v>
        <stp/>
        <stp>BDH|3510953036060840620</stp>
        <tr r="X71" s="10"/>
      </tp>
      <tp t="e">
        <v>#N/A</v>
        <stp/>
        <stp>BDH|1720448688143005170</stp>
        <tr r="L88" s="10"/>
      </tp>
      <tp t="e">
        <v>#N/A</v>
        <stp/>
        <stp>BDH|4178343989395559559</stp>
        <tr r="W28" s="10"/>
      </tp>
      <tp t="e">
        <v>#N/A</v>
        <stp/>
        <stp>BDH|7788486221668133631</stp>
        <tr r="AO64" s="10"/>
      </tp>
      <tp t="e">
        <v>#N/A</v>
        <stp/>
        <stp>BDH|9188197418480857643</stp>
        <tr r="AE51" s="10"/>
      </tp>
      <tp t="e">
        <v>#N/A</v>
        <stp/>
        <stp>BDH|5009640558839403046</stp>
        <tr r="AN20" s="10"/>
      </tp>
      <tp t="s">
        <v>#N/A Requesting Data...3667592318</v>
        <stp/>
        <stp>BDP|4853494176940342896</stp>
        <tr r="G35" s="3"/>
        <tr r="B47" s="6"/>
        <tr r="H107" s="2"/>
      </tp>
      <tp t="e">
        <v>#N/A</v>
        <stp/>
        <stp>BDH|4231924131953466289</stp>
        <tr r="N191" s="10"/>
      </tp>
      <tp t="e">
        <v>#N/A</v>
        <stp/>
        <stp>BDH|5653236401350148885</stp>
        <tr r="T192" s="10"/>
      </tp>
      <tp t="e">
        <v>#N/A</v>
        <stp/>
        <stp>BDH|4282798557341727861</stp>
        <tr r="AH130" s="10"/>
      </tp>
      <tp t="e">
        <v>#N/A</v>
        <stp/>
        <stp>BDH|3352963143014333585</stp>
        <tr r="AQ93" s="10"/>
      </tp>
      <tp t="e">
        <v>#N/A</v>
        <stp/>
        <stp>BDH|7360919522017899456</stp>
        <tr r="L28" s="10"/>
      </tp>
      <tp t="e">
        <v>#N/A</v>
        <stp/>
        <stp>BDH|5423706984075568086</stp>
        <tr r="C143" s="10"/>
      </tp>
      <tp t="e">
        <v>#N/A</v>
        <stp/>
        <stp>BDH|2323183510674448925</stp>
        <tr r="AI135" s="10"/>
      </tp>
      <tp t="e">
        <v>#N/A</v>
        <stp/>
        <stp>BDH|8173684164965879286</stp>
        <tr r="AB161" s="10"/>
      </tp>
      <tp t="e">
        <v>#N/A</v>
        <stp/>
        <stp>BDH|8397270016223840775</stp>
        <tr r="P50" s="10"/>
      </tp>
      <tp t="e">
        <v>#N/A</v>
        <stp/>
        <stp>BDH|4660962044317840119</stp>
        <tr r="D141" s="10"/>
      </tp>
      <tp t="e">
        <v>#N/A</v>
        <stp/>
        <stp>BDH|6648484112218598447</stp>
        <tr r="J184" s="10"/>
      </tp>
      <tp t="e">
        <v>#N/A</v>
        <stp/>
        <stp>BDH|6959840411161509148</stp>
        <tr r="Q161" s="10"/>
      </tp>
      <tp t="e">
        <v>#N/A</v>
        <stp/>
        <stp>BDH|8176262559641454179</stp>
        <tr r="X84" s="10"/>
      </tp>
      <tp t="e">
        <v>#N/A</v>
        <stp/>
        <stp>BDH|1177313677329155343</stp>
        <tr r="C94" s="10"/>
      </tp>
      <tp t="e">
        <v>#N/A</v>
        <stp/>
        <stp>BDH|6573343573179957491</stp>
        <tr r="AS91" s="10"/>
      </tp>
      <tp t="e">
        <v>#N/A</v>
        <stp/>
        <stp>BDH|5258857953251253644</stp>
        <tr r="AN149" s="10"/>
      </tp>
      <tp t="e">
        <v>#N/A</v>
        <stp/>
        <stp>BDH|7874856082738920045</stp>
        <tr r="E31" s="10"/>
      </tp>
      <tp t="e">
        <v>#N/A</v>
        <stp/>
        <stp>BDH|8317353670864426708</stp>
        <tr r="AN132" s="10"/>
      </tp>
      <tp t="e">
        <v>#N/A</v>
        <stp/>
        <stp>BDH|9134981719386112835</stp>
        <tr r="G57" s="10"/>
      </tp>
      <tp t="e">
        <v>#N/A</v>
        <stp/>
        <stp>BDH|1579070252418572373</stp>
        <tr r="AH77" s="10"/>
      </tp>
      <tp t="e">
        <v>#N/A</v>
        <stp/>
        <stp>BDH|7671706691164278270</stp>
        <tr r="AI25" s="10"/>
      </tp>
      <tp t="e">
        <v>#N/A</v>
        <stp/>
        <stp>BDH|1029104086430237769</stp>
        <tr r="AU163" s="10"/>
      </tp>
      <tp t="e">
        <v>#N/A</v>
        <stp/>
        <stp>BDH|6811885700809103836</stp>
        <tr r="AU51" s="10"/>
      </tp>
      <tp t="e">
        <v>#N/A</v>
        <stp/>
        <stp>BDH|8130350731783478439</stp>
        <tr r="AF157" s="10"/>
      </tp>
      <tp t="e">
        <v>#N/A</v>
        <stp/>
        <stp>BDH|2250870601502753718</stp>
        <tr r="G176" s="10"/>
      </tp>
      <tp t="e">
        <v>#N/A</v>
        <stp/>
        <stp>BDH|5408753395146371258</stp>
        <tr r="AD65" s="10"/>
      </tp>
      <tp t="e">
        <v>#N/A</v>
        <stp/>
        <stp>BDH|6509111415140287915</stp>
        <tr r="AD190" s="10"/>
      </tp>
      <tp t="e">
        <v>#N/A</v>
        <stp/>
        <stp>BDH|8164790310810908133</stp>
        <tr r="AE23" s="10"/>
      </tp>
      <tp t="e">
        <v>#N/A</v>
        <stp/>
        <stp>BDH|3845988509481351481</stp>
        <tr r="S65" s="10"/>
      </tp>
      <tp t="e">
        <v>#N/A</v>
        <stp/>
        <stp>BDH|5418983899842764803</stp>
        <tr r="T140" s="10"/>
      </tp>
      <tp t="e">
        <v>#N/A</v>
        <stp/>
        <stp>BDH|8310609725295340671</stp>
        <tr r="Z59" s="10"/>
      </tp>
      <tp t="e">
        <v>#N/A</v>
        <stp/>
        <stp>BDH|2490593368988587625</stp>
        <tr r="R43" s="10"/>
      </tp>
      <tp t="e">
        <v>#N/A</v>
        <stp/>
        <stp>BDH|5684597464111149884</stp>
        <tr r="V22" s="10"/>
      </tp>
      <tp t="s">
        <v>#N/A Requesting Data...4055762647</v>
        <stp/>
        <stp>BDP|8319578114737178421</stp>
        <tr r="D25" s="6"/>
        <tr r="H18" s="1"/>
      </tp>
      <tp t="e">
        <v>#N/A</v>
        <stp/>
        <stp>BDH|5627505118777475996</stp>
        <tr r="AK88" s="10"/>
      </tp>
      <tp t="e">
        <v>#N/A</v>
        <stp/>
        <stp>BDH|2950774498204742726</stp>
        <tr r="AT154" s="10"/>
      </tp>
      <tp t="e">
        <v>#N/A</v>
        <stp/>
        <stp>BDH|5079924645474249362</stp>
        <tr r="AU94" s="10"/>
      </tp>
      <tp t="e">
        <v>#N/A</v>
        <stp/>
        <stp>BDH|2460904417716617365</stp>
        <tr r="C10" s="10"/>
      </tp>
      <tp t="e">
        <v>#N/A</v>
        <stp/>
        <stp>BDH|7307941890378217062</stp>
        <tr r="M63" s="10"/>
      </tp>
      <tp t="e">
        <v>#N/A</v>
        <stp/>
        <stp>BDH|4001929464065109148</stp>
        <tr r="R29" s="10"/>
      </tp>
      <tp t="e">
        <v>#N/A</v>
        <stp/>
        <stp>BDH|9355408765891218574</stp>
        <tr r="W191" s="10"/>
      </tp>
      <tp t="e">
        <v>#N/A</v>
        <stp/>
        <stp>BDH|5733923721683025276</stp>
        <tr r="D110" s="10"/>
      </tp>
      <tp t="e">
        <v>#N/A</v>
        <stp/>
        <stp>BDH|7694516703635756809</stp>
        <tr r="AM70" s="10"/>
      </tp>
      <tp t="e">
        <v>#N/A</v>
        <stp/>
        <stp>BDH|6171809711969340906</stp>
        <tr r="Y153" s="10"/>
      </tp>
      <tp t="e">
        <v>#N/A</v>
        <stp/>
        <stp>BDH|8830565218535470611</stp>
        <tr r="O169" s="10"/>
      </tp>
      <tp t="e">
        <v>#N/A</v>
        <stp/>
        <stp>BDH|7165658247512296826</stp>
        <tr r="AV193" s="10"/>
      </tp>
      <tp t="e">
        <v>#N/A</v>
        <stp/>
        <stp>BDH|2537788557577907809</stp>
        <tr r="AN43" s="10"/>
      </tp>
      <tp t="e">
        <v>#N/A</v>
        <stp/>
        <stp>BDH|6130874035790631264</stp>
        <tr r="AO102" s="10"/>
      </tp>
      <tp t="e">
        <v>#N/A</v>
        <stp/>
        <stp>BDH|1478944885279504637</stp>
        <tr r="V175" s="10"/>
      </tp>
      <tp t="e">
        <v>#N/A</v>
        <stp/>
        <stp>BDH|7161038987457043768</stp>
        <tr r="AI4" s="10"/>
      </tp>
      <tp t="e">
        <v>#N/A</v>
        <stp/>
        <stp>BDH|7033497748489115137</stp>
        <tr r="AA173" s="10"/>
      </tp>
      <tp t="e">
        <v>#N/A</v>
        <stp/>
        <stp>BDH|9597626405577658776</stp>
        <tr r="W129" s="10"/>
      </tp>
      <tp t="e">
        <v>#N/A</v>
        <stp/>
        <stp>BDH|5971386088864272585</stp>
        <tr r="N100" s="10"/>
      </tp>
      <tp t="e">
        <v>#N/A</v>
        <stp/>
        <stp>BDH|2582441127382400911</stp>
        <tr r="R49" s="10"/>
      </tp>
      <tp t="e">
        <v>#N/A</v>
        <stp/>
        <stp>BDH|4053473469899431097</stp>
        <tr r="P24" s="10"/>
      </tp>
      <tp t="e">
        <v>#N/A</v>
        <stp/>
        <stp>BDH|8217118606781547737</stp>
        <tr r="I62" s="10"/>
      </tp>
      <tp t="e">
        <v>#N/A</v>
        <stp/>
        <stp>BDH|4288767415329748454</stp>
        <tr r="AE192" s="10"/>
      </tp>
      <tp t="e">
        <v>#N/A</v>
        <stp/>
        <stp>BDH|1013365076579071339</stp>
        <tr r="AT137" s="10"/>
      </tp>
      <tp t="e">
        <v>#N/A</v>
        <stp/>
        <stp>BDH|4112402973179257139</stp>
        <tr r="S127" s="10"/>
      </tp>
      <tp t="s">
        <v>#N/A Requesting Data...3772217933</v>
        <stp/>
        <stp>BDP|8796265562227594465</stp>
        <tr r="B42" s="6"/>
        <tr r="E31" s="1"/>
        <tr r="H91" s="2"/>
        <tr r="H92" s="2"/>
      </tp>
      <tp t="s">
        <v>#N/A N/A</v>
        <stp/>
        <stp>BDP|4791615786452147718</stp>
        <tr r="D58" s="6"/>
        <tr r="H49" s="1"/>
      </tp>
      <tp t="e">
        <v>#N/A</v>
        <stp/>
        <stp>BDH|8099001141921724262</stp>
        <tr r="U103" s="10"/>
      </tp>
      <tp t="e">
        <v>#N/A</v>
        <stp/>
        <stp>BDH|8278040809590978765</stp>
        <tr r="AQ71" s="10"/>
      </tp>
      <tp t="e">
        <v>#N/A</v>
        <stp/>
        <stp>BDH|8822647820176565591</stp>
        <tr r="AD64" s="10"/>
      </tp>
      <tp t="e">
        <v>#N/A</v>
        <stp/>
        <stp>BDH|8816003759063733163</stp>
        <tr r="K83" s="10"/>
      </tp>
      <tp t="e">
        <v>#N/A</v>
        <stp/>
        <stp>BDH|8270727461435123303</stp>
        <tr r="C119" s="10"/>
      </tp>
      <tp t="e">
        <v>#N/A</v>
        <stp/>
        <stp>BDH|1862582321901317829</stp>
        <tr r="AQ148" s="10"/>
      </tp>
      <tp t="e">
        <v>#N/A</v>
        <stp/>
        <stp>BDH|7406423447660755865</stp>
        <tr r="AU26" s="10"/>
      </tp>
      <tp t="e">
        <v>#N/A</v>
        <stp/>
        <stp>BDH|1379051205507018937</stp>
        <tr r="E166" s="10"/>
      </tp>
      <tp t="e">
        <v>#N/A</v>
        <stp/>
        <stp>BDH|8633343510386368312</stp>
        <tr r="W107" s="10"/>
      </tp>
      <tp t="e">
        <v>#N/A</v>
        <stp/>
        <stp>BDH|3380949865066467560</stp>
        <tr r="O185" s="10"/>
      </tp>
      <tp t="e">
        <v>#N/A</v>
        <stp/>
        <stp>BDH|6677777945352778832</stp>
        <tr r="AI155" s="10"/>
      </tp>
      <tp t="e">
        <v>#N/A</v>
        <stp/>
        <stp>BDH|4652900500207494527</stp>
        <tr r="K163" s="10"/>
      </tp>
      <tp t="e">
        <v>#N/A</v>
        <stp/>
        <stp>BDH|9216204557002151348</stp>
        <tr r="N165" s="10"/>
      </tp>
      <tp t="e">
        <v>#N/A</v>
        <stp/>
        <stp>BDH|1607778592090536063</stp>
        <tr r="AT31" s="10"/>
      </tp>
      <tp t="e">
        <v>#N/A</v>
        <stp/>
        <stp>BDH|2155414440349902499</stp>
        <tr r="AW30" s="10"/>
      </tp>
      <tp t="e">
        <v>#N/A</v>
        <stp/>
        <stp>BDH|4953790224327394974</stp>
        <tr r="AM121" s="10"/>
      </tp>
      <tp t="e">
        <v>#N/A</v>
        <stp/>
        <stp>BDH|4061851523705358458</stp>
        <tr r="P144" s="10"/>
      </tp>
      <tp t="e">
        <v>#N/A</v>
        <stp/>
        <stp>BDH|6942837085279888074</stp>
        <tr r="U46" s="10"/>
      </tp>
      <tp t="e">
        <v>#N/A</v>
        <stp/>
        <stp>BDH|9700606594488693156</stp>
        <tr r="AU120" s="10"/>
      </tp>
      <tp t="e">
        <v>#N/A</v>
        <stp/>
        <stp>BDH|9752853815896424930</stp>
        <tr r="Y50" s="10"/>
      </tp>
      <tp t="e">
        <v>#N/A</v>
        <stp/>
        <stp>BDH|8465061055974390648</stp>
        <tr r="AS42" s="10"/>
      </tp>
      <tp t="e">
        <v>#N/A</v>
        <stp/>
        <stp>BDH|1770337397842251613</stp>
        <tr r="AT32" s="10"/>
      </tp>
      <tp t="e">
        <v>#N/A</v>
        <stp/>
        <stp>BDH|7375208396535628636</stp>
        <tr r="C66" s="10"/>
      </tp>
      <tp t="e">
        <v>#N/A</v>
        <stp/>
        <stp>BDH|4525639836239044703</stp>
        <tr r="AL179" s="10"/>
      </tp>
      <tp t="s">
        <v>#N/A Requesting Data...3387626695</v>
        <stp/>
        <stp>BDP|8339674961396638126</stp>
        <tr r="F116" s="2"/>
      </tp>
      <tp t="e">
        <v>#N/A</v>
        <stp/>
        <stp>BDH|4942103012533201883</stp>
        <tr r="AS158" s="10"/>
      </tp>
      <tp t="e">
        <v>#N/A</v>
        <stp/>
        <stp>BDH|2773044281413633655</stp>
        <tr r="AI82" s="10"/>
      </tp>
      <tp t="e">
        <v>#N/A</v>
        <stp/>
        <stp>BDH|4882560888137207158</stp>
        <tr r="AA180" s="10"/>
      </tp>
      <tp t="e">
        <v>#N/A</v>
        <stp/>
        <stp>BDH|5538898195908971314</stp>
        <tr r="P51" s="10"/>
      </tp>
      <tp t="e">
        <v>#N/A</v>
        <stp/>
        <stp>BDH|6075934686098452007</stp>
        <tr r="L159" s="10"/>
      </tp>
      <tp t="e">
        <v>#N/A</v>
        <stp/>
        <stp>BDH|8917623042456961310</stp>
        <tr r="AN121" s="10"/>
      </tp>
      <tp t="e">
        <v>#N/A</v>
        <stp/>
        <stp>BDH|1063511846596539931</stp>
        <tr r="AJ10" s="10"/>
      </tp>
      <tp t="e">
        <v>#N/A</v>
        <stp/>
        <stp>BDH|1884467262895964942</stp>
        <tr r="N117" s="10"/>
      </tp>
      <tp t="e">
        <v>#N/A</v>
        <stp/>
        <stp>BDH|6722635793577509131</stp>
        <tr r="X109" s="10"/>
      </tp>
      <tp t="e">
        <v>#N/A</v>
        <stp/>
        <stp>BDH|7776181109470430933</stp>
        <tr r="C79" s="10"/>
      </tp>
      <tp t="e">
        <v>#N/A</v>
        <stp/>
        <stp>BDH|2839473325539336284</stp>
        <tr r="W84" s="10"/>
      </tp>
      <tp t="e">
        <v>#N/A</v>
        <stp/>
        <stp>BDH|4333221694142347272</stp>
        <tr r="D27" s="10"/>
      </tp>
      <tp t="e">
        <v>#N/A</v>
        <stp/>
        <stp>BDH|6542861212605975593</stp>
        <tr r="AF141" s="10"/>
      </tp>
      <tp t="e">
        <v>#N/A</v>
        <stp/>
        <stp>BDH|3539724664715179830</stp>
        <tr r="I137" s="10"/>
      </tp>
      <tp t="e">
        <v>#N/A</v>
        <stp/>
        <stp>BDH|6114352785332269020</stp>
        <tr r="X53" s="10"/>
      </tp>
      <tp t="e">
        <v>#N/A</v>
        <stp/>
        <stp>BDH|9814034519854132327</stp>
        <tr r="AF147" s="10"/>
      </tp>
      <tp t="e">
        <v>#N/A</v>
        <stp/>
        <stp>BDH|4906799388774800017</stp>
        <tr r="F75" s="10"/>
      </tp>
      <tp t="e">
        <v>#N/A</v>
        <stp/>
        <stp>BDH|8169263720203263448</stp>
        <tr r="Z67" s="10"/>
      </tp>
      <tp t="e">
        <v>#N/A</v>
        <stp/>
        <stp>BDH|6292196697697942644</stp>
        <tr r="O31" s="10"/>
      </tp>
      <tp t="e">
        <v>#N/A</v>
        <stp/>
        <stp>BDH|9850102149377149418</stp>
        <tr r="C186" s="10"/>
      </tp>
      <tp t="e">
        <v>#N/A</v>
        <stp/>
        <stp>BDH|7121982208502349339</stp>
        <tr r="AA121" s="10"/>
      </tp>
      <tp t="e">
        <v>#N/A</v>
        <stp/>
        <stp>BDH|3643403972868664732</stp>
        <tr r="L120" s="10"/>
      </tp>
      <tp t="e">
        <v>#N/A</v>
        <stp/>
        <stp>BDH|2962892335875522313</stp>
        <tr r="AI146" s="10"/>
      </tp>
      <tp t="e">
        <v>#N/A</v>
        <stp/>
        <stp>BDH|1142500903023507869</stp>
        <tr r="W109" s="10"/>
      </tp>
      <tp t="e">
        <v>#N/A</v>
        <stp/>
        <stp>BDH|2118938461163647140</stp>
        <tr r="H94" s="10"/>
      </tp>
      <tp t="e">
        <v>#N/A</v>
        <stp/>
        <stp>BDH|2652909670304155765</stp>
        <tr r="AR89" s="10"/>
      </tp>
      <tp t="s">
        <v>#N/A Requesting Data...3429685260</v>
        <stp/>
        <stp>BDP|6268748010519100618</stp>
        <tr r="F79" s="2"/>
        <tr r="F80" s="2"/>
        <tr r="F81" s="2"/>
        <tr r="F82" s="2"/>
      </tp>
      <tp t="s">
        <v>#N/A Requesting Data...2826242928</v>
        <stp/>
        <stp>BDP|8331602777763109535</stp>
        <tr r="I8" s="1"/>
      </tp>
      <tp t="e">
        <v>#N/A</v>
        <stp/>
        <stp>BDH|4587652738778795695</stp>
        <tr r="AO31" s="10"/>
      </tp>
      <tp t="e">
        <v>#N/A</v>
        <stp/>
        <stp>BDH|2418264095082437455</stp>
        <tr r="AV137" s="10"/>
      </tp>
      <tp t="e">
        <v>#N/A</v>
        <stp/>
        <stp>BDH|7442523992246135235</stp>
        <tr r="AE12" s="10"/>
      </tp>
      <tp t="e">
        <v>#N/A</v>
        <stp/>
        <stp>BDH|3028765455786674832</stp>
        <tr r="AS137" s="10"/>
      </tp>
      <tp t="e">
        <v>#N/A</v>
        <stp/>
        <stp>BDH|7978209498591386247</stp>
        <tr r="AA59" s="10"/>
      </tp>
      <tp t="e">
        <v>#N/A</v>
        <stp/>
        <stp>BDH|7376626078618649194</stp>
        <tr r="AC177" s="10"/>
      </tp>
      <tp t="e">
        <v>#N/A</v>
        <stp/>
        <stp>BDH|8437465359414531287</stp>
        <tr r="AR20" s="10"/>
      </tp>
      <tp t="e">
        <v>#N/A</v>
        <stp/>
        <stp>BDH|9777193163618859931</stp>
        <tr r="M180" s="10"/>
      </tp>
      <tp t="e">
        <v>#N/A</v>
        <stp/>
        <stp>BDH|3791934443142506344</stp>
        <tr r="O90" s="10"/>
      </tp>
      <tp t="e">
        <v>#N/A</v>
        <stp/>
        <stp>BDH|7679616172081200819</stp>
        <tr r="AD113" s="10"/>
      </tp>
      <tp t="e">
        <v>#N/A</v>
        <stp/>
        <stp>BDH|2145579382232651241</stp>
        <tr r="U44" s="10"/>
      </tp>
      <tp t="e">
        <v>#N/A</v>
        <stp/>
        <stp>BDH|9251693025643934118</stp>
        <tr r="AW137" s="10"/>
      </tp>
      <tp t="e">
        <v>#N/A</v>
        <stp/>
        <stp>BDH|3702736737159554108</stp>
        <tr r="N57" s="10"/>
      </tp>
      <tp t="e">
        <v>#N/A</v>
        <stp/>
        <stp>BDH|8853465054744997252</stp>
        <tr r="AG34" s="10"/>
      </tp>
      <tp t="e">
        <v>#N/A</v>
        <stp/>
        <stp>BDH|1929316287983911600</stp>
        <tr r="X171" s="10"/>
      </tp>
      <tp t="e">
        <v>#N/A</v>
        <stp/>
        <stp>BDH|2036405179826721883</stp>
        <tr r="H73" s="10"/>
      </tp>
      <tp t="e">
        <v>#N/A</v>
        <stp/>
        <stp>BDH|5689131322359451051</stp>
        <tr r="J185" s="10"/>
      </tp>
      <tp t="e">
        <v>#N/A</v>
        <stp/>
        <stp>BDH|4047926302265655714</stp>
        <tr r="E149" s="10"/>
      </tp>
      <tp t="e">
        <v>#N/A</v>
        <stp/>
        <stp>BDH|4138976642740255615</stp>
        <tr r="D102" s="10"/>
      </tp>
      <tp t="e">
        <v>#N/A</v>
        <stp/>
        <stp>BDH|9377457576794530121</stp>
        <tr r="AU34" s="10"/>
      </tp>
      <tp t="e">
        <v>#N/A</v>
        <stp/>
        <stp>BDH|7049229580991631333</stp>
        <tr r="J30" s="10"/>
      </tp>
      <tp t="e">
        <v>#N/A</v>
        <stp/>
        <stp>BDH|9773117450726317421</stp>
        <tr r="AN68" s="10"/>
      </tp>
      <tp t="e">
        <v>#N/A</v>
        <stp/>
        <stp>BDH|3638292190986882107</stp>
        <tr r="O15" s="10"/>
      </tp>
      <tp t="e">
        <v>#N/A</v>
        <stp/>
        <stp>BDH|8202144078024848516</stp>
        <tr r="H164" s="10"/>
      </tp>
      <tp t="e">
        <v>#N/A</v>
        <stp/>
        <stp>BDH|3517425906998033067</stp>
        <tr r="L185" s="10"/>
      </tp>
      <tp t="e">
        <v>#N/A</v>
        <stp/>
        <stp>BDH|5264718791877481316</stp>
        <tr r="M52" s="10"/>
      </tp>
      <tp t="e">
        <v>#N/A</v>
        <stp/>
        <stp>BDH|4995860139103636373</stp>
        <tr r="W45" s="10"/>
      </tp>
      <tp t="e">
        <v>#N/A</v>
        <stp/>
        <stp>BDH|9390747916658193879</stp>
        <tr r="Z185" s="10"/>
      </tp>
      <tp t="e">
        <v>#N/A</v>
        <stp/>
        <stp>BDH|4702681458559794177</stp>
        <tr r="C156" s="10"/>
      </tp>
      <tp t="e">
        <v>#N/A</v>
        <stp/>
        <stp>BDH|7065436494842513754</stp>
        <tr r="AM32" s="10"/>
      </tp>
      <tp t="e">
        <v>#N/A</v>
        <stp/>
        <stp>BDH|6216953175315544208</stp>
        <tr r="AH154" s="10"/>
      </tp>
      <tp t="e">
        <v>#N/A</v>
        <stp/>
        <stp>BDH|9140127342282543138</stp>
        <tr r="AM135" s="10"/>
      </tp>
      <tp t="e">
        <v>#N/A</v>
        <stp/>
        <stp>BDH|4021022684567528449</stp>
        <tr r="AF162" s="10"/>
      </tp>
      <tp t="e">
        <v>#N/A</v>
        <stp/>
        <stp>BDH|6138594282073762791</stp>
        <tr r="X174" s="10"/>
      </tp>
      <tp t="e">
        <v>#N/A</v>
        <stp/>
        <stp>BDH|9530530844776329152</stp>
        <tr r="AK104" s="10"/>
      </tp>
      <tp t="e">
        <v>#N/A</v>
        <stp/>
        <stp>BDH|4121819265927510247</stp>
        <tr r="F62" s="10"/>
      </tp>
      <tp t="e">
        <v>#N/A</v>
        <stp/>
        <stp>BDH|8830951395467966057</stp>
        <tr r="D31" s="10"/>
      </tp>
      <tp t="e">
        <v>#N/A</v>
        <stp/>
        <stp>BDH|5170844342487425172</stp>
        <tr r="AE193" s="10"/>
      </tp>
      <tp t="e">
        <v>#N/A</v>
        <stp/>
        <stp>BDH|9785042416272665575</stp>
        <tr r="D139" s="10"/>
      </tp>
      <tp t="e">
        <v>#N/A</v>
        <stp/>
        <stp>BDH|5658613968589385380</stp>
        <tr r="L189" s="10"/>
      </tp>
      <tp t="e">
        <v>#N/A</v>
        <stp/>
        <stp>BDH|1594744965517733870</stp>
        <tr r="AU119" s="10"/>
      </tp>
      <tp t="e">
        <v>#N/A</v>
        <stp/>
        <stp>BDH|1176666644818044472</stp>
        <tr r="F30" s="10"/>
      </tp>
      <tp t="e">
        <v>#N/A</v>
        <stp/>
        <stp>BDH|2390236294283845586</stp>
        <tr r="AL184" s="10"/>
      </tp>
      <tp t="e">
        <v>#N/A</v>
        <stp/>
        <stp>BDH|5575893640756142099</stp>
        <tr r="AW138" s="10"/>
      </tp>
      <tp t="e">
        <v>#N/A</v>
        <stp/>
        <stp>BDH|6458348853126313943</stp>
        <tr r="AM91" s="10"/>
      </tp>
      <tp t="s">
        <v>#N/A Requesting Data...4282519721</v>
        <stp/>
        <stp>BDP|9929751790361184983</stp>
        <tr r="D3" s="1"/>
      </tp>
      <tp t="e">
        <v>#N/A</v>
        <stp/>
        <stp>BDH|1229180215067326991</stp>
        <tr r="V111" s="10"/>
      </tp>
      <tp t="e">
        <v>#N/A</v>
        <stp/>
        <stp>BDH|1567788999332788265</stp>
        <tr r="AH116" s="10"/>
      </tp>
      <tp t="e">
        <v>#N/A</v>
        <stp/>
        <stp>BDH|2296848073435445742</stp>
        <tr r="AG148" s="10"/>
      </tp>
      <tp t="e">
        <v>#N/A</v>
        <stp/>
        <stp>BDH|6153906370705173251</stp>
        <tr r="AG137" s="10"/>
      </tp>
      <tp t="e">
        <v>#N/A</v>
        <stp/>
        <stp>BDH|1113545792282056021</stp>
        <tr r="Z83" s="10"/>
      </tp>
      <tp t="e">
        <v>#N/A</v>
        <stp/>
        <stp>BDH|9541220443621107107</stp>
        <tr r="AP18" s="10"/>
      </tp>
      <tp t="e">
        <v>#N/A</v>
        <stp/>
        <stp>BDH|4161817604642879197</stp>
        <tr r="E154" s="10"/>
      </tp>
      <tp t="e">
        <v>#N/A</v>
        <stp/>
        <stp>BDH|4711116354859003679</stp>
        <tr r="AD9" s="10"/>
      </tp>
      <tp t="e">
        <v>#N/A</v>
        <stp/>
        <stp>BDH|3638907383605872883</stp>
        <tr r="AW43" s="10"/>
      </tp>
      <tp t="e">
        <v>#N/A</v>
        <stp/>
        <stp>BDH|4722675905395152818</stp>
        <tr r="I191" s="10"/>
      </tp>
      <tp t="e">
        <v>#N/A</v>
        <stp/>
        <stp>BDH|8171770916920764123</stp>
        <tr r="AE27" s="10"/>
      </tp>
      <tp t="e">
        <v>#N/A</v>
        <stp/>
        <stp>BDH|8360777410573373229</stp>
        <tr r="AR126" s="10"/>
      </tp>
      <tp t="e">
        <v>#N/A</v>
        <stp/>
        <stp>BDH|6159510750481488813</stp>
        <tr r="AK173" s="10"/>
      </tp>
    </main>
    <main first="bofaddin.rtdserver">
      <tp t="e">
        <v>#N/A</v>
        <stp/>
        <stp>BDH|81380469560588727</stp>
        <tr r="C115" s="10"/>
      </tp>
      <tp t="e">
        <v>#N/A</v>
        <stp/>
        <stp>BDH|35874281792531082</stp>
        <tr r="AC56" s="10"/>
      </tp>
      <tp t="s">
        <v>#N/A Requesting Data...3964400748</v>
        <stp/>
        <stp>BDP|7375288452790469874</stp>
        <tr r="O16" s="1"/>
      </tp>
      <tp t="s">
        <v>#N/A Requesting Data...2912039682</v>
        <stp/>
        <stp>BDP|2570588082214434312</stp>
        <tr r="H48" s="1"/>
      </tp>
      <tp t="s">
        <v>#N/A Requesting Data...3786915607</v>
        <stp/>
        <stp>BDP|1346785318266054993</stp>
        <tr r="I31" s="1"/>
      </tp>
      <tp t="s">
        <v>#N/A Requesting Data...3015323481</v>
        <stp/>
        <stp>BDP|2197789597106358271</stp>
        <tr r="B24" s="6"/>
        <tr r="E17" s="1"/>
        <tr r="H33" s="2"/>
        <tr r="H95" s="2"/>
      </tp>
      <tp t="s">
        <v>#N/A Requesting Data...3866140593</v>
        <stp/>
        <stp>BDP|3466068354407894945</stp>
        <tr r="D40" s="6"/>
        <tr r="H29" s="1"/>
      </tp>
      <tp t="e">
        <v>#N/A</v>
        <stp/>
        <stp>BDH|7306756196253854220</stp>
        <tr r="AD38" s="10"/>
      </tp>
      <tp t="e">
        <v>#N/A</v>
        <stp/>
        <stp>BDH|2852335244309057457</stp>
        <tr r="AE21" s="10"/>
      </tp>
      <tp t="e">
        <v>#N/A</v>
        <stp/>
        <stp>BDH|1603342566795936976</stp>
        <tr r="AS127" s="10"/>
      </tp>
      <tp t="e">
        <v>#N/A</v>
        <stp/>
        <stp>BDH|4652600177618381589</stp>
        <tr r="F139" s="10"/>
      </tp>
      <tp t="e">
        <v>#N/A</v>
        <stp/>
        <stp>BDH|8412560151009072993</stp>
        <tr r="S183" s="10"/>
      </tp>
      <tp t="e">
        <v>#N/A</v>
        <stp/>
        <stp>BDH|1164593096486070343</stp>
        <tr r="J127" s="10"/>
      </tp>
      <tp t="e">
        <v>#N/A</v>
        <stp/>
        <stp>BDH|6898929462089201804</stp>
        <tr r="AB34" s="10"/>
      </tp>
      <tp t="e">
        <v>#N/A</v>
        <stp/>
        <stp>BDH|9747869403969015082</stp>
        <tr r="AF154" s="10"/>
      </tp>
      <tp t="e">
        <v>#N/A</v>
        <stp/>
        <stp>BDH|2641228599957043676</stp>
        <tr r="AV112" s="10"/>
      </tp>
      <tp t="e">
        <v>#N/A</v>
        <stp/>
        <stp>BDH|5731597797243420273</stp>
        <tr r="AK58" s="10"/>
      </tp>
      <tp t="e">
        <v>#N/A</v>
        <stp/>
        <stp>BDH|8886608883516976884</stp>
        <tr r="AM164" s="10"/>
      </tp>
      <tp t="e">
        <v>#N/A</v>
        <stp/>
        <stp>BDH|6161934368059698861</stp>
        <tr r="F182" s="10"/>
      </tp>
      <tp t="e">
        <v>#N/A</v>
        <stp/>
        <stp>BDH|6268245830608593793</stp>
        <tr r="F107" s="10"/>
      </tp>
      <tp t="e">
        <v>#N/A</v>
        <stp/>
        <stp>BDH|8200145742183894663</stp>
        <tr r="C177" s="10"/>
      </tp>
      <tp t="e">
        <v>#N/A</v>
        <stp/>
        <stp>BDH|4654943966463937061</stp>
        <tr r="AB90" s="10"/>
      </tp>
      <tp t="e">
        <v>#N/A</v>
        <stp/>
        <stp>BDH|6403538649918364764</stp>
        <tr r="AV49" s="10"/>
      </tp>
      <tp t="e">
        <v>#N/A</v>
        <stp/>
        <stp>BDH|2143638775139480287</stp>
        <tr r="V18" s="10"/>
      </tp>
      <tp t="e">
        <v>#N/A</v>
        <stp/>
        <stp>BDH|7276695996221406122</stp>
        <tr r="K59" s="10"/>
      </tp>
      <tp t="e">
        <v>#N/A</v>
        <stp/>
        <stp>BDH|1401494483271571405</stp>
        <tr r="AS10" s="10"/>
      </tp>
      <tp t="e">
        <v>#N/A</v>
        <stp/>
        <stp>BDH|6461674393352956322</stp>
        <tr r="AJ178" s="10"/>
      </tp>
      <tp t="e">
        <v>#N/A</v>
        <stp/>
        <stp>BDH|1835867340607359261</stp>
        <tr r="AR98" s="10"/>
      </tp>
      <tp t="e">
        <v>#N/A</v>
        <stp/>
        <stp>BDH|4380226487885484398</stp>
        <tr r="AR109" s="10"/>
      </tp>
      <tp t="e">
        <v>#N/A</v>
        <stp/>
        <stp>BDH|4454919819306403236</stp>
        <tr r="AB131" s="10"/>
      </tp>
      <tp t="e">
        <v>#N/A</v>
        <stp/>
        <stp>BDH|8181625996168901777</stp>
        <tr r="R6" s="10"/>
      </tp>
      <tp t="s">
        <v>#N/A Requesting Data...3886057814</v>
        <stp/>
        <stp>BDP|3868076424968394108</stp>
        <tr r="B38" s="1"/>
      </tp>
      <tp t="s">
        <v>#N/A Requesting Data...3673719573</v>
        <stp/>
        <stp>BDP|5614274878699515145</stp>
        <tr r="D7" s="1"/>
      </tp>
      <tp t="e">
        <v>#N/A</v>
        <stp/>
        <stp>BDH|6754685765327437962</stp>
        <tr r="I112" s="10"/>
      </tp>
      <tp t="e">
        <v>#N/A</v>
        <stp/>
        <stp>BDH|4443435477067146890</stp>
        <tr r="AJ30" s="10"/>
      </tp>
      <tp t="e">
        <v>#N/A</v>
        <stp/>
        <stp>BDH|6979051195841318628</stp>
        <tr r="AB9" s="10"/>
      </tp>
      <tp t="e">
        <v>#N/A</v>
        <stp/>
        <stp>BDH|9741777297316733985</stp>
        <tr r="P68" s="10"/>
      </tp>
      <tp t="e">
        <v>#N/A</v>
        <stp/>
        <stp>BDH|3887025243748808793</stp>
        <tr r="AM99" s="10"/>
      </tp>
      <tp t="e">
        <v>#N/A</v>
        <stp/>
        <stp>BDH|6985803164550218077</stp>
        <tr r="X55" s="10"/>
      </tp>
      <tp t="e">
        <v>#N/A</v>
        <stp/>
        <stp>BDH|9311263169842440705</stp>
        <tr r="R119" s="10"/>
      </tp>
      <tp t="e">
        <v>#N/A</v>
        <stp/>
        <stp>BDH|2531381030973764926</stp>
        <tr r="AV128" s="10"/>
      </tp>
      <tp t="e">
        <v>#N/A</v>
        <stp/>
        <stp>BDH|1825748594791358632</stp>
        <tr r="AD104" s="10"/>
      </tp>
      <tp t="e">
        <v>#N/A</v>
        <stp/>
        <stp>BDH|4746504219068023068</stp>
        <tr r="AS79" s="10"/>
      </tp>
      <tp t="e">
        <v>#N/A</v>
        <stp/>
        <stp>BDH|8281806822702865803</stp>
        <tr r="AW33" s="10"/>
      </tp>
      <tp t="e">
        <v>#N/A</v>
        <stp/>
        <stp>BDH|6262685576617133859</stp>
        <tr r="AA108" s="10"/>
      </tp>
      <tp t="e">
        <v>#N/A</v>
        <stp/>
        <stp>BDH|7029514713869890228</stp>
        <tr r="AK129" s="10"/>
      </tp>
      <tp t="e">
        <v>#N/A</v>
        <stp/>
        <stp>BDH|3544251382675949438</stp>
        <tr r="Z20" s="10"/>
      </tp>
      <tp t="e">
        <v>#N/A</v>
        <stp/>
        <stp>BDH|9739519607472119681</stp>
        <tr r="AE158" s="10"/>
      </tp>
      <tp t="s">
        <v>#N/A Requesting Data...4126011352</v>
        <stp/>
        <stp>BDP|1881361999744661786</stp>
        <tr r="F66" s="2"/>
        <tr r="F77" s="2"/>
        <tr r="F87" s="2"/>
        <tr r="F108" s="2"/>
      </tp>
      <tp t="s">
        <v>#N/A Requesting Data...3879189437</v>
        <stp/>
        <stp>BDP|4571651109398055206</stp>
        <tr r="H114" s="2"/>
      </tp>
      <tp t="e">
        <v>#N/A</v>
        <stp/>
        <stp>BDH|1521685121214463913</stp>
        <tr r="AM133" s="10"/>
      </tp>
      <tp t="e">
        <v>#N/A</v>
        <stp/>
        <stp>BDH|1042921294618674197</stp>
        <tr r="R103" s="10"/>
      </tp>
      <tp t="e">
        <v>#N/A</v>
        <stp/>
        <stp>BDH|8385404404974735095</stp>
        <tr r="Z186" s="10"/>
      </tp>
      <tp t="e">
        <v>#N/A</v>
        <stp/>
        <stp>BDH|5162680105562720926</stp>
        <tr r="J89" s="10"/>
      </tp>
      <tp t="e">
        <v>#N/A</v>
        <stp/>
        <stp>BDH|1730798416969073612</stp>
        <tr r="V48" s="10"/>
      </tp>
      <tp t="e">
        <v>#N/A</v>
        <stp/>
        <stp>BDH|4282508834622687899</stp>
        <tr r="AU186" s="10"/>
      </tp>
      <tp t="e">
        <v>#N/A</v>
        <stp/>
        <stp>BDH|4781926758640127052</stp>
        <tr r="AB185" s="10"/>
      </tp>
      <tp t="e">
        <v>#N/A</v>
        <stp/>
        <stp>BDH|7868792636852614987</stp>
        <tr r="AA13" s="10"/>
      </tp>
      <tp t="e">
        <v>#N/A</v>
        <stp/>
        <stp>BDH|6078508357296857865</stp>
        <tr r="K120" s="10"/>
      </tp>
      <tp t="e">
        <v>#N/A</v>
        <stp/>
        <stp>BDH|4994330774220460830</stp>
        <tr r="D87" s="10"/>
      </tp>
      <tp t="e">
        <v>#N/A</v>
        <stp/>
        <stp>BDH|6005644466889350784</stp>
        <tr r="AC46" s="10"/>
      </tp>
      <tp t="e">
        <v>#N/A</v>
        <stp/>
        <stp>BDH|3303605650990286888</stp>
        <tr r="AJ82" s="10"/>
      </tp>
      <tp t="e">
        <v>#N/A</v>
        <stp/>
        <stp>BDH|7927634392267831798</stp>
        <tr r="N31" s="10"/>
      </tp>
      <tp t="e">
        <v>#N/A</v>
        <stp/>
        <stp>BDH|6905818134880149535</stp>
        <tr r="T126" s="10"/>
      </tp>
      <tp t="e">
        <v>#N/A</v>
        <stp/>
        <stp>BDH|4306371815987690990</stp>
        <tr r="R7" s="10"/>
      </tp>
      <tp t="e">
        <v>#N/A</v>
        <stp/>
        <stp>BDH|3078316095573932237</stp>
        <tr r="AN90" s="10"/>
      </tp>
      <tp t="e">
        <v>#N/A</v>
        <stp/>
        <stp>BDH|3498515888792024439</stp>
        <tr r="AQ146" s="10"/>
      </tp>
      <tp t="e">
        <v>#N/A</v>
        <stp/>
        <stp>BDH|1701743978781728825</stp>
        <tr r="S152" s="10"/>
      </tp>
      <tp t="e">
        <v>#N/A</v>
        <stp/>
        <stp>BDH|9562497232675047301</stp>
        <tr r="AJ48" s="10"/>
      </tp>
      <tp t="e">
        <v>#N/A</v>
        <stp/>
        <stp>BDH|1841022558254875846</stp>
        <tr r="N179" s="10"/>
      </tp>
      <tp t="e">
        <v>#N/A</v>
        <stp/>
        <stp>BDH|9245918228643084957</stp>
        <tr r="J5" s="10"/>
      </tp>
      <tp t="e">
        <v>#N/A</v>
        <stp/>
        <stp>BDH|8133611310050861760</stp>
        <tr r="Y105" s="10"/>
      </tp>
      <tp t="e">
        <v>#N/A</v>
        <stp/>
        <stp>BDH|1485769781703513583</stp>
        <tr r="L164" s="10"/>
      </tp>
      <tp t="e">
        <v>#N/A</v>
        <stp/>
        <stp>BDH|1234657426045696899</stp>
        <tr r="C75" s="10"/>
      </tp>
      <tp t="e">
        <v>#N/A</v>
        <stp/>
        <stp>BDH|4057695864119210517</stp>
        <tr r="I82" s="10"/>
      </tp>
      <tp t="e">
        <v>#N/A</v>
        <stp/>
        <stp>BDH|5341490966889235609</stp>
        <tr r="AS124" s="10"/>
      </tp>
      <tp t="e">
        <v>#N/A</v>
        <stp/>
        <stp>BDH|3798995248103079583</stp>
        <tr r="G140" s="10"/>
      </tp>
      <tp t="e">
        <v>#N/A</v>
        <stp/>
        <stp>BDH|4429146538837643900</stp>
        <tr r="F43" s="10"/>
      </tp>
      <tp t="e">
        <v>#N/A</v>
        <stp/>
        <stp>BDH|6618780917221103968</stp>
        <tr r="P115" s="10"/>
      </tp>
      <tp t="e">
        <v>#N/A</v>
        <stp/>
        <stp>BDH|2394917238740711033</stp>
        <tr r="R169" s="10"/>
      </tp>
      <tp t="e">
        <v>#N/A</v>
        <stp/>
        <stp>BDH|1688844005707137683</stp>
        <tr r="I164" s="10"/>
      </tp>
      <tp t="e">
        <v>#N/A</v>
        <stp/>
        <stp>BDH|3722187108588828218</stp>
        <tr r="U60" s="10"/>
      </tp>
      <tp t="e">
        <v>#N/A</v>
        <stp/>
        <stp>BDH|8607643418987654025</stp>
        <tr r="P141" s="10"/>
      </tp>
      <tp t="e">
        <v>#N/A</v>
        <stp/>
        <stp>BDH|7633973109595790313</stp>
        <tr r="AR189" s="10"/>
      </tp>
      <tp t="e">
        <v>#N/A</v>
        <stp/>
        <stp>BDH|1121758189504324203</stp>
        <tr r="AI60" s="10"/>
      </tp>
      <tp t="e">
        <v>#N/A</v>
        <stp/>
        <stp>BDH|7580935968267229723</stp>
        <tr r="J113" s="10"/>
      </tp>
      <tp t="s">
        <v>#N/A Requesting Data...3249342987</v>
        <stp/>
        <stp>BDP|3475822499473221929</stp>
        <tr r="G19" s="3"/>
        <tr r="G21" s="3"/>
        <tr r="G27" s="3"/>
        <tr r="B32" s="6"/>
        <tr r="E36" s="1"/>
        <tr r="H66" s="2"/>
        <tr r="H77" s="2"/>
        <tr r="H87" s="2"/>
        <tr r="H108" s="2"/>
      </tp>
      <tp t="e">
        <v>#N/A</v>
        <stp/>
        <stp>BDH|5891849151553662343</stp>
        <tr r="D12" s="10"/>
      </tp>
      <tp t="e">
        <v>#N/A</v>
        <stp/>
        <stp>BDH|2728814588593845997</stp>
        <tr r="E72" s="10"/>
      </tp>
      <tp t="e">
        <v>#N/A</v>
        <stp/>
        <stp>BDH|8854615463560468013</stp>
        <tr r="AA53" s="10"/>
      </tp>
      <tp t="e">
        <v>#N/A</v>
        <stp/>
        <stp>BDH|3895770432899213603</stp>
        <tr r="AU66" s="10"/>
      </tp>
      <tp t="e">
        <v>#N/A</v>
        <stp/>
        <stp>BDH|5518050838487571920</stp>
        <tr r="L190" s="10"/>
      </tp>
      <tp t="e">
        <v>#N/A</v>
        <stp/>
        <stp>BDH|6973522801392424911</stp>
        <tr r="AQ5" s="10"/>
      </tp>
      <tp t="e">
        <v>#N/A</v>
        <stp/>
        <stp>BDH|6342457866054821875</stp>
        <tr r="W132" s="10"/>
      </tp>
      <tp t="e">
        <v>#N/A</v>
        <stp/>
        <stp>BDH|7406565968215537900</stp>
        <tr r="K12" s="10"/>
      </tp>
      <tp t="e">
        <v>#N/A</v>
        <stp/>
        <stp>BDH|6912704778377767996</stp>
        <tr r="M22" s="10"/>
      </tp>
      <tp t="e">
        <v>#N/A</v>
        <stp/>
        <stp>BDH|3577887583279686273</stp>
        <tr r="U120" s="10"/>
      </tp>
      <tp t="e">
        <v>#N/A</v>
        <stp/>
        <stp>BDH|5759334173340833908</stp>
        <tr r="AQ36" s="10"/>
      </tp>
      <tp t="e">
        <v>#N/A</v>
        <stp/>
        <stp>BDH|9827608892327259974</stp>
        <tr r="C102" s="10"/>
      </tp>
      <tp t="e">
        <v>#N/A</v>
        <stp/>
        <stp>BDH|4059011883413503788</stp>
        <tr r="E159" s="10"/>
      </tp>
      <tp t="e">
        <v>#N/A</v>
        <stp/>
        <stp>BDH|2317627899274581124</stp>
        <tr r="C173" s="10"/>
      </tp>
      <tp t="e">
        <v>#N/A</v>
        <stp/>
        <stp>BDH|8474128729235304636</stp>
        <tr r="AF110" s="10"/>
      </tp>
      <tp t="e">
        <v>#N/A</v>
        <stp/>
        <stp>BDH|2991878263747755358</stp>
        <tr r="X134" s="10"/>
      </tp>
      <tp t="e">
        <v>#N/A</v>
        <stp/>
        <stp>BDH|9415051583690491994</stp>
        <tr r="V87" s="10"/>
      </tp>
      <tp t="e">
        <v>#N/A</v>
        <stp/>
        <stp>BDH|4470887755163396252</stp>
        <tr r="M69" s="10"/>
      </tp>
      <tp t="e">
        <v>#N/A</v>
        <stp/>
        <stp>BDH|8640488093688380518</stp>
        <tr r="AC58" s="10"/>
      </tp>
      <tp t="e">
        <v>#N/A</v>
        <stp/>
        <stp>BDH|1501057213400956859</stp>
        <tr r="AL178" s="10"/>
      </tp>
      <tp t="s">
        <v>#N/A Requesting Data...3015030913</v>
        <stp/>
        <stp>BDP|6935350993236332207</stp>
        <tr r="F115" s="2"/>
      </tp>
      <tp t="e">
        <v>#N/A</v>
        <stp/>
        <stp>BDH|6273389787912763760</stp>
        <tr r="C180" s="10"/>
      </tp>
      <tp t="e">
        <v>#N/A</v>
        <stp/>
        <stp>BDH|8211651503243117592</stp>
        <tr r="AR10" s="10"/>
      </tp>
      <tp t="e">
        <v>#N/A</v>
        <stp/>
        <stp>BDH|2306195450668709613</stp>
        <tr r="O119" s="10"/>
      </tp>
      <tp t="e">
        <v>#N/A</v>
        <stp/>
        <stp>BDH|3563068910179822378</stp>
        <tr r="S72" s="10"/>
      </tp>
      <tp t="e">
        <v>#N/A</v>
        <stp/>
        <stp>BDH|6897310011198058449</stp>
        <tr r="Q111" s="10"/>
      </tp>
      <tp t="e">
        <v>#N/A</v>
        <stp/>
        <stp>BDH|3527744914604154981</stp>
        <tr r="N135" s="10"/>
      </tp>
      <tp t="e">
        <v>#N/A</v>
        <stp/>
        <stp>BDH|1634995253610176510</stp>
        <tr r="C175" s="10"/>
      </tp>
      <tp t="e">
        <v>#N/A</v>
        <stp/>
        <stp>BDH|8474963908628003168</stp>
        <tr r="AA166" s="10"/>
      </tp>
      <tp t="e">
        <v>#N/A</v>
        <stp/>
        <stp>BDH|5957068151148545074</stp>
        <tr r="M36" s="10"/>
      </tp>
      <tp t="e">
        <v>#N/A</v>
        <stp/>
        <stp>BDH|7577951281778507690</stp>
        <tr r="AW144" s="10"/>
      </tp>
      <tp t="e">
        <v>#N/A</v>
        <stp/>
        <stp>BDH|6295807036153076699</stp>
        <tr r="P102" s="10"/>
      </tp>
      <tp t="e">
        <v>#N/A</v>
        <stp/>
        <stp>BDH|6181776576026843859</stp>
        <tr r="J183" s="10"/>
      </tp>
      <tp t="e">
        <v>#N/A</v>
        <stp/>
        <stp>BDH|4503580436408508237</stp>
        <tr r="S187" s="10"/>
      </tp>
      <tp t="e">
        <v>#N/A</v>
        <stp/>
        <stp>BDH|4750103498926695244</stp>
        <tr r="K36" s="10"/>
      </tp>
      <tp t="e">
        <v>#N/A</v>
        <stp/>
        <stp>BDH|2061175218489723357</stp>
        <tr r="AF133" s="10"/>
      </tp>
      <tp t="e">
        <v>#N/A</v>
        <stp/>
        <stp>BDH|7211418201933606895</stp>
        <tr r="P131" s="10"/>
      </tp>
      <tp t="e">
        <v>#N/A</v>
        <stp/>
        <stp>BDH|9518983927279028376</stp>
        <tr r="M121" s="10"/>
      </tp>
      <tp t="e">
        <v>#N/A</v>
        <stp/>
        <stp>BDH|3949649581936958387</stp>
        <tr r="AQ75" s="10"/>
      </tp>
      <tp t="e">
        <v>#N/A</v>
        <stp/>
        <stp>BDH|5926588024423161991</stp>
        <tr r="AM157" s="10"/>
      </tp>
      <tp t="e">
        <v>#N/A</v>
        <stp/>
        <stp>BDH|8092592240210071147</stp>
        <tr r="AO113" s="10"/>
      </tp>
      <tp t="e">
        <v>#N/A</v>
        <stp/>
        <stp>BDH|8863516339316990043</stp>
        <tr r="F36" s="10"/>
      </tp>
      <tp t="e">
        <v>#N/A</v>
        <stp/>
        <stp>BDH|7643317833988060795</stp>
        <tr r="AP128" s="10"/>
      </tp>
      <tp t="e">
        <v>#N/A</v>
        <stp/>
        <stp>BDH|3669289765938292746</stp>
        <tr r="Q75" s="10"/>
      </tp>
      <tp t="e">
        <v>#N/A</v>
        <stp/>
        <stp>BDH|4737243121829973567</stp>
        <tr r="M38" s="10"/>
      </tp>
      <tp t="e">
        <v>#N/A</v>
        <stp/>
        <stp>BDH|6858551741107181800</stp>
        <tr r="AQ130" s="10"/>
      </tp>
      <tp t="e">
        <v>#N/A</v>
        <stp/>
        <stp>BDH|5109891061946567513</stp>
        <tr r="AL125" s="10"/>
      </tp>
      <tp t="e">
        <v>#N/A</v>
        <stp/>
        <stp>BDH|9498595668643114197</stp>
        <tr r="Q176" s="10"/>
      </tp>
      <tp t="e">
        <v>#N/A</v>
        <stp/>
        <stp>BDH|8894173027464108740</stp>
        <tr r="P161" s="10"/>
      </tp>
      <tp t="e">
        <v>#N/A</v>
        <stp/>
        <stp>BDH|9500667074801783127</stp>
        <tr r="P178" s="10"/>
      </tp>
      <tp t="e">
        <v>#N/A</v>
        <stp/>
        <stp>BDH|4511285689506407022</stp>
        <tr r="J135" s="10"/>
      </tp>
      <tp t="e">
        <v>#N/A</v>
        <stp/>
        <stp>BDH|9870215677132564696</stp>
        <tr r="S94" s="10"/>
      </tp>
      <tp t="e">
        <v>#N/A</v>
        <stp/>
        <stp>BDH|1132769084184999281</stp>
        <tr r="AW170" s="10"/>
      </tp>
      <tp t="e">
        <v>#N/A</v>
        <stp/>
        <stp>BDH|5621464836233145953</stp>
        <tr r="W27" s="10"/>
      </tp>
      <tp t="e">
        <v>#N/A</v>
        <stp/>
        <stp>BDH|1016817156590604430</stp>
        <tr r="J119" s="10"/>
      </tp>
      <tp t="e">
        <v>#N/A</v>
        <stp/>
        <stp>BDH|1007666107938559768</stp>
        <tr r="AK70" s="10"/>
      </tp>
      <tp t="e">
        <v>#N/A</v>
        <stp/>
        <stp>BDH|9394306739199926819</stp>
        <tr r="G41" s="10"/>
      </tp>
      <tp t="e">
        <v>#N/A</v>
        <stp/>
        <stp>BDH|8630134040981387443</stp>
        <tr r="V191" s="10"/>
      </tp>
      <tp t="e">
        <v>#N/A</v>
        <stp/>
        <stp>BDH|2327632592222816787</stp>
        <tr r="AK106" s="10"/>
      </tp>
      <tp t="e">
        <v>#N/A</v>
        <stp/>
        <stp>BDH|8720629960980317044</stp>
        <tr r="D150" s="10"/>
      </tp>
      <tp t="e">
        <v>#N/A</v>
        <stp/>
        <stp>BDH|7474400390253105173</stp>
        <tr r="P172" s="10"/>
      </tp>
      <tp t="e">
        <v>#N/A</v>
        <stp/>
        <stp>BDH|1670958533705434660</stp>
        <tr r="AD41" s="10"/>
      </tp>
      <tp t="e">
        <v>#N/A</v>
        <stp/>
        <stp>BDH|5508269826708516525</stp>
        <tr r="AF56" s="10"/>
      </tp>
      <tp t="e">
        <v>#N/A</v>
        <stp/>
        <stp>BDH|5594474776228013664</stp>
        <tr r="AU95" s="10"/>
      </tp>
      <tp t="e">
        <v>#N/A</v>
        <stp/>
        <stp>BDH|3213478429258970571</stp>
        <tr r="L160" s="10"/>
      </tp>
      <tp t="e">
        <v>#N/A</v>
        <stp/>
        <stp>BDH|1398274749557941860</stp>
        <tr r="Q153" s="10"/>
      </tp>
      <tp t="e">
        <v>#N/A</v>
        <stp/>
        <stp>BDH|4783459524613506918</stp>
        <tr r="L90" s="10"/>
      </tp>
      <tp t="e">
        <v>#N/A</v>
        <stp/>
        <stp>BDH|7009196387705476389</stp>
        <tr r="P155" s="10"/>
      </tp>
      <tp t="e">
        <v>#N/A</v>
        <stp/>
        <stp>BDH|4478815264193295114</stp>
        <tr r="E116" s="10"/>
      </tp>
      <tp t="e">
        <v>#N/A</v>
        <stp/>
        <stp>BDH|6798767444168562527</stp>
        <tr r="D39" s="10"/>
      </tp>
      <tp t="s">
        <v>#N/A Requesting Data...3535794627</v>
        <stp/>
        <stp>BDP|9447512640847098767</stp>
        <tr r="F57" s="2"/>
        <tr r="F58" s="2"/>
        <tr r="F62" s="2"/>
        <tr r="F63" s="2"/>
        <tr r="F64" s="2"/>
        <tr r="F105" s="2"/>
        <tr r="F110" s="2"/>
        <tr r="F120" s="2"/>
        <tr r="F121" s="2"/>
        <tr r="F122" s="2"/>
        <tr r="F123" s="2"/>
        <tr r="F124" s="2"/>
        <tr r="F125" s="2"/>
        <tr r="F126" s="2"/>
      </tp>
      <tp t="e">
        <v>#N/A</v>
        <stp/>
        <stp>BDH|7043537363075527960</stp>
        <tr r="AD151" s="10"/>
      </tp>
      <tp t="e">
        <v>#N/A</v>
        <stp/>
        <stp>BDH|3372582869351469950</stp>
        <tr r="T56" s="10"/>
      </tp>
      <tp t="e">
        <v>#N/A</v>
        <stp/>
        <stp>BDH|4273417281436207637</stp>
        <tr r="AR131" s="10"/>
      </tp>
      <tp t="e">
        <v>#N/A</v>
        <stp/>
        <stp>BDH|9013125306639338943</stp>
        <tr r="AM101" s="10"/>
      </tp>
      <tp t="e">
        <v>#N/A</v>
        <stp/>
        <stp>BDH|8249323563211783478</stp>
        <tr r="H34" s="10"/>
      </tp>
      <tp t="e">
        <v>#N/A</v>
        <stp/>
        <stp>BDH|2419700588340940562</stp>
        <tr r="AL186" s="10"/>
      </tp>
      <tp t="e">
        <v>#N/A</v>
        <stp/>
        <stp>BDH|4062232930639537456</stp>
        <tr r="AI29" s="10"/>
      </tp>
      <tp t="e">
        <v>#N/A</v>
        <stp/>
        <stp>BDH|6191884331741827431</stp>
        <tr r="F31" s="10"/>
      </tp>
      <tp t="e">
        <v>#N/A</v>
        <stp/>
        <stp>BDH|4760847140140588051</stp>
        <tr r="H148" s="10"/>
      </tp>
      <tp t="e">
        <v>#N/A</v>
        <stp/>
        <stp>BDH|2639572279848915027</stp>
        <tr r="AH95" s="10"/>
      </tp>
      <tp t="e">
        <v>#N/A</v>
        <stp/>
        <stp>BDH|9245150862560380656</stp>
        <tr r="E112" s="10"/>
      </tp>
      <tp t="e">
        <v>#N/A</v>
        <stp/>
        <stp>BDH|9360651359994550695</stp>
        <tr r="AP146" s="10"/>
      </tp>
      <tp t="e">
        <v>#N/A</v>
        <stp/>
        <stp>BDH|2076401585890798626</stp>
        <tr r="AU60" s="10"/>
      </tp>
      <tp t="e">
        <v>#N/A</v>
        <stp/>
        <stp>BDH|9611073974271615730</stp>
        <tr r="Z137" s="10"/>
      </tp>
      <tp t="e">
        <v>#N/A</v>
        <stp/>
        <stp>BDH|9766683060186966762</stp>
        <tr r="AA36" s="10"/>
      </tp>
      <tp t="e">
        <v>#N/A</v>
        <stp/>
        <stp>BDH|9091582538147294020</stp>
        <tr r="AS24" s="10"/>
      </tp>
      <tp t="e">
        <v>#N/A</v>
        <stp/>
        <stp>BDH|8136201331496377732</stp>
        <tr r="D126" s="10"/>
      </tp>
      <tp t="e">
        <v>#N/A</v>
        <stp/>
        <stp>BDH|2066576882180430710</stp>
        <tr r="V67" s="10"/>
      </tp>
      <tp t="e">
        <v>#N/A</v>
        <stp/>
        <stp>BDH|3629328313961435832</stp>
        <tr r="AP39" s="10"/>
      </tp>
      <tp t="e">
        <v>#N/A</v>
        <stp/>
        <stp>BDH|9132208777452359658</stp>
        <tr r="AN49" s="10"/>
      </tp>
      <tp t="e">
        <v>#N/A</v>
        <stp/>
        <stp>BDH|4008758194143148108</stp>
        <tr r="C96" s="10"/>
      </tp>
      <tp t="e">
        <v>#N/A</v>
        <stp/>
        <stp>BDH|5922785587607547530</stp>
        <tr r="AI51" s="10"/>
      </tp>
      <tp t="e">
        <v>#N/A</v>
        <stp/>
        <stp>BDH|4618151365803163878</stp>
        <tr r="AU23" s="10"/>
      </tp>
      <tp t="e">
        <v>#N/A</v>
        <stp/>
        <stp>BDH|9260358183073722937</stp>
        <tr r="L26" s="10"/>
      </tp>
      <tp t="e">
        <v>#N/A</v>
        <stp/>
        <stp>BDH|6207457159929924677</stp>
        <tr r="AO32" s="10"/>
      </tp>
      <tp t="e">
        <v>#N/A</v>
        <stp/>
        <stp>BDH|2592530033218327465</stp>
        <tr r="AN51" s="10"/>
      </tp>
      <tp t="e">
        <v>#N/A</v>
        <stp/>
        <stp>BDH|9689157600150259017</stp>
        <tr r="AM9" s="10"/>
      </tp>
      <tp t="e">
        <v>#N/A</v>
        <stp/>
        <stp>BDH|7998124101329376795</stp>
        <tr r="D65" s="10"/>
      </tp>
      <tp t="s">
        <v>#N/A Requesting Data...3873373636</v>
        <stp/>
        <stp>BDP|3605001518333938969</stp>
        <tr r="D5" s="6"/>
        <tr r="H4" s="1"/>
      </tp>
      <tp t="s">
        <v>#N/A Requesting Data...3314787269</v>
        <stp/>
        <stp>BDP|9441408032194783206</stp>
        <tr r="O29" s="1"/>
      </tp>
      <tp t="e">
        <v>#N/A</v>
        <stp/>
        <stp>BDH|3322868445732989585</stp>
        <tr r="AN40" s="10"/>
      </tp>
      <tp t="e">
        <v>#N/A</v>
        <stp/>
        <stp>BDH|6626960966336626713</stp>
        <tr r="AW80" s="10"/>
      </tp>
      <tp t="e">
        <v>#N/A</v>
        <stp/>
        <stp>BDH|2166977932105223571</stp>
        <tr r="P192" s="10"/>
      </tp>
      <tp t="e">
        <v>#N/A</v>
        <stp/>
        <stp>BDH|6762831198999986643</stp>
        <tr r="V125" s="10"/>
      </tp>
      <tp t="e">
        <v>#N/A</v>
        <stp/>
        <stp>BDH|4134451587392215204</stp>
        <tr r="T122" s="10"/>
      </tp>
      <tp t="e">
        <v>#N/A</v>
        <stp/>
        <stp>BDH|5615087410065850974</stp>
        <tr r="Y78" s="10"/>
      </tp>
      <tp t="e">
        <v>#N/A</v>
        <stp/>
        <stp>BDH|8821708446752638198</stp>
        <tr r="AU151" s="10"/>
      </tp>
      <tp t="e">
        <v>#N/A</v>
        <stp/>
        <stp>BDH|3866599961440013813</stp>
        <tr r="AG27" s="10"/>
      </tp>
      <tp t="e">
        <v>#N/A</v>
        <stp/>
        <stp>BDH|9894198230372498142</stp>
        <tr r="AM4" s="10"/>
      </tp>
      <tp t="e">
        <v>#N/A</v>
        <stp/>
        <stp>BDH|5136000201884577945</stp>
        <tr r="AD61" s="10"/>
      </tp>
      <tp t="e">
        <v>#N/A</v>
        <stp/>
        <stp>BDH|6207906511104245208</stp>
        <tr r="AR64" s="10"/>
      </tp>
      <tp t="e">
        <v>#N/A</v>
        <stp/>
        <stp>BDH|9558208992193188978</stp>
        <tr r="AP73" s="10"/>
      </tp>
      <tp t="e">
        <v>#N/A</v>
        <stp/>
        <stp>BDH|9352101988330285880</stp>
        <tr r="T185" s="10"/>
      </tp>
      <tp t="e">
        <v>#N/A</v>
        <stp/>
        <stp>BDH|4462205217969726629</stp>
        <tr r="U101" s="10"/>
      </tp>
      <tp t="e">
        <v>#N/A</v>
        <stp/>
        <stp>BDH|8311776740433708052</stp>
        <tr r="AR151" s="10"/>
      </tp>
      <tp t="e">
        <v>#N/A</v>
        <stp/>
        <stp>BDH|1258915991349779034</stp>
        <tr r="AI59" s="10"/>
      </tp>
      <tp t="e">
        <v>#N/A</v>
        <stp/>
        <stp>BDH|1009930661052652425</stp>
        <tr r="AJ119" s="10"/>
      </tp>
      <tp t="e">
        <v>#N/A</v>
        <stp/>
        <stp>BDH|1358914714601546050</stp>
        <tr r="AT112" s="10"/>
      </tp>
      <tp t="e">
        <v>#N/A</v>
        <stp/>
        <stp>BDH|8569787125636709395</stp>
        <tr r="T21" s="10"/>
      </tp>
      <tp t="e">
        <v>#N/A</v>
        <stp/>
        <stp>BDH|4015571717501367956</stp>
        <tr r="M28" s="10"/>
      </tp>
      <tp t="e">
        <v>#N/A</v>
        <stp/>
        <stp>BDH|8100177815403630335</stp>
        <tr r="AB123" s="10"/>
      </tp>
      <tp t="e">
        <v>#N/A</v>
        <stp/>
        <stp>BDH|9884693121651499421</stp>
        <tr r="AV106" s="10"/>
      </tp>
      <tp t="e">
        <v>#N/A</v>
        <stp/>
        <stp>BDH|7911635153149897578</stp>
        <tr r="AN102" s="10"/>
      </tp>
      <tp t="e">
        <v>#N/A</v>
        <stp/>
        <stp>BDH|4189946820414758349</stp>
        <tr r="AI168" s="10"/>
      </tp>
      <tp t="e">
        <v>#N/A</v>
        <stp/>
        <stp>BDH|5123256802296668969</stp>
        <tr r="AT116" s="10"/>
      </tp>
      <tp t="e">
        <v>#N/A</v>
        <stp/>
        <stp>BDH|2934005395390959338</stp>
        <tr r="T69" s="10"/>
      </tp>
      <tp t="e">
        <v>#N/A</v>
        <stp/>
        <stp>BDH|2619483799815176206</stp>
        <tr r="F130" s="10"/>
      </tp>
      <tp t="e">
        <v>#N/A</v>
        <stp/>
        <stp>BDH|9816131278432397560</stp>
        <tr r="AQ79" s="10"/>
      </tp>
      <tp t="e">
        <v>#N/A</v>
        <stp/>
        <stp>BDH|3951678059850585840</stp>
        <tr r="T60" s="10"/>
      </tp>
      <tp t="e">
        <v>#N/A</v>
        <stp/>
        <stp>BDH|1004887619834343447</stp>
        <tr r="AQ122" s="10"/>
      </tp>
      <tp t="e">
        <v>#N/A</v>
        <stp/>
        <stp>BDH|4133344644463383845</stp>
        <tr r="AJ6" s="10"/>
      </tp>
      <tp t="e">
        <v>#N/A</v>
        <stp/>
        <stp>BDH|6296461570409000422</stp>
        <tr r="AO19" s="10"/>
      </tp>
      <tp t="e">
        <v>#N/A</v>
        <stp/>
        <stp>BDH|7000945420007239308</stp>
        <tr r="Z91" s="10"/>
      </tp>
      <tp t="e">
        <v>#N/A</v>
        <stp/>
        <stp>BDH|1792029563538803794</stp>
        <tr r="AF181" s="10"/>
      </tp>
      <tp t="e">
        <v>#N/A</v>
        <stp/>
        <stp>BDH|4133968995998479414</stp>
        <tr r="R188" s="10"/>
      </tp>
      <tp t="e">
        <v>#N/A</v>
        <stp/>
        <stp>BDH|9451822685006112756</stp>
        <tr r="AQ126" s="10"/>
      </tp>
      <tp t="e">
        <v>#N/A</v>
        <stp/>
        <stp>BDH|2589813094988683318</stp>
        <tr r="R165" s="10"/>
      </tp>
      <tp t="e">
        <v>#N/A</v>
        <stp/>
        <stp>BDH|7047827279140538093</stp>
        <tr r="AT160" s="10"/>
      </tp>
      <tp t="e">
        <v>#N/A</v>
        <stp/>
        <stp>BDH|8655964150224277851</stp>
        <tr r="K39" s="10"/>
      </tp>
      <tp t="e">
        <v>#N/A</v>
        <stp/>
        <stp>BDH|2968691808365694998</stp>
        <tr r="AM112" s="10"/>
      </tp>
      <tp t="e">
        <v>#N/A</v>
        <stp/>
        <stp>BDH|3082324501181280961</stp>
        <tr r="AF179" s="10"/>
      </tp>
      <tp t="e">
        <v>#N/A</v>
        <stp/>
        <stp>BDH|8261728855243704158</stp>
        <tr r="AK42" s="10"/>
      </tp>
      <tp t="e">
        <v>#N/A</v>
        <stp/>
        <stp>BDH|5062206439479969575</stp>
        <tr r="AJ94" s="10"/>
      </tp>
      <tp t="e">
        <v>#N/A</v>
        <stp/>
        <stp>BDH|1228859207960527127</stp>
        <tr r="AL123" s="10"/>
      </tp>
      <tp t="e">
        <v>#N/A</v>
        <stp/>
        <stp>BDH|3607953760336304276</stp>
        <tr r="W142" s="10"/>
      </tp>
      <tp t="e">
        <v>#N/A</v>
        <stp/>
        <stp>BDH|9594151401482725218</stp>
        <tr r="V25" s="10"/>
      </tp>
      <tp t="e">
        <v>#N/A</v>
        <stp/>
        <stp>BDH|6670014809748057697</stp>
        <tr r="F74" s="10"/>
      </tp>
      <tp t="e">
        <v>#N/A</v>
        <stp/>
        <stp>BDH|3579232992607280712</stp>
        <tr r="W38" s="10"/>
      </tp>
      <tp t="e">
        <v>#N/A</v>
        <stp/>
        <stp>BDH|6778211723979534775</stp>
        <tr r="AH189" s="10"/>
      </tp>
      <tp t="e">
        <v>#N/A</v>
        <stp/>
        <stp>BDH|9580174104583756365</stp>
        <tr r="AM76" s="10"/>
      </tp>
      <tp t="e">
        <v>#N/A</v>
        <stp/>
        <stp>BDH|6310859630153367627</stp>
        <tr r="J38" s="10"/>
      </tp>
      <tp t="e">
        <v>#N/A</v>
        <stp/>
        <stp>BDH|5295567654358031576</stp>
        <tr r="D35" s="10"/>
      </tp>
      <tp t="e">
        <v>#N/A</v>
        <stp/>
        <stp>BDH|1430217733390277838</stp>
        <tr r="H16" s="10"/>
      </tp>
      <tp t="e">
        <v>#N/A</v>
        <stp/>
        <stp>BDH|9190973928453125984</stp>
        <tr r="L113" s="10"/>
      </tp>
      <tp t="e">
        <v>#N/A</v>
        <stp/>
        <stp>BDH|3262384934279891212</stp>
        <tr r="AC4" s="10"/>
      </tp>
      <tp t="e">
        <v>#N/A</v>
        <stp/>
        <stp>BDH|5960619995317921533</stp>
        <tr r="AC5" s="10"/>
      </tp>
      <tp t="e">
        <v>#N/A</v>
        <stp/>
        <stp>BDH|1161169288455973512</stp>
        <tr r="AF91" s="10"/>
      </tp>
      <tp t="e">
        <v>#N/A</v>
        <stp/>
        <stp>BDH|1058900110213381241</stp>
        <tr r="E71" s="10"/>
      </tp>
      <tp t="e">
        <v>#N/A</v>
        <stp/>
        <stp>BDH|6270905489138823771</stp>
        <tr r="T114" s="10"/>
      </tp>
      <tp t="e">
        <v>#N/A</v>
        <stp/>
        <stp>BDH|3198249351644829884</stp>
        <tr r="AM117" s="10"/>
      </tp>
      <tp t="e">
        <v>#N/A</v>
        <stp/>
        <stp>BDH|8127292364215972115</stp>
        <tr r="M112" s="10"/>
      </tp>
      <tp t="e">
        <v>#N/A</v>
        <stp/>
        <stp>BDH|1597719486006772014</stp>
        <tr r="D101" s="10"/>
      </tp>
      <tp t="e">
        <v>#N/A</v>
        <stp/>
        <stp>BDH|1414661577628414055</stp>
        <tr r="E46" s="10"/>
      </tp>
      <tp t="e">
        <v>#N/A</v>
        <stp/>
        <stp>BDH|2908946786792824971</stp>
        <tr r="C153" s="10"/>
      </tp>
      <tp t="e">
        <v>#N/A</v>
        <stp/>
        <stp>BDH|6378965657514093668</stp>
        <tr r="M137" s="10"/>
      </tp>
      <tp t="e">
        <v>#N/A</v>
        <stp/>
        <stp>BDH|5851960121822941420</stp>
        <tr r="K25" s="10"/>
      </tp>
      <tp t="e">
        <v>#N/A</v>
        <stp/>
        <stp>BDH|4544841060894241671</stp>
        <tr r="F109" s="10"/>
      </tp>
      <tp t="e">
        <v>#N/A</v>
        <stp/>
        <stp>BDH|9260047810732070229</stp>
        <tr r="AP114" s="10"/>
      </tp>
      <tp t="e">
        <v>#N/A</v>
        <stp/>
        <stp>BDH|6580126211578653645</stp>
        <tr r="D8" s="10"/>
      </tp>
      <tp t="e">
        <v>#N/A</v>
        <stp/>
        <stp>BDH|7293913706045239334</stp>
        <tr r="AM192" s="10"/>
      </tp>
      <tp t="e">
        <v>#N/A</v>
        <stp/>
        <stp>BDH|3737677685972808792</stp>
        <tr r="AK189" s="10"/>
      </tp>
      <tp t="e">
        <v>#N/A</v>
        <stp/>
        <stp>BDH|7844356779542385931</stp>
        <tr r="G44" s="10"/>
      </tp>
      <tp t="s">
        <v>#N/A N/A</v>
        <stp/>
        <stp>BDP|1074728739519800465</stp>
        <tr r="B58" s="6"/>
        <tr r="E49" s="1"/>
        <tr r="H149" s="2"/>
      </tp>
      <tp t="s">
        <v>#N/A Requesting Data...3766638307</v>
        <stp/>
        <stp>BDP|4491580860927177882</stp>
        <tr r="D34" s="1"/>
      </tp>
      <tp t="e">
        <v>#N/A</v>
        <stp/>
        <stp>BDH|8662217351900703749</stp>
        <tr r="M156" s="10"/>
      </tp>
      <tp t="e">
        <v>#N/A</v>
        <stp/>
        <stp>BDH|9310375331544260527</stp>
        <tr r="AI169" s="10"/>
      </tp>
      <tp t="e">
        <v>#N/A</v>
        <stp/>
        <stp>BDH|9741217906196250574</stp>
        <tr r="AS75" s="10"/>
      </tp>
      <tp t="e">
        <v>#N/A</v>
        <stp/>
        <stp>BDH|7468945916252113522</stp>
        <tr r="Q189" s="10"/>
      </tp>
      <tp t="e">
        <v>#N/A</v>
        <stp/>
        <stp>BDH|5750886040144951533</stp>
        <tr r="S6" s="10"/>
      </tp>
      <tp t="e">
        <v>#N/A</v>
        <stp/>
        <stp>BDH|8616841040319342540</stp>
        <tr r="AW36" s="10"/>
      </tp>
      <tp t="e">
        <v>#N/A</v>
        <stp/>
        <stp>BDH|4687126475942217861</stp>
        <tr r="AQ176" s="10"/>
      </tp>
      <tp t="e">
        <v>#N/A</v>
        <stp/>
        <stp>BDH|1357848767521595607</stp>
        <tr r="AF191" s="10"/>
      </tp>
      <tp t="e">
        <v>#N/A</v>
        <stp/>
        <stp>BDH|8319658512130068718</stp>
        <tr r="T101" s="10"/>
      </tp>
      <tp t="e">
        <v>#N/A</v>
        <stp/>
        <stp>BDH|9589173849852678682</stp>
        <tr r="I177" s="10"/>
      </tp>
      <tp t="e">
        <v>#N/A</v>
        <stp/>
        <stp>BDH|7957976928010020437</stp>
        <tr r="J111" s="10"/>
      </tp>
      <tp t="e">
        <v>#N/A</v>
        <stp/>
        <stp>BDH|8010650734560669524</stp>
        <tr r="R62" s="10"/>
      </tp>
      <tp t="e">
        <v>#N/A</v>
        <stp/>
        <stp>BDH|8226656241594488670</stp>
        <tr r="I92" s="10"/>
      </tp>
      <tp t="e">
        <v>#N/A</v>
        <stp/>
        <stp>BDH|3489627701064715957</stp>
        <tr r="AL168" s="10"/>
      </tp>
      <tp t="e">
        <v>#N/A</v>
        <stp/>
        <stp>BDH|1011818704427026604</stp>
        <tr r="AM193" s="10"/>
      </tp>
      <tp t="e">
        <v>#N/A</v>
        <stp/>
        <stp>BDH|6284536785262009117</stp>
        <tr r="AJ143" s="10"/>
      </tp>
      <tp t="e">
        <v>#N/A</v>
        <stp/>
        <stp>BDH|4018799299391558305</stp>
        <tr r="AQ177" s="10"/>
      </tp>
      <tp t="e">
        <v>#N/A</v>
        <stp/>
        <stp>BDH|1127092908790436919</stp>
        <tr r="O68" s="10"/>
      </tp>
      <tp t="e">
        <v>#N/A</v>
        <stp/>
        <stp>BDH|7575162727914792868</stp>
        <tr r="AK59" s="10"/>
      </tp>
      <tp t="e">
        <v>#N/A</v>
        <stp/>
        <stp>BDH|6515727986888319972</stp>
        <tr r="K151" s="10"/>
      </tp>
      <tp t="e">
        <v>#N/A</v>
        <stp/>
        <stp>BDH|8827413304551032588</stp>
        <tr r="AO71" s="10"/>
      </tp>
      <tp t="e">
        <v>#N/A</v>
        <stp/>
        <stp>BDH|2874018418792031945</stp>
        <tr r="S12" s="10"/>
      </tp>
      <tp t="e">
        <v>#N/A</v>
        <stp/>
        <stp>BDH|3225497296684145299</stp>
        <tr r="L130" s="10"/>
      </tp>
    </main>
    <main first="bofaddin.rtdserver">
      <tp t="e">
        <v>#N/A</v>
        <stp/>
        <stp>BDH|90079498435536996</stp>
        <tr r="E104" s="10"/>
      </tp>
      <tp t="e">
        <v>#N/A</v>
        <stp/>
        <stp>BDH|9733571342673826207</stp>
        <tr r="Y58" s="10"/>
      </tp>
      <tp t="e">
        <v>#N/A</v>
        <stp/>
        <stp>BDH|3516979960013987611</stp>
        <tr r="P73" s="10"/>
      </tp>
      <tp t="e">
        <v>#N/A</v>
        <stp/>
        <stp>BDH|3724512110267560997</stp>
        <tr r="AW183" s="10"/>
      </tp>
      <tp t="e">
        <v>#N/A</v>
        <stp/>
        <stp>BDH|9441392826316736765</stp>
        <tr r="AO158" s="10"/>
      </tp>
      <tp t="e">
        <v>#N/A</v>
        <stp/>
        <stp>BDH|5312081251111957896</stp>
        <tr r="AP190" s="10"/>
      </tp>
      <tp t="e">
        <v>#N/A</v>
        <stp/>
        <stp>BDH|9284537935822818464</stp>
        <tr r="D132" s="10"/>
      </tp>
      <tp t="e">
        <v>#N/A</v>
        <stp/>
        <stp>BDH|2474012718772556822</stp>
        <tr r="R173" s="10"/>
      </tp>
      <tp t="e">
        <v>#N/A</v>
        <stp/>
        <stp>BDH|2832015962438934585</stp>
        <tr r="AA177" s="10"/>
      </tp>
      <tp t="e">
        <v>#N/A</v>
        <stp/>
        <stp>BDH|4549154008788077429</stp>
        <tr r="AQ41" s="10"/>
      </tp>
      <tp t="e">
        <v>#N/A</v>
        <stp/>
        <stp>BDH|8849403022855071200</stp>
        <tr r="O5" s="10"/>
      </tp>
      <tp t="e">
        <v>#N/A</v>
        <stp/>
        <stp>BDH|9914123624821148246</stp>
        <tr r="W99" s="10"/>
      </tp>
      <tp t="e">
        <v>#N/A</v>
        <stp/>
        <stp>BDH|7680912975311113192</stp>
        <tr r="AH152" s="10"/>
      </tp>
      <tp t="e">
        <v>#N/A</v>
        <stp/>
        <stp>BDH|2200844049660348769</stp>
        <tr r="AK99" s="10"/>
      </tp>
      <tp t="s">
        <v>#N/A Requesting Data...3451893474</v>
        <stp/>
        <stp>BDP|5660246592933930424</stp>
        <tr r="O7" s="1"/>
      </tp>
      <tp t="e">
        <v>#N/A</v>
        <stp/>
        <stp>BDH|1654963511238862823</stp>
        <tr r="AD95" s="10"/>
      </tp>
      <tp t="e">
        <v>#N/A</v>
        <stp/>
        <stp>BDH|1957760041693250877</stp>
        <tr r="G15" s="10"/>
      </tp>
      <tp t="e">
        <v>#N/A</v>
        <stp/>
        <stp>BDH|6088265885892155790</stp>
        <tr r="X105" s="10"/>
      </tp>
      <tp t="e">
        <v>#N/A</v>
        <stp/>
        <stp>BDH|7984304386575288063</stp>
        <tr r="T83" s="10"/>
      </tp>
      <tp t="e">
        <v>#N/A</v>
        <stp/>
        <stp>BDH|3986279828808534288</stp>
        <tr r="AH148" s="10"/>
      </tp>
      <tp t="e">
        <v>#N/A</v>
        <stp/>
        <stp>BDH|9578470943603311395</stp>
        <tr r="AV84" s="10"/>
      </tp>
      <tp t="e">
        <v>#N/A</v>
        <stp/>
        <stp>BDH|4379994820250979683</stp>
        <tr r="R97" s="10"/>
      </tp>
      <tp t="e">
        <v>#N/A</v>
        <stp/>
        <stp>BDH|3459151318372778854</stp>
        <tr r="D111" s="10"/>
      </tp>
      <tp t="e">
        <v>#N/A</v>
        <stp/>
        <stp>BDH|4432266721585153891</stp>
        <tr r="E136" s="10"/>
      </tp>
      <tp t="e">
        <v>#N/A</v>
        <stp/>
        <stp>BDH|7215103041818885305</stp>
        <tr r="U151" s="10"/>
      </tp>
      <tp t="e">
        <v>#N/A</v>
        <stp/>
        <stp>BDH|8700829138908317258</stp>
        <tr r="R132" s="10"/>
      </tp>
      <tp t="e">
        <v>#N/A</v>
        <stp/>
        <stp>BDH|1480130981404438596</stp>
        <tr r="S52" s="10"/>
      </tp>
      <tp t="e">
        <v>#N/A</v>
        <stp/>
        <stp>BDH|7883711845309158467</stp>
        <tr r="Q58" s="10"/>
      </tp>
      <tp t="e">
        <v>#N/A</v>
        <stp/>
        <stp>BDH|4168342425988342483</stp>
        <tr r="G155" s="10"/>
      </tp>
      <tp t="e">
        <v>#N/A</v>
        <stp/>
        <stp>BDH|8265975097832996308</stp>
        <tr r="K186" s="10"/>
      </tp>
      <tp t="e">
        <v>#N/A</v>
        <stp/>
        <stp>BDH|1968903037476591402</stp>
        <tr r="X94" s="10"/>
      </tp>
      <tp t="e">
        <v>#N/A</v>
        <stp/>
        <stp>BDH|8178395391949759253</stp>
        <tr r="G115" s="10"/>
      </tp>
      <tp t="e">
        <v>#N/A</v>
        <stp/>
        <stp>BDH|9808891779319142629</stp>
        <tr r="S83" s="10"/>
      </tp>
      <tp t="e">
        <v>#N/A</v>
        <stp/>
        <stp>BDH|1019683061921444960</stp>
        <tr r="AV13" s="10"/>
      </tp>
      <tp t="e">
        <v>#N/A</v>
        <stp/>
        <stp>BDH|9599523192749744596</stp>
        <tr r="Y178" s="10"/>
      </tp>
      <tp t="e">
        <v>#N/A</v>
        <stp/>
        <stp>BDH|5770799691691716336</stp>
        <tr r="M189" s="10"/>
      </tp>
      <tp t="s">
        <v>#N/A Requesting Data...3729362920</v>
        <stp/>
        <stp>BDP|2698953304395640797</stp>
        <tr r="B43" s="6"/>
        <tr r="E32" s="1"/>
        <tr r="H96" s="2"/>
      </tp>
      <tp t="e">
        <v>#N/A</v>
        <stp/>
        <stp>BDH|4061834905842689782</stp>
        <tr r="AK101" s="10"/>
      </tp>
      <tp t="e">
        <v>#N/A</v>
        <stp/>
        <stp>BDH|4609587087431717162</stp>
        <tr r="AG17" s="10"/>
      </tp>
      <tp t="e">
        <v>#N/A</v>
        <stp/>
        <stp>BDH|5421610378705526804</stp>
        <tr r="AW105" s="10"/>
      </tp>
      <tp t="e">
        <v>#N/A</v>
        <stp/>
        <stp>BDH|4660882206464672162</stp>
        <tr r="R179" s="10"/>
      </tp>
      <tp t="e">
        <v>#N/A</v>
        <stp/>
        <stp>BDH|5198078670782931973</stp>
        <tr r="F171" s="10"/>
      </tp>
      <tp t="e">
        <v>#N/A</v>
        <stp/>
        <stp>BDH|6353974711630993747</stp>
        <tr r="R134" s="10"/>
      </tp>
      <tp t="e">
        <v>#N/A</v>
        <stp/>
        <stp>BDH|9093507455455988549</stp>
        <tr r="M57" s="10"/>
      </tp>
      <tp t="e">
        <v>#N/A</v>
        <stp/>
        <stp>BDH|6205753070306985962</stp>
        <tr r="AS163" s="10"/>
      </tp>
      <tp t="e">
        <v>#N/A</v>
        <stp/>
        <stp>BDH|4967508747525090968</stp>
        <tr r="AP45" s="10"/>
      </tp>
      <tp t="e">
        <v>#N/A</v>
        <stp/>
        <stp>BDH|9975700147186183574</stp>
        <tr r="AC101" s="10"/>
      </tp>
      <tp t="e">
        <v>#N/A</v>
        <stp/>
        <stp>BDH|5627965912826829220</stp>
        <tr r="W138" s="10"/>
      </tp>
      <tp t="e">
        <v>#N/A</v>
        <stp/>
        <stp>BDH|8041088448753845603</stp>
        <tr r="AT89" s="10"/>
      </tp>
      <tp t="e">
        <v>#N/A</v>
        <stp/>
        <stp>BDH|2376971270914524191</stp>
        <tr r="AN34" s="10"/>
      </tp>
      <tp t="e">
        <v>#N/A</v>
        <stp/>
        <stp>BDH|4897787336179976077</stp>
        <tr r="Z6" s="10"/>
      </tp>
      <tp t="s">
        <v>#N/A Requesting Data...3373070958</v>
        <stp/>
        <stp>BDP|4889460036173169900</stp>
        <tr r="I25" s="1"/>
      </tp>
      <tp t="e">
        <v>#N/A</v>
        <stp/>
        <stp>BDH|5613469502908866037</stp>
        <tr r="AE55" s="10"/>
      </tp>
      <tp t="e">
        <v>#N/A</v>
        <stp/>
        <stp>BDH|1411582545460050900</stp>
        <tr r="Z127" s="10"/>
      </tp>
      <tp t="e">
        <v>#N/A</v>
        <stp/>
        <stp>BDH|4271486585001362053</stp>
        <tr r="P169" s="10"/>
      </tp>
      <tp t="e">
        <v>#N/A</v>
        <stp/>
        <stp>BDH|7286991775214380445</stp>
        <tr r="J175" s="10"/>
      </tp>
      <tp t="e">
        <v>#N/A</v>
        <stp/>
        <stp>BDH|1149181053554221814</stp>
        <tr r="L18" s="10"/>
      </tp>
      <tp t="e">
        <v>#N/A</v>
        <stp/>
        <stp>BDH|8145013756677806378</stp>
        <tr r="J97" s="10"/>
      </tp>
      <tp t="e">
        <v>#N/A</v>
        <stp/>
        <stp>BDH|4362242519839763701</stp>
        <tr r="H160" s="10"/>
      </tp>
      <tp t="e">
        <v>#N/A</v>
        <stp/>
        <stp>BDH|4935510276547695815</stp>
        <tr r="N54" s="10"/>
      </tp>
      <tp t="e">
        <v>#N/A</v>
        <stp/>
        <stp>BDH|2935661078798985277</stp>
        <tr r="AD25" s="10"/>
      </tp>
      <tp t="e">
        <v>#N/A</v>
        <stp/>
        <stp>BDH|1516145799026588646</stp>
        <tr r="F116" s="10"/>
      </tp>
      <tp t="e">
        <v>#N/A</v>
        <stp/>
        <stp>BDH|9231024870964097398</stp>
        <tr r="G180" s="10"/>
      </tp>
      <tp t="e">
        <v>#N/A</v>
        <stp/>
        <stp>BDH|6693883089589917670</stp>
        <tr r="U29" s="10"/>
      </tp>
      <tp t="s">
        <v>#N/A Requesting Data...3145170045</v>
        <stp/>
        <stp>BDP|3836900624802445366</stp>
        <tr r="D3" s="6"/>
        <tr r="H2" s="1"/>
      </tp>
      <tp t="e">
        <v>#N/A</v>
        <stp/>
        <stp>BDH|8060607712352966454</stp>
        <tr r="AH94" s="10"/>
      </tp>
      <tp t="e">
        <v>#N/A</v>
        <stp/>
        <stp>BDH|9243259269604905098</stp>
        <tr r="P71" s="10"/>
      </tp>
      <tp t="e">
        <v>#N/A</v>
        <stp/>
        <stp>BDH|6674390592042627756</stp>
        <tr r="V173" s="10"/>
      </tp>
      <tp t="e">
        <v>#N/A</v>
        <stp/>
        <stp>BDH|3884389735538837235</stp>
        <tr r="AL90" s="10"/>
      </tp>
      <tp t="e">
        <v>#N/A</v>
        <stp/>
        <stp>BDH|3563061993216653582</stp>
        <tr r="S21" s="10"/>
      </tp>
      <tp t="e">
        <v>#N/A</v>
        <stp/>
        <stp>BDH|3855206825178221216</stp>
        <tr r="H39" s="10"/>
      </tp>
      <tp t="e">
        <v>#N/A</v>
        <stp/>
        <stp>BDH|1368156743224880933</stp>
        <tr r="AB143" s="10"/>
      </tp>
      <tp t="e">
        <v>#N/A</v>
        <stp/>
        <stp>BDH|5349397429624544988</stp>
        <tr r="U42" s="10"/>
      </tp>
      <tp t="e">
        <v>#N/A</v>
        <stp/>
        <stp>BDH|9014508164104966736</stp>
        <tr r="O178" s="10"/>
      </tp>
      <tp t="e">
        <v>#N/A</v>
        <stp/>
        <stp>BDH|2070480756212487846</stp>
        <tr r="AV82" s="10"/>
      </tp>
      <tp t="e">
        <v>#N/A</v>
        <stp/>
        <stp>BDH|2158071297283891174</stp>
        <tr r="Q79" s="10"/>
      </tp>
      <tp t="e">
        <v>#N/A</v>
        <stp/>
        <stp>BDH|4299990110235688038</stp>
        <tr r="N114" s="10"/>
      </tp>
      <tp t="e">
        <v>#N/A</v>
        <stp/>
        <stp>BDH|8749205405072496183</stp>
        <tr r="AW179" s="10"/>
      </tp>
      <tp t="e">
        <v>#N/A</v>
        <stp/>
        <stp>BDH|5768208137658646587</stp>
        <tr r="R69" s="10"/>
      </tp>
      <tp t="e">
        <v>#N/A</v>
        <stp/>
        <stp>BDH|7082428963324812879</stp>
        <tr r="I136" s="10"/>
      </tp>
      <tp t="e">
        <v>#N/A</v>
        <stp/>
        <stp>BDH|9845462553779694855</stp>
        <tr r="V9" s="10"/>
      </tp>
      <tp t="e">
        <v>#N/A</v>
        <stp/>
        <stp>BDH|1745671839969686419</stp>
        <tr r="AB56" s="10"/>
      </tp>
      <tp t="e">
        <v>#N/A</v>
        <stp/>
        <stp>BDH|9397383094699681379</stp>
        <tr r="W114" s="10"/>
      </tp>
      <tp t="e">
        <v>#N/A</v>
        <stp/>
        <stp>BDH|5958013287217726369</stp>
        <tr r="F100" s="10"/>
      </tp>
      <tp t="e">
        <v>#N/A</v>
        <stp/>
        <stp>BDH|9367150118268332824</stp>
        <tr r="AU6" s="10"/>
      </tp>
      <tp t="e">
        <v>#N/A</v>
        <stp/>
        <stp>BDH|6183396327959756776</stp>
        <tr r="AM176" s="10"/>
      </tp>
      <tp t="e">
        <v>#N/A</v>
        <stp/>
        <stp>BDH|8894682152045984745</stp>
        <tr r="D131" s="10"/>
      </tp>
      <tp t="e">
        <v>#N/A</v>
        <stp/>
        <stp>BDH|9753474696778005590</stp>
        <tr r="AJ170" s="10"/>
      </tp>
      <tp t="e">
        <v>#N/A</v>
        <stp/>
        <stp>BDH|5987437266317738943</stp>
        <tr r="N41" s="10"/>
      </tp>
      <tp t="e">
        <v>#N/A</v>
        <stp/>
        <stp>BDH|6910788181324748481</stp>
        <tr r="M147" s="10"/>
      </tp>
      <tp t="s">
        <v>#N/A Requesting Data...4024460836</v>
        <stp/>
        <stp>BDP|9029655064351448191</stp>
        <tr r="I32" s="1"/>
      </tp>
      <tp t="e">
        <v>#N/A</v>
        <stp/>
        <stp>BDH|3259384380463121272</stp>
        <tr r="Y40" s="10"/>
      </tp>
      <tp t="e">
        <v>#N/A</v>
        <stp/>
        <stp>BDH|2115034118198654204</stp>
        <tr r="AQ110" s="10"/>
      </tp>
      <tp t="e">
        <v>#N/A</v>
        <stp/>
        <stp>BDH|3992891025874961400</stp>
        <tr r="AN64" s="10"/>
      </tp>
      <tp t="e">
        <v>#N/A</v>
        <stp/>
        <stp>BDH|3619184468078896525</stp>
        <tr r="M48" s="10"/>
      </tp>
      <tp t="e">
        <v>#N/A</v>
        <stp/>
        <stp>BDH|3674432041123970918</stp>
        <tr r="D4" s="10"/>
      </tp>
      <tp t="e">
        <v>#N/A</v>
        <stp/>
        <stp>BDH|3197560128095542866</stp>
        <tr r="AP180" s="10"/>
      </tp>
      <tp t="e">
        <v>#N/A</v>
        <stp/>
        <stp>BDH|9882024216485723476</stp>
        <tr r="L99" s="10"/>
      </tp>
      <tp t="e">
        <v>#N/A</v>
        <stp/>
        <stp>BDH|6010253138978451651</stp>
        <tr r="AH120" s="10"/>
      </tp>
      <tp t="e">
        <v>#N/A</v>
        <stp/>
        <stp>BDH|9758216135535916469</stp>
        <tr r="AB192" s="10"/>
      </tp>
      <tp t="s">
        <v>#N/A Requesting Data...4239511513</v>
        <stp/>
        <stp>BDP|8922454952871584169</stp>
        <tr r="D2" s="1"/>
      </tp>
      <tp t="e">
        <v>#N/A</v>
        <stp/>
        <stp>BDH|7752972828711717420</stp>
        <tr r="X14" s="10"/>
      </tp>
      <tp t="e">
        <v>#N/A</v>
        <stp/>
        <stp>BDH|3619220688690813095</stp>
        <tr r="AH137" s="10"/>
      </tp>
      <tp t="e">
        <v>#N/A</v>
        <stp/>
        <stp>BDH|8604876238372712837</stp>
        <tr r="F177" s="10"/>
      </tp>
      <tp t="e">
        <v>#N/A</v>
        <stp/>
        <stp>BDH|1067525698021193568</stp>
        <tr r="AG145" s="10"/>
      </tp>
      <tp t="e">
        <v>#N/A</v>
        <stp/>
        <stp>BDH|7407395697437012374</stp>
        <tr r="L162" s="10"/>
      </tp>
      <tp t="e">
        <v>#N/A</v>
        <stp/>
        <stp>BDH|7579220696626401385</stp>
        <tr r="AH69" s="10"/>
      </tp>
      <tp t="e">
        <v>#N/A</v>
        <stp/>
        <stp>BDH|7887155954642264866</stp>
        <tr r="V122" s="10"/>
      </tp>
      <tp t="e">
        <v>#N/A</v>
        <stp/>
        <stp>BDH|4761594206421787922</stp>
        <tr r="AT81" s="10"/>
      </tp>
      <tp t="e">
        <v>#N/A</v>
        <stp/>
        <stp>BDH|9945716301817472003</stp>
        <tr r="AF90" s="10"/>
      </tp>
      <tp t="e">
        <v>#N/A</v>
        <stp/>
        <stp>BDH|8789795871623040221</stp>
        <tr r="AO173" s="10"/>
      </tp>
      <tp t="s">
        <v>#N/A Requesting Data...3432556343</v>
        <stp/>
        <stp>BDP|1265631686333477513</stp>
        <tr r="F2" s="2"/>
      </tp>
      <tp t="e">
        <v>#N/A</v>
        <stp/>
        <stp>BDH|7763613181219571901</stp>
        <tr r="R130" s="10"/>
      </tp>
      <tp t="e">
        <v>#N/A</v>
        <stp/>
        <stp>BDH|6647111696305277211</stp>
        <tr r="G8" s="10"/>
      </tp>
      <tp t="e">
        <v>#N/A</v>
        <stp/>
        <stp>BDH|1490068386095643506</stp>
        <tr r="F76" s="10"/>
      </tp>
      <tp t="e">
        <v>#N/A</v>
        <stp/>
        <stp>BDH|5204100686823531639</stp>
        <tr r="X129" s="10"/>
      </tp>
      <tp t="e">
        <v>#N/A</v>
        <stp/>
        <stp>BDH|6239461391876398446</stp>
        <tr r="AJ150" s="10"/>
      </tp>
      <tp t="e">
        <v>#N/A</v>
        <stp/>
        <stp>BDH|7806031217037861862</stp>
        <tr r="AF85" s="10"/>
      </tp>
      <tp t="e">
        <v>#N/A</v>
        <stp/>
        <stp>BDH|7201157075778130017</stp>
        <tr r="V158" s="10"/>
      </tp>
      <tp t="e">
        <v>#N/A</v>
        <stp/>
        <stp>BDH|3018726764873788833</stp>
        <tr r="AP131" s="10"/>
      </tp>
      <tp t="e">
        <v>#N/A</v>
        <stp/>
        <stp>BDH|8872052404894983521</stp>
        <tr r="M99" s="10"/>
      </tp>
      <tp t="e">
        <v>#N/A</v>
        <stp/>
        <stp>BDH|4684748981656242436</stp>
        <tr r="T188" s="10"/>
      </tp>
      <tp t="e">
        <v>#N/A</v>
        <stp/>
        <stp>BDH|8860526657110816177</stp>
        <tr r="P59" s="10"/>
      </tp>
      <tp t="e">
        <v>#N/A</v>
        <stp/>
        <stp>BDH|5734862525117366150</stp>
        <tr r="Q143" s="10"/>
      </tp>
      <tp t="e">
        <v>#N/A</v>
        <stp/>
        <stp>BDH|1121900070717253116</stp>
        <tr r="W44" s="10"/>
      </tp>
      <tp t="e">
        <v>#N/A</v>
        <stp/>
        <stp>BDH|2414529819869926644</stp>
        <tr r="X149" s="10"/>
      </tp>
      <tp t="e">
        <v>#N/A</v>
        <stp/>
        <stp>BDH|5564483585887821729</stp>
        <tr r="M159" s="10"/>
      </tp>
      <tp t="e">
        <v>#N/A</v>
        <stp/>
        <stp>BDH|6130315362978913297</stp>
        <tr r="AH79" s="10"/>
      </tp>
      <tp t="e">
        <v>#N/A</v>
        <stp/>
        <stp>BDH|9634059173491111636</stp>
        <tr r="I153" s="10"/>
      </tp>
      <tp t="e">
        <v>#N/A</v>
        <stp/>
        <stp>BDH|5845977378192738029</stp>
        <tr r="AJ101" s="10"/>
      </tp>
      <tp t="e">
        <v>#N/A</v>
        <stp/>
        <stp>BDH|2352138309102200894</stp>
        <tr r="AW41" s="10"/>
      </tp>
      <tp t="e">
        <v>#N/A</v>
        <stp/>
        <stp>BDH|3200243963067784900</stp>
        <tr r="AO107" s="10"/>
      </tp>
      <tp t="e">
        <v>#N/A</v>
        <stp/>
        <stp>BDH|9843347617275885714</stp>
        <tr r="E113" s="10"/>
      </tp>
      <tp t="e">
        <v>#N/A</v>
        <stp/>
        <stp>BDH|3779223683102295260</stp>
        <tr r="U186" s="10"/>
      </tp>
      <tp t="e">
        <v>#N/A</v>
        <stp/>
        <stp>BDH|3564456370331543878</stp>
        <tr r="R125" s="10"/>
      </tp>
      <tp t="e">
        <v>#N/A</v>
        <stp/>
        <stp>BDH|2984297282785353433</stp>
        <tr r="Y25" s="10"/>
      </tp>
      <tp t="s">
        <v>#N/A Requesting Data...2887857277</v>
        <stp/>
        <stp>BDP|6816876836630254486</stp>
        <tr r="B6" s="1"/>
      </tp>
      <tp t="e">
        <v>#N/A</v>
        <stp/>
        <stp>BDH|7262171577790856894</stp>
        <tr r="U162" s="10"/>
      </tp>
      <tp t="e">
        <v>#N/A</v>
        <stp/>
        <stp>BDH|5706110892144128063</stp>
        <tr r="AV115" s="10"/>
      </tp>
      <tp t="e">
        <v>#N/A</v>
        <stp/>
        <stp>BDH|3247718692825419167</stp>
        <tr r="AU114" s="10"/>
      </tp>
      <tp t="e">
        <v>#N/A</v>
        <stp/>
        <stp>BDH|2011685149100651944</stp>
        <tr r="F5" s="10"/>
      </tp>
      <tp t="e">
        <v>#N/A</v>
        <stp/>
        <stp>BDH|7572990761642762393</stp>
        <tr r="P83" s="10"/>
      </tp>
      <tp t="e">
        <v>#N/A</v>
        <stp/>
        <stp>BDH|3846523471020082889</stp>
        <tr r="R51" s="10"/>
      </tp>
      <tp t="e">
        <v>#N/A</v>
        <stp/>
        <stp>BDH|9220274633762214379</stp>
        <tr r="H165" s="10"/>
      </tp>
      <tp t="e">
        <v>#N/A</v>
        <stp/>
        <stp>BDH|3562943613676287433</stp>
        <tr r="T35" s="10"/>
      </tp>
      <tp t="e">
        <v>#N/A</v>
        <stp/>
        <stp>BDH|9618934521693483836</stp>
        <tr r="J84" s="10"/>
      </tp>
      <tp t="e">
        <v>#N/A</v>
        <stp/>
        <stp>BDH|7691304593153406723</stp>
        <tr r="E81" s="10"/>
      </tp>
      <tp t="e">
        <v>#N/A</v>
        <stp/>
        <stp>BDH|8139456159207681780</stp>
        <tr r="I99" s="10"/>
      </tp>
      <tp t="e">
        <v>#N/A</v>
        <stp/>
        <stp>BDH|5606806171700132363</stp>
        <tr r="AG121" s="10"/>
      </tp>
      <tp t="e">
        <v>#N/A</v>
        <stp/>
        <stp>BDH|7458579309902375993</stp>
        <tr r="AM21" s="10"/>
      </tp>
      <tp t="e">
        <v>#N/A</v>
        <stp/>
        <stp>BDH|6611951440682228016</stp>
        <tr r="AR140" s="10"/>
      </tp>
      <tp t="e">
        <v>#N/A</v>
        <stp/>
        <stp>BDH|9410187972321911776</stp>
        <tr r="AK128" s="10"/>
      </tp>
      <tp t="e">
        <v>#N/A</v>
        <stp/>
        <stp>BDH|6250460009563816854</stp>
        <tr r="AU126" s="10"/>
      </tp>
      <tp t="e">
        <v>#N/A</v>
        <stp/>
        <stp>BDH|1929546856131933923</stp>
        <tr r="F96" s="10"/>
      </tp>
      <tp t="e">
        <v>#N/A</v>
        <stp/>
        <stp>BDH|6328075216989591772</stp>
        <tr r="U152" s="10"/>
      </tp>
      <tp t="e">
        <v>#N/A</v>
        <stp/>
        <stp>BDH|6671861305273296478</stp>
        <tr r="AH59" s="10"/>
      </tp>
      <tp t="e">
        <v>#N/A</v>
        <stp/>
        <stp>BDH|9337483114953857678</stp>
        <tr r="J41" s="10"/>
      </tp>
      <tp t="e">
        <v>#N/A</v>
        <stp/>
        <stp>BDH|6835515185461447382</stp>
        <tr r="AN38" s="10"/>
      </tp>
      <tp t="e">
        <v>#N/A</v>
        <stp/>
        <stp>BDH|1656543844601352851</stp>
        <tr r="W53" s="10"/>
      </tp>
      <tp t="e">
        <v>#N/A</v>
        <stp/>
        <stp>BDH|7264974665528649964</stp>
        <tr r="V172" s="10"/>
      </tp>
      <tp t="e">
        <v>#N/A</v>
        <stp/>
        <stp>BDH|9472435727385276321</stp>
        <tr r="W169" s="10"/>
      </tp>
      <tp t="e">
        <v>#N/A</v>
        <stp/>
        <stp>BDH|6441850261245498446</stp>
        <tr r="AG92" s="10"/>
      </tp>
      <tp t="e">
        <v>#N/A</v>
        <stp/>
        <stp>BDH|4116604207978551331</stp>
        <tr r="L53" s="10"/>
      </tp>
      <tp t="e">
        <v>#N/A</v>
        <stp/>
        <stp>BDH|2405661631836099838</stp>
        <tr r="D142" s="10"/>
      </tp>
      <tp t="e">
        <v>#N/A</v>
        <stp/>
        <stp>BDH|8088722849372221090</stp>
        <tr r="N47" s="10"/>
      </tp>
      <tp t="e">
        <v>#N/A</v>
        <stp/>
        <stp>BDH|8301888190505267591</stp>
        <tr r="AC173" s="10"/>
      </tp>
      <tp t="e">
        <v>#N/A</v>
        <stp/>
        <stp>BDH|7204967050546591411</stp>
        <tr r="AE151" s="10"/>
      </tp>
      <tp t="e">
        <v>#N/A</v>
        <stp/>
        <stp>BDH|9868029610086962734</stp>
        <tr r="AA149" s="10"/>
      </tp>
      <tp t="e">
        <v>#N/A</v>
        <stp/>
        <stp>BDH|8114390099003792865</stp>
        <tr r="AM12" s="10"/>
      </tp>
      <tp t="e">
        <v>#N/A</v>
        <stp/>
        <stp>BDH|2984871610365669780</stp>
        <tr r="AA136" s="10"/>
      </tp>
      <tp t="e">
        <v>#N/A</v>
        <stp/>
        <stp>BDH|9012607878932866306</stp>
        <tr r="N24" s="10"/>
      </tp>
      <tp t="e">
        <v>#N/A</v>
        <stp/>
        <stp>BDH|4322474560878318771</stp>
        <tr r="AP175" s="10"/>
      </tp>
      <tp t="e">
        <v>#N/A</v>
        <stp/>
        <stp>BDH|7074108263911470860</stp>
        <tr r="AR42" s="10"/>
      </tp>
      <tp t="e">
        <v>#N/A</v>
        <stp/>
        <stp>BDH|5997095991033585655</stp>
        <tr r="AE34" s="10"/>
      </tp>
      <tp t="e">
        <v>#N/A</v>
        <stp/>
        <stp>BDH|6152860877506443654</stp>
        <tr r="AH83" s="10"/>
      </tp>
      <tp t="e">
        <v>#N/A</v>
        <stp/>
        <stp>BDH|5421454681010660073</stp>
        <tr r="AO184" s="10"/>
      </tp>
      <tp t="e">
        <v>#N/A</v>
        <stp/>
        <stp>BDH|3031790498605378131</stp>
        <tr r="D161" s="10"/>
      </tp>
      <tp t="e">
        <v>#N/A</v>
        <stp/>
        <stp>BDH|9404924025353062823</stp>
        <tr r="D41" s="10"/>
      </tp>
      <tp t="e">
        <v>#N/A</v>
        <stp/>
        <stp>BDH|6045014385941744628</stp>
        <tr r="AF189" s="10"/>
      </tp>
      <tp t="e">
        <v>#N/A</v>
        <stp/>
        <stp>BDH|4090320826838170443</stp>
        <tr r="X111" s="10"/>
      </tp>
      <tp t="e">
        <v>#N/A</v>
        <stp/>
        <stp>BDH|8285607180126089932</stp>
        <tr r="AC65" s="10"/>
      </tp>
      <tp t="e">
        <v>#N/A</v>
        <stp/>
        <stp>BDH|8488694336937915332</stp>
        <tr r="I130" s="10"/>
      </tp>
      <tp t="e">
        <v>#N/A</v>
        <stp/>
        <stp>BDH|1282243194643676053</stp>
        <tr r="AI48" s="10"/>
      </tp>
      <tp t="e">
        <v>#N/A</v>
        <stp/>
        <stp>BDH|2292822672704635056</stp>
        <tr r="AF48" s="10"/>
      </tp>
      <tp t="e">
        <v>#N/A</v>
        <stp/>
        <stp>BDH|4204859646393269227</stp>
        <tr r="AV41" s="10"/>
      </tp>
      <tp t="e">
        <v>#N/A</v>
        <stp/>
        <stp>BDH|1051479386561831580</stp>
        <tr r="F191" s="10"/>
      </tp>
      <tp t="e">
        <v>#N/A</v>
        <stp/>
        <stp>BDH|7347732502289686056</stp>
        <tr r="M162" s="10"/>
      </tp>
      <tp t="e">
        <v>#N/A</v>
        <stp/>
        <stp>BDH|7865397635626713829</stp>
        <tr r="G149" s="10"/>
      </tp>
      <tp t="s">
        <v>#N/A Requesting Data...3219306528</v>
        <stp/>
        <stp>BDP|8163371963944372000</stp>
        <tr r="I33" s="1"/>
      </tp>
      <tp t="s">
        <v>#N/A Requesting Data...3185148951</v>
        <stp/>
        <stp>BDP|8436978651778474506</stp>
        <tr r="B50" s="6"/>
        <tr r="E40" s="1"/>
        <tr r="H132" s="2"/>
      </tp>
      <tp t="e">
        <v>#N/A</v>
        <stp/>
        <stp>BDH|2237623030567103975</stp>
        <tr r="AQ182" s="10"/>
      </tp>
      <tp t="e">
        <v>#N/A</v>
        <stp/>
        <stp>BDH|6282266584901008467</stp>
        <tr r="F23" s="10"/>
      </tp>
      <tp t="e">
        <v>#N/A</v>
        <stp/>
        <stp>BDH|9676226870944105138</stp>
        <tr r="AS187" s="10"/>
      </tp>
      <tp t="e">
        <v>#N/A</v>
        <stp/>
        <stp>BDH|6171995959567150461</stp>
        <tr r="AL17" s="10"/>
      </tp>
      <tp t="e">
        <v>#N/A</v>
        <stp/>
        <stp>BDH|9558665469646860643</stp>
        <tr r="AB178" s="10"/>
      </tp>
      <tp t="e">
        <v>#N/A</v>
        <stp/>
        <stp>BDH|1417233354529553600</stp>
        <tr r="AH140" s="10"/>
      </tp>
      <tp t="e">
        <v>#N/A</v>
        <stp/>
        <stp>BDH|6009954897668377770</stp>
        <tr r="AE108" s="10"/>
      </tp>
      <tp t="e">
        <v>#N/A</v>
        <stp/>
        <stp>BDH|2602159880504019658</stp>
        <tr r="S157" s="10"/>
      </tp>
      <tp t="e">
        <v>#N/A</v>
        <stp/>
        <stp>BDH|5037847954601121075</stp>
        <tr r="AB122" s="10"/>
      </tp>
      <tp t="e">
        <v>#N/A</v>
        <stp/>
        <stp>BDH|9000779504970369763</stp>
        <tr r="AH82" s="10"/>
      </tp>
      <tp t="e">
        <v>#N/A</v>
        <stp/>
        <stp>BDH|6349936743125347763</stp>
        <tr r="AB88" s="10"/>
      </tp>
      <tp t="e">
        <v>#N/A</v>
        <stp/>
        <stp>BDH|2676951343560441621</stp>
        <tr r="W3" s="10"/>
      </tp>
      <tp t="e">
        <v>#N/A</v>
        <stp/>
        <stp>BDH|2764880421332161395</stp>
        <tr r="J7" s="10"/>
      </tp>
      <tp t="e">
        <v>#N/A</v>
        <stp/>
        <stp>BDH|4049997519266466321</stp>
        <tr r="S24" s="10"/>
      </tp>
      <tp t="e">
        <v>#N/A</v>
        <stp/>
        <stp>BDH|9349442596599018474</stp>
        <tr r="AO44" s="10"/>
      </tp>
      <tp t="e">
        <v>#N/A</v>
        <stp/>
        <stp>BDH|3237967245185759209</stp>
        <tr r="R109" s="10"/>
      </tp>
      <tp t="e">
        <v>#N/A</v>
        <stp/>
        <stp>BDH|9815874027889953371</stp>
        <tr r="S106" s="10"/>
      </tp>
      <tp t="e">
        <v>#N/A</v>
        <stp/>
        <stp>BDH|9799716464138728936</stp>
        <tr r="AN117" s="10"/>
      </tp>
      <tp t="e">
        <v>#N/A</v>
        <stp/>
        <stp>BDH|7590816375356319740</stp>
        <tr r="E89" s="10"/>
      </tp>
      <tp t="e">
        <v>#N/A</v>
        <stp/>
        <stp>BDH|8194523277684394719</stp>
        <tr r="AJ185" s="10"/>
      </tp>
      <tp t="e">
        <v>#N/A</v>
        <stp/>
        <stp>BDH|8103457626260027749</stp>
        <tr r="AQ173" s="10"/>
      </tp>
      <tp t="e">
        <v>#N/A</v>
        <stp/>
        <stp>BDH|8007758361627545774</stp>
        <tr r="AG110" s="10"/>
      </tp>
      <tp t="s">
        <v>#N/A Requesting Data...3126105064</v>
        <stp/>
        <stp>BDP|1255935372361403709</stp>
        <tr r="F12" s="2"/>
        <tr r="F31" s="2"/>
        <tr r="F99" s="2"/>
      </tp>
      <tp t="s">
        <v>#N/A Requesting Data...3862015619</v>
        <stp/>
        <stp>BDP|1494646781845032363</stp>
        <tr r="F130" s="2"/>
      </tp>
      <tp t="e">
        <v>#N/A</v>
        <stp/>
        <stp>BDH|1717132680081224010</stp>
        <tr r="AB55" s="10"/>
      </tp>
      <tp t="e">
        <v>#N/A</v>
        <stp/>
        <stp>BDH|2234732897153933683</stp>
        <tr r="AI13" s="10"/>
      </tp>
      <tp t="e">
        <v>#N/A</v>
        <stp/>
        <stp>BDH|7798631614751325848</stp>
        <tr r="X173" s="10"/>
      </tp>
      <tp t="e">
        <v>#N/A</v>
        <stp/>
        <stp>BDH|9595633207323580536</stp>
        <tr r="AQ136" s="10"/>
      </tp>
      <tp t="e">
        <v>#N/A</v>
        <stp/>
        <stp>BDH|9978537616893272796</stp>
        <tr r="AS125" s="10"/>
      </tp>
      <tp t="e">
        <v>#N/A</v>
        <stp/>
        <stp>BDH|2550942797818951383</stp>
        <tr r="I66" s="10"/>
      </tp>
      <tp t="e">
        <v>#N/A</v>
        <stp/>
        <stp>BDH|6537578621619733137</stp>
        <tr r="L179" s="10"/>
      </tp>
      <tp t="e">
        <v>#N/A</v>
        <stp/>
        <stp>BDH|2708814141073785477</stp>
        <tr r="AL69" s="10"/>
      </tp>
      <tp t="e">
        <v>#N/A</v>
        <stp/>
        <stp>BDH|6425066152908061276</stp>
        <tr r="AI17" s="10"/>
      </tp>
      <tp t="e">
        <v>#N/A</v>
        <stp/>
        <stp>BDH|9487194950480807424</stp>
        <tr r="AV34" s="10"/>
      </tp>
      <tp t="e">
        <v>#N/A</v>
        <stp/>
        <stp>BDH|5585303090733212502</stp>
        <tr r="AJ69" s="10"/>
      </tp>
      <tp t="e">
        <v>#N/A</v>
        <stp/>
        <stp>BDH|4784239190686498070</stp>
        <tr r="AV164" s="10"/>
      </tp>
      <tp t="e">
        <v>#N/A</v>
        <stp/>
        <stp>BDH|1253582708605718810</stp>
        <tr r="AC40" s="10"/>
      </tp>
      <tp t="e">
        <v>#N/A</v>
        <stp/>
        <stp>BDH|2052872053535637362</stp>
        <tr r="N72" s="10"/>
      </tp>
      <tp t="e">
        <v>#N/A</v>
        <stp/>
        <stp>BDH|1755571081186330365</stp>
        <tr r="Q107" s="10"/>
      </tp>
      <tp t="e">
        <v>#N/A</v>
        <stp/>
        <stp>BDH|1810365053298051691</stp>
        <tr r="Q43" s="10"/>
      </tp>
      <tp t="e">
        <v>#N/A</v>
        <stp/>
        <stp>BDH|6879807847402995128</stp>
        <tr r="AM174" s="10"/>
      </tp>
      <tp t="e">
        <v>#N/A</v>
        <stp/>
        <stp>BDH|8536213515340613236</stp>
        <tr r="AA48" s="10"/>
      </tp>
      <tp t="e">
        <v>#N/A</v>
        <stp/>
        <stp>BDH|8055323454582350512</stp>
        <tr r="AH53" s="10"/>
      </tp>
      <tp t="e">
        <v>#N/A</v>
        <stp/>
        <stp>BDH|1869802913243682298</stp>
        <tr r="AQ193" s="10"/>
      </tp>
      <tp t="e">
        <v>#N/A</v>
        <stp/>
        <stp>BDH|9468621670408662943</stp>
        <tr r="AE36" s="10"/>
      </tp>
      <tp t="e">
        <v>#N/A</v>
        <stp/>
        <stp>BDH|4903502854885849818</stp>
        <tr r="M23" s="10"/>
      </tp>
      <tp t="e">
        <v>#N/A</v>
        <stp/>
        <stp>BDH|9437734248791217297</stp>
        <tr r="K111" s="10"/>
      </tp>
      <tp t="e">
        <v>#N/A</v>
        <stp/>
        <stp>BDH|2417848141154344365</stp>
        <tr r="AS60" s="10"/>
      </tp>
      <tp t="e">
        <v>#N/A</v>
        <stp/>
        <stp>BDH|5904682213933723812</stp>
        <tr r="C50" s="10"/>
      </tp>
      <tp t="e">
        <v>#N/A</v>
        <stp/>
        <stp>BDH|5101868245089461925</stp>
        <tr r="L184" s="10"/>
      </tp>
      <tp t="e">
        <v>#N/A</v>
        <stp/>
        <stp>BDH|6975799781964297474</stp>
        <tr r="AT74" s="10"/>
      </tp>
      <tp t="e">
        <v>#N/A</v>
        <stp/>
        <stp>BDH|5306034676773767858</stp>
        <tr r="Q19" s="10"/>
      </tp>
      <tp t="e">
        <v>#N/A</v>
        <stp/>
        <stp>BDH|8131529521685327353</stp>
        <tr r="P106" s="10"/>
      </tp>
      <tp t="e">
        <v>#N/A</v>
        <stp/>
        <stp>BDH|8672496168061733252</stp>
        <tr r="V180" s="10"/>
      </tp>
      <tp t="e">
        <v>#N/A</v>
        <stp/>
        <stp>BDH|1678808841862132637</stp>
        <tr r="Q26" s="10"/>
      </tp>
      <tp t="e">
        <v>#N/A</v>
        <stp/>
        <stp>BDH|1844256828138033003</stp>
        <tr r="G173" s="10"/>
      </tp>
      <tp t="e">
        <v>#N/A</v>
        <stp/>
        <stp>BDH|1118576202445411851</stp>
        <tr r="AC60" s="10"/>
      </tp>
      <tp t="e">
        <v>#N/A</v>
        <stp/>
        <stp>BDH|1262947440193370604</stp>
        <tr r="AL167" s="10"/>
      </tp>
      <tp t="e">
        <v>#N/A</v>
        <stp/>
        <stp>BDH|4525118193843411661</stp>
        <tr r="M132" s="10"/>
      </tp>
      <tp t="e">
        <v>#N/A</v>
        <stp/>
        <stp>BDH|8894585469702598090</stp>
        <tr r="AC79" s="10"/>
      </tp>
      <tp t="e">
        <v>#N/A</v>
        <stp/>
        <stp>BDH|1122005296696510772</stp>
        <tr r="AS150" s="10"/>
      </tp>
      <tp t="e">
        <v>#N/A</v>
        <stp/>
        <stp>BDH|1712421247851795905</stp>
        <tr r="R193" s="10"/>
      </tp>
      <tp t="e">
        <v>#N/A</v>
        <stp/>
        <stp>BDH|7954434315118903337</stp>
        <tr r="AH6" s="10"/>
      </tp>
      <tp t="e">
        <v>#N/A</v>
        <stp/>
        <stp>BDH|4284988910095845072</stp>
        <tr r="J153" s="10"/>
      </tp>
      <tp t="e">
        <v>#N/A</v>
        <stp/>
        <stp>BDH|6621725550774761960</stp>
        <tr r="R101" s="10"/>
      </tp>
      <tp t="e">
        <v>#N/A</v>
        <stp/>
        <stp>BDH|3560815847875053368</stp>
        <tr r="AO77" s="10"/>
      </tp>
      <tp t="e">
        <v>#N/A</v>
        <stp/>
        <stp>BDH|8318722721294303068</stp>
        <tr r="AB184" s="10"/>
      </tp>
      <tp t="e">
        <v>#N/A</v>
        <stp/>
        <stp>BDH|3572348802798424123</stp>
        <tr r="J169" s="10"/>
      </tp>
      <tp t="e">
        <v>#N/A</v>
        <stp/>
        <stp>BDH|8309016331566180472</stp>
        <tr r="AU88" s="10"/>
      </tp>
      <tp t="e">
        <v>#N/A</v>
        <stp/>
        <stp>BDH|7858806569663385374</stp>
        <tr r="E102" s="10"/>
      </tp>
      <tp t="e">
        <v>#N/A</v>
        <stp/>
        <stp>BDH|6366651526482535908</stp>
        <tr r="AS111" s="10"/>
      </tp>
      <tp t="e">
        <v>#N/A</v>
        <stp/>
        <stp>BDH|4539002201005791860</stp>
        <tr r="AL65" s="10"/>
      </tp>
      <tp t="e">
        <v>#N/A</v>
        <stp/>
        <stp>BDH|3233993759730657619</stp>
        <tr r="AK30" s="10"/>
      </tp>
      <tp t="e">
        <v>#N/A</v>
        <stp/>
        <stp>BDH|9289635562788689808</stp>
        <tr r="AH36" s="10"/>
      </tp>
      <tp t="e">
        <v>#N/A</v>
        <stp/>
        <stp>BDH|6858502228648186043</stp>
        <tr r="AF86" s="10"/>
      </tp>
      <tp t="e">
        <v>#N/A</v>
        <stp/>
        <stp>BDH|1941778796455848356</stp>
        <tr r="AN125" s="10"/>
      </tp>
      <tp t="e">
        <v>#N/A</v>
        <stp/>
        <stp>BDH|2769941828840803062</stp>
        <tr r="AQ47" s="10"/>
      </tp>
      <tp t="e">
        <v>#N/A</v>
        <stp/>
        <stp>BDH|5134040695583328668</stp>
        <tr r="S191" s="10"/>
      </tp>
      <tp t="e">
        <v>#N/A</v>
        <stp/>
        <stp>BDH|9927075916826448794</stp>
        <tr r="AJ156" s="10"/>
      </tp>
      <tp t="e">
        <v>#N/A</v>
        <stp/>
        <stp>BDH|9864480825456582055</stp>
        <tr r="X81" s="10"/>
      </tp>
    </main>
    <main first="bofaddin.rtdserver">
      <tp t="e">
        <v>#N/A</v>
        <stp/>
        <stp>BDH|90006473283755009</stp>
        <tr r="C76" s="10"/>
      </tp>
      <tp t="e">
        <v>#N/A</v>
        <stp/>
        <stp>BDH|60359503603853415</stp>
        <tr r="I110" s="10"/>
      </tp>
      <tp t="s">
        <v>#N/A Requesting Data...3857020861</v>
        <stp/>
        <stp>BDP|6715940479925420744</stp>
        <tr r="B49" s="6"/>
        <tr r="E38" s="1"/>
        <tr r="H129" s="2"/>
      </tp>
      <tp t="e">
        <v>#N/A</v>
        <stp/>
        <stp>BDH|9147791321424163226</stp>
        <tr r="AM20" s="10"/>
      </tp>
      <tp t="e">
        <v>#N/A</v>
        <stp/>
        <stp>BDH|5828051410297141966</stp>
        <tr r="I122" s="10"/>
      </tp>
      <tp t="e">
        <v>#N/A</v>
        <stp/>
        <stp>BDH|1055550591045615286</stp>
        <tr r="AJ27" s="10"/>
      </tp>
      <tp t="e">
        <v>#N/A</v>
        <stp/>
        <stp>BDH|7390975022084994257</stp>
        <tr r="AK191" s="10"/>
      </tp>
      <tp t="e">
        <v>#N/A</v>
        <stp/>
        <stp>BDH|3934108922922801897</stp>
        <tr r="AA10" s="10"/>
      </tp>
      <tp t="e">
        <v>#N/A</v>
        <stp/>
        <stp>BDH|4842462572239248446</stp>
        <tr r="AE180" s="10"/>
      </tp>
      <tp t="e">
        <v>#N/A</v>
        <stp/>
        <stp>BDH|8859232961181373737</stp>
        <tr r="AB23" s="10"/>
      </tp>
      <tp t="e">
        <v>#N/A</v>
        <stp/>
        <stp>BDH|9760151531893017298</stp>
        <tr r="F132" s="10"/>
      </tp>
      <tp t="e">
        <v>#N/A</v>
        <stp/>
        <stp>BDH|9301858478715473900</stp>
        <tr r="V33" s="10"/>
      </tp>
      <tp t="e">
        <v>#N/A</v>
        <stp/>
        <stp>BDH|1786906049821569718</stp>
        <tr r="T3" s="10"/>
      </tp>
      <tp t="e">
        <v>#N/A</v>
        <stp/>
        <stp>BDH|7429526372947746893</stp>
        <tr r="L105" s="10"/>
      </tp>
      <tp t="e">
        <v>#N/A</v>
        <stp/>
        <stp>BDH|6809164325528993785</stp>
        <tr r="AO129" s="10"/>
      </tp>
      <tp t="e">
        <v>#N/A</v>
        <stp/>
        <stp>BDH|6882512976398003655</stp>
        <tr r="Y90" s="10"/>
      </tp>
      <tp t="e">
        <v>#N/A</v>
        <stp/>
        <stp>BDH|5986322736476200950</stp>
        <tr r="AR60" s="10"/>
      </tp>
      <tp t="e">
        <v>#N/A</v>
        <stp/>
        <stp>BDH|4155960626465382087</stp>
        <tr r="J162" s="10"/>
      </tp>
      <tp t="e">
        <v>#N/A</v>
        <stp/>
        <stp>BDH|1844178013588444323</stp>
        <tr r="P184" s="10"/>
      </tp>
      <tp t="s">
        <v>#N/A Requesting Data...3523954558</v>
        <stp/>
        <stp>BDP|2250529074643678994</stp>
        <tr r="O20" s="1"/>
      </tp>
      <tp t="s">
        <v>#N/A Requesting Data...3889774996</v>
        <stp/>
        <stp>BDP|3974377098543550083</stp>
        <tr r="B17" s="6"/>
        <tr r="E12" s="1"/>
        <tr r="H18" s="2"/>
        <tr r="H28" s="2"/>
      </tp>
      <tp t="s">
        <v>#N/A Requesting Data...4139858535</v>
        <stp/>
        <stp>BDP|7050287075099322155</stp>
        <tr r="O43" s="1"/>
      </tp>
      <tp t="e">
        <v>#N/A</v>
        <stp/>
        <stp>BDH|4308896455455412602</stp>
        <tr r="AF114" s="10"/>
      </tp>
      <tp t="e">
        <v>#N/A</v>
        <stp/>
        <stp>BDH|2803708132569286536</stp>
        <tr r="AT141" s="10"/>
      </tp>
      <tp t="e">
        <v>#N/A</v>
        <stp/>
        <stp>BDH|6055792219689315383</stp>
        <tr r="AP81" s="10"/>
      </tp>
      <tp t="e">
        <v>#N/A</v>
        <stp/>
        <stp>BDH|4352561128301132876</stp>
        <tr r="AQ66" s="10"/>
      </tp>
      <tp t="e">
        <v>#N/A</v>
        <stp/>
        <stp>BDH|9515484011232651417</stp>
        <tr r="AH96" s="10"/>
      </tp>
      <tp t="e">
        <v>#N/A</v>
        <stp/>
        <stp>BDH|9375963774139256486</stp>
        <tr r="AS72" s="10"/>
      </tp>
      <tp t="e">
        <v>#N/A</v>
        <stp/>
        <stp>BDH|3175612426719853451</stp>
        <tr r="AV87" s="10"/>
      </tp>
      <tp t="e">
        <v>#N/A</v>
        <stp/>
        <stp>BDH|4916734301449128015</stp>
        <tr r="Z14" s="10"/>
      </tp>
      <tp t="e">
        <v>#N/A</v>
        <stp/>
        <stp>BDH|6016741715963926930</stp>
        <tr r="E9" s="10"/>
      </tp>
      <tp t="e">
        <v>#N/A</v>
        <stp/>
        <stp>BDH|6666837537320897717</stp>
        <tr r="AN59" s="10"/>
      </tp>
      <tp t="e">
        <v>#N/A</v>
        <stp/>
        <stp>BDH|3085051616451958916</stp>
        <tr r="AH21" s="10"/>
      </tp>
      <tp t="e">
        <v>#N/A</v>
        <stp/>
        <stp>BDH|1578817437127393788</stp>
        <tr r="C188" s="10"/>
      </tp>
      <tp t="e">
        <v>#N/A</v>
        <stp/>
        <stp>BDH|5488402787882860137</stp>
        <tr r="AB48" s="10"/>
      </tp>
      <tp t="e">
        <v>#N/A</v>
        <stp/>
        <stp>BDH|8238672196468382589</stp>
        <tr r="AV156" s="10"/>
      </tp>
      <tp t="e">
        <v>#N/A</v>
        <stp/>
        <stp>BDH|9910560236877847294</stp>
        <tr r="Z175" s="10"/>
      </tp>
      <tp t="e">
        <v>#N/A</v>
        <stp/>
        <stp>BDH|4497108084606867109</stp>
        <tr r="AS92" s="10"/>
      </tp>
      <tp t="e">
        <v>#N/A</v>
        <stp/>
        <stp>BDH|7471182198073497684</stp>
        <tr r="O59" s="10"/>
      </tp>
      <tp t="e">
        <v>#N/A</v>
        <stp/>
        <stp>BDH|5541841139934156012</stp>
        <tr r="AT170" s="10"/>
      </tp>
      <tp t="e">
        <v>#N/A</v>
        <stp/>
        <stp>BDH|2071886827996663415</stp>
        <tr r="I150" s="10"/>
      </tp>
      <tp t="e">
        <v>#N/A</v>
        <stp/>
        <stp>BDH|9659033777785283183</stp>
        <tr r="V66" s="10"/>
      </tp>
      <tp t="e">
        <v>#N/A</v>
        <stp/>
        <stp>BDH|2284422681624906006</stp>
        <tr r="S149" s="10"/>
      </tp>
      <tp t="e">
        <v>#N/A</v>
        <stp/>
        <stp>BDH|5941489601723865806</stp>
        <tr r="O100" s="10"/>
      </tp>
      <tp t="e">
        <v>#N/A</v>
        <stp/>
        <stp>BDH|5979677985862670353</stp>
        <tr r="Z138" s="10"/>
      </tp>
      <tp t="e">
        <v>#N/A</v>
        <stp/>
        <stp>BDH|1673839049386248165</stp>
        <tr r="M82" s="10"/>
      </tp>
      <tp t="e">
        <v>#N/A</v>
        <stp/>
        <stp>BDH|6691577917288874065</stp>
        <tr r="AN169" s="10"/>
      </tp>
      <tp t="e">
        <v>#N/A</v>
        <stp/>
        <stp>BDH|8940432675137470621</stp>
        <tr r="V186" s="10"/>
      </tp>
      <tp t="e">
        <v>#N/A</v>
        <stp/>
        <stp>BDH|3874131172129275621</stp>
        <tr r="L66" s="10"/>
      </tp>
      <tp t="e">
        <v>#N/A</v>
        <stp/>
        <stp>BDH|4108447397635295698</stp>
        <tr r="AL130" s="10"/>
      </tp>
      <tp t="e">
        <v>#N/A</v>
        <stp/>
        <stp>BDH|3351529281513837719</stp>
        <tr r="AC142" s="10"/>
      </tp>
      <tp t="e">
        <v>#N/A</v>
        <stp/>
        <stp>BDH|5739386251318529127</stp>
        <tr r="L75" s="10"/>
      </tp>
      <tp t="e">
        <v>#N/A</v>
        <stp/>
        <stp>BDH|9519950038389735063</stp>
        <tr r="AG47" s="10"/>
      </tp>
      <tp t="e">
        <v>#N/A</v>
        <stp/>
        <stp>BDH|6828090905184988849</stp>
        <tr r="AA71" s="10"/>
      </tp>
      <tp t="e">
        <v>#N/A</v>
        <stp/>
        <stp>BDH|2913936176522413411</stp>
        <tr r="U41" s="10"/>
      </tp>
      <tp t="e">
        <v>#N/A</v>
        <stp/>
        <stp>BDH|9622086884778320303</stp>
        <tr r="AA67" s="10"/>
      </tp>
      <tp t="e">
        <v>#N/A</v>
        <stp/>
        <stp>BDH|6199831749664053429</stp>
        <tr r="AM150" s="10"/>
      </tp>
      <tp t="e">
        <v>#N/A</v>
        <stp/>
        <stp>BDH|9303725868037489548</stp>
        <tr r="AE162" s="10"/>
      </tp>
      <tp t="e">
        <v>#N/A</v>
        <stp/>
        <stp>BDH|4664475260365824906</stp>
        <tr r="U99" s="10"/>
      </tp>
      <tp t="e">
        <v>#N/A</v>
        <stp/>
        <stp>BDH|4935923672808396836</stp>
        <tr r="E188" s="10"/>
      </tp>
      <tp t="e">
        <v>#N/A</v>
        <stp/>
        <stp>BDH|5413385606195311902</stp>
        <tr r="AD19" s="10"/>
      </tp>
      <tp t="e">
        <v>#N/A</v>
        <stp/>
        <stp>BDH|9413571748547096524</stp>
        <tr r="Q28" s="10"/>
      </tp>
      <tp t="e">
        <v>#N/A</v>
        <stp/>
        <stp>BDH|2041082180831715164</stp>
        <tr r="AR108" s="10"/>
      </tp>
      <tp t="e">
        <v>#N/A</v>
        <stp/>
        <stp>BDH|9158520668073786356</stp>
        <tr r="L192" s="10"/>
      </tp>
      <tp t="e">
        <v>#N/A</v>
        <stp/>
        <stp>BDH|9457066519652489060</stp>
        <tr r="X136" s="10"/>
      </tp>
      <tp t="e">
        <v>#N/A</v>
        <stp/>
        <stp>BDH|8982167238266762697</stp>
        <tr r="G89" s="10"/>
      </tp>
      <tp t="e">
        <v>#N/A</v>
        <stp/>
        <stp>BDH|9064408068584858591</stp>
        <tr r="AH188" s="10"/>
      </tp>
      <tp t="e">
        <v>#N/A</v>
        <stp/>
        <stp>BDH|9943349419633805254</stp>
        <tr r="AV161" s="10"/>
      </tp>
      <tp t="e">
        <v>#N/A</v>
        <stp/>
        <stp>BDH|9257756766972052081</stp>
        <tr r="AD172" s="10"/>
      </tp>
      <tp t="s">
        <v>#N/A Requesting Data...4029127545</v>
        <stp/>
        <stp>BDP|3340994701923168341</stp>
        <tr r="I13" s="1"/>
      </tp>
      <tp t="e">
        <v>#N/A</v>
        <stp/>
        <stp>BDH|9071327009654545402</stp>
        <tr r="AV96" s="10"/>
      </tp>
      <tp t="e">
        <v>#N/A</v>
        <stp/>
        <stp>BDH|1232989860872189659</stp>
        <tr r="D46" s="10"/>
      </tp>
      <tp t="e">
        <v>#N/A</v>
        <stp/>
        <stp>BDH|5090170697876935170</stp>
        <tr r="AM68" s="10"/>
      </tp>
      <tp t="e">
        <v>#N/A</v>
        <stp/>
        <stp>BDH|9313412283166665996</stp>
        <tr r="H124" s="10"/>
      </tp>
      <tp t="e">
        <v>#N/A</v>
        <stp/>
        <stp>BDH|5988188424919285593</stp>
        <tr r="S56" s="10"/>
      </tp>
      <tp t="e">
        <v>#N/A</v>
        <stp/>
        <stp>BDH|6975587851789613581</stp>
        <tr r="I139" s="10"/>
      </tp>
      <tp t="e">
        <v>#N/A</v>
        <stp/>
        <stp>BDH|6800612986007400555</stp>
        <tr r="K64" s="10"/>
      </tp>
      <tp t="e">
        <v>#N/A</v>
        <stp/>
        <stp>BDH|1550179663434696897</stp>
        <tr r="AJ164" s="10"/>
      </tp>
      <tp t="e">
        <v>#N/A</v>
        <stp/>
        <stp>BDH|5808785498280274149</stp>
        <tr r="AD109" s="10"/>
      </tp>
      <tp t="e">
        <v>#N/A</v>
        <stp/>
        <stp>BDH|7954193889257595324</stp>
        <tr r="W180" s="10"/>
      </tp>
      <tp t="e">
        <v>#N/A</v>
        <stp/>
        <stp>BDH|8046097722938159847</stp>
        <tr r="X82" s="10"/>
      </tp>
      <tp t="e">
        <v>#N/A</v>
        <stp/>
        <stp>BDH|8056032569323685727</stp>
        <tr r="V119" s="10"/>
      </tp>
      <tp t="e">
        <v>#N/A</v>
        <stp/>
        <stp>BDH|2710349491600877243</stp>
        <tr r="N85" s="10"/>
      </tp>
      <tp t="e">
        <v>#N/A</v>
        <stp/>
        <stp>BDH|8189683370651584229</stp>
        <tr r="P72" s="10"/>
      </tp>
      <tp t="s">
        <v>#N/A Requesting Data...3886016284</v>
        <stp/>
        <stp>BDP|7935017385162229709</stp>
        <tr r="O32" s="1"/>
      </tp>
      <tp t="s">
        <v>#N/A Requesting Data...3356867496</v>
        <stp/>
        <stp>BDP|2160636939539178454</stp>
        <tr r="F19" s="2"/>
        <tr r="F29" s="2"/>
      </tp>
      <tp t="e">
        <v>#N/A</v>
        <stp/>
        <stp>BDH|3856566748521967901</stp>
        <tr r="O163" s="10"/>
      </tp>
      <tp t="e">
        <v>#N/A</v>
        <stp/>
        <stp>BDH|6436378500478444788</stp>
        <tr r="H189" s="10"/>
      </tp>
      <tp t="e">
        <v>#N/A</v>
        <stp/>
        <stp>BDH|3622295330440407846</stp>
        <tr r="AA103" s="10"/>
      </tp>
      <tp t="e">
        <v>#N/A</v>
        <stp/>
        <stp>BDH|4625634272066957917</stp>
        <tr r="G175" s="10"/>
      </tp>
      <tp t="e">
        <v>#N/A</v>
        <stp/>
        <stp>BDH|7693417234843843946</stp>
        <tr r="U4" s="10"/>
      </tp>
      <tp t="e">
        <v>#N/A</v>
        <stp/>
        <stp>BDH|3952252315438713215</stp>
        <tr r="R115" s="10"/>
      </tp>
      <tp t="e">
        <v>#N/A</v>
        <stp/>
        <stp>BDH|9790022612565182791</stp>
        <tr r="AE110" s="10"/>
      </tp>
      <tp t="e">
        <v>#N/A</v>
        <stp/>
        <stp>BDH|7649987215553132652</stp>
        <tr r="AH169" s="10"/>
      </tp>
      <tp t="e">
        <v>#N/A</v>
        <stp/>
        <stp>BDH|2680797695351433719</stp>
        <tr r="AF18" s="10"/>
      </tp>
      <tp t="e">
        <v>#N/A</v>
        <stp/>
        <stp>BDH|6804705256617657970</stp>
        <tr r="N175" s="10"/>
      </tp>
      <tp t="e">
        <v>#N/A</v>
        <stp/>
        <stp>BDH|3093491034697116934</stp>
        <tr r="M12" s="10"/>
      </tp>
      <tp t="e">
        <v>#N/A</v>
        <stp/>
        <stp>BDH|6747025751848243191</stp>
        <tr r="D130" s="10"/>
      </tp>
      <tp t="e">
        <v>#N/A</v>
        <stp/>
        <stp>BDH|4091994771532039274</stp>
        <tr r="Y29" s="10"/>
      </tp>
      <tp t="e">
        <v>#N/A</v>
        <stp/>
        <stp>BDH|6695495665559738725</stp>
        <tr r="O181" s="10"/>
      </tp>
      <tp t="e">
        <v>#N/A</v>
        <stp/>
        <stp>BDH|2842506380932309744</stp>
        <tr r="D134" s="10"/>
      </tp>
      <tp t="e">
        <v>#N/A</v>
        <stp/>
        <stp>BDH|8138308489490120963</stp>
        <tr r="AQ172" s="10"/>
      </tp>
      <tp t="s">
        <v>#N/A Requesting Data...4032507894</v>
        <stp/>
        <stp>BDP|3993559279863881815</stp>
        <tr r="F45" s="2"/>
        <tr r="F52" s="2"/>
        <tr r="F111" s="2"/>
      </tp>
      <tp t="e">
        <v>#N/A</v>
        <stp/>
        <stp>BDH|2870986964276058187</stp>
        <tr r="AA50" s="10"/>
      </tp>
      <tp t="e">
        <v>#N/A</v>
        <stp/>
        <stp>BDH|2146182184507150606</stp>
        <tr r="AN98" s="10"/>
      </tp>
      <tp t="e">
        <v>#N/A</v>
        <stp/>
        <stp>BDH|1566644759880090843</stp>
        <tr r="V185" s="10"/>
      </tp>
      <tp t="e">
        <v>#N/A</v>
        <stp/>
        <stp>BDH|2313032928749737331</stp>
        <tr r="O167" s="10"/>
      </tp>
      <tp t="e">
        <v>#N/A</v>
        <stp/>
        <stp>BDH|2444060853084494997</stp>
        <tr r="W79" s="10"/>
      </tp>
      <tp t="e">
        <v>#N/A</v>
        <stp/>
        <stp>BDH|9329395113034144549</stp>
        <tr r="AP187" s="10"/>
      </tp>
      <tp t="e">
        <v>#N/A</v>
        <stp/>
        <stp>BDH|8139473124833971775</stp>
        <tr r="AH50" s="10"/>
      </tp>
      <tp t="e">
        <v>#N/A</v>
        <stp/>
        <stp>BDH|7785097558630343890</stp>
        <tr r="AW74" s="10"/>
      </tp>
      <tp t="e">
        <v>#N/A</v>
        <stp/>
        <stp>BDH|4949278980380456467</stp>
        <tr r="AB188" s="10"/>
      </tp>
      <tp t="e">
        <v>#N/A</v>
        <stp/>
        <stp>BDH|8952444644261692336</stp>
        <tr r="G181" s="10"/>
      </tp>
      <tp t="e">
        <v>#N/A</v>
        <stp/>
        <stp>BDH|5706819702514971317</stp>
        <tr r="AG122" s="10"/>
      </tp>
      <tp t="e">
        <v>#N/A</v>
        <stp/>
        <stp>BDH|9738453911960704685</stp>
        <tr r="C59" s="10"/>
      </tp>
      <tp t="e">
        <v>#N/A</v>
        <stp/>
        <stp>BDH|2715783381146260114</stp>
        <tr r="AS193" s="10"/>
      </tp>
      <tp t="e">
        <v>#N/A</v>
        <stp/>
        <stp>BDH|2211843828584526665</stp>
        <tr r="AK117" s="10"/>
      </tp>
      <tp t="e">
        <v>#N/A</v>
        <stp/>
        <stp>BDH|4244712493441802151</stp>
        <tr r="C9" s="10"/>
      </tp>
      <tp t="e">
        <v>#N/A</v>
        <stp/>
        <stp>BDH|9042843315728847240</stp>
        <tr r="R136" s="10"/>
      </tp>
      <tp t="e">
        <v>#N/A</v>
        <stp/>
        <stp>BDH|5258396383227470312</stp>
        <tr r="N58" s="10"/>
      </tp>
      <tp t="e">
        <v>#N/A</v>
        <stp/>
        <stp>BDH|2297166424028922346</stp>
        <tr r="Q10" s="10"/>
      </tp>
      <tp t="e">
        <v>#N/A</v>
        <stp/>
        <stp>BDH|4325983603196095153</stp>
        <tr r="H192" s="10"/>
      </tp>
      <tp t="e">
        <v>#N/A</v>
        <stp/>
        <stp>BDH|3368827842842842761</stp>
        <tr r="U59" s="10"/>
      </tp>
      <tp t="e">
        <v>#N/A</v>
        <stp/>
        <stp>BDH|4130717977826205880</stp>
        <tr r="Q16" s="10"/>
      </tp>
      <tp t="e">
        <v>#N/A</v>
        <stp/>
        <stp>BDH|7495268889453796410</stp>
        <tr r="AI193" s="10"/>
      </tp>
      <tp t="e">
        <v>#N/A</v>
        <stp/>
        <stp>BDH|5656499695000288258</stp>
        <tr r="AI21" s="10"/>
      </tp>
      <tp t="e">
        <v>#N/A</v>
        <stp/>
        <stp>BDH|3670962464480869618</stp>
        <tr r="AT169" s="10"/>
      </tp>
      <tp t="e">
        <v>#N/A</v>
        <stp/>
        <stp>BDH|1356611456920820811</stp>
        <tr r="J21" s="10"/>
      </tp>
      <tp t="e">
        <v>#N/A</v>
        <stp/>
        <stp>BDH|6552508266066456959</stp>
        <tr r="AJ80" s="10"/>
      </tp>
      <tp t="e">
        <v>#N/A</v>
        <stp/>
        <stp>BDH|1327800757860329658</stp>
        <tr r="Q85" s="10"/>
      </tp>
      <tp t="e">
        <v>#N/A</v>
        <stp/>
        <stp>BDH|9913241502396919741</stp>
        <tr r="AJ41" s="10"/>
      </tp>
      <tp t="e">
        <v>#N/A</v>
        <stp/>
        <stp>BDH|7762455784507243660</stp>
        <tr r="AS36" s="10"/>
      </tp>
      <tp t="e">
        <v>#N/A</v>
        <stp/>
        <stp>BDH|5772296167268852333</stp>
        <tr r="AV83" s="10"/>
      </tp>
      <tp t="e">
        <v>#N/A</v>
        <stp/>
        <stp>BDH|9850505942525157795</stp>
        <tr r="AC146" s="10"/>
      </tp>
      <tp t="e">
        <v>#N/A</v>
        <stp/>
        <stp>BDH|4809962050486840446</stp>
        <tr r="Z79" s="10"/>
      </tp>
      <tp t="e">
        <v>#N/A</v>
        <stp/>
        <stp>BDH|8500946380243716043</stp>
        <tr r="U48" s="10"/>
      </tp>
      <tp t="e">
        <v>#N/A</v>
        <stp/>
        <stp>BDH|4396617407458332040</stp>
        <tr r="Z187" s="10"/>
      </tp>
      <tp t="e">
        <v>#N/A</v>
        <stp/>
        <stp>BDH|9443394945111288580</stp>
        <tr r="J29" s="10"/>
      </tp>
      <tp t="e">
        <v>#N/A</v>
        <stp/>
        <stp>BDH|6005879864266933481</stp>
        <tr r="AL145" s="10"/>
      </tp>
      <tp t="e">
        <v>#N/A</v>
        <stp/>
        <stp>BDH|8476957193950609260</stp>
        <tr r="C136" s="10"/>
      </tp>
      <tp t="e">
        <v>#N/A</v>
        <stp/>
        <stp>BDH|7860322436168891564</stp>
        <tr r="AE161" s="10"/>
      </tp>
      <tp t="e">
        <v>#N/A</v>
        <stp/>
        <stp>BDH|5754818769452979346</stp>
        <tr r="AH167" s="10"/>
      </tp>
      <tp t="e">
        <v>#N/A</v>
        <stp/>
        <stp>BDH|6049807829825800330</stp>
        <tr r="W161" s="10"/>
      </tp>
      <tp t="e">
        <v>#N/A</v>
        <stp/>
        <stp>BDH|9359544966029696952</stp>
        <tr r="Z48" s="10"/>
      </tp>
      <tp t="e">
        <v>#N/A</v>
        <stp/>
        <stp>BDH|3054164062448397656</stp>
        <tr r="AI125" s="10"/>
      </tp>
      <tp t="e">
        <v>#N/A</v>
        <stp/>
        <stp>BDH|9569122981183706938</stp>
        <tr r="F140" s="10"/>
      </tp>
      <tp t="e">
        <v>#N/A</v>
        <stp/>
        <stp>BDH|2894920524280433385</stp>
        <tr r="AT147" s="10"/>
      </tp>
      <tp t="e">
        <v>#N/A</v>
        <stp/>
        <stp>BDH|1735168013932073909</stp>
        <tr r="AG67" s="10"/>
      </tp>
      <tp t="e">
        <v>#N/A</v>
        <stp/>
        <stp>BDH|4994987727694270163</stp>
        <tr r="AA162" s="10"/>
      </tp>
      <tp t="e">
        <v>#N/A</v>
        <stp/>
        <stp>BDH|2112135282786484764</stp>
        <tr r="AD112" s="10"/>
      </tp>
      <tp t="e">
        <v>#N/A</v>
        <stp/>
        <stp>BDH|4423941945062444138</stp>
        <tr r="V47" s="10"/>
      </tp>
      <tp t="e">
        <v>#N/A</v>
        <stp/>
        <stp>BDH|2899695356048734321</stp>
        <tr r="K63" s="10"/>
      </tp>
      <tp t="s">
        <v>#N/A Requesting Data...3538597667</v>
        <stp/>
        <stp>BDP|9938785646928480809</stp>
        <tr r="D56" s="6"/>
        <tr r="H47" s="1"/>
      </tp>
      <tp t="e">
        <v>#N/A</v>
        <stp/>
        <stp>BDH|9314306225007107547</stp>
        <tr r="O187" s="10"/>
      </tp>
      <tp t="e">
        <v>#N/A</v>
        <stp/>
        <stp>BDH|2120194826303574882</stp>
        <tr r="AP58" s="10"/>
      </tp>
      <tp t="e">
        <v>#N/A</v>
        <stp/>
        <stp>BDH|6068366144558602376</stp>
        <tr r="AN7" s="10"/>
      </tp>
      <tp t="e">
        <v>#N/A</v>
        <stp/>
        <stp>BDH|5554944411127769044</stp>
        <tr r="AJ63" s="10"/>
      </tp>
      <tp t="e">
        <v>#N/A</v>
        <stp/>
        <stp>BDH|1063808484349386240</stp>
        <tr r="E86" s="10"/>
      </tp>
      <tp t="e">
        <v>#N/A</v>
        <stp/>
        <stp>BDH|2038635983321524762</stp>
        <tr r="M19" s="10"/>
      </tp>
      <tp t="e">
        <v>#N/A</v>
        <stp/>
        <stp>BDH|8647304814151818194</stp>
        <tr r="Y80" s="10"/>
      </tp>
      <tp t="e">
        <v>#N/A</v>
        <stp/>
        <stp>BDH|7584828414871478548</stp>
        <tr r="AQ43" s="10"/>
      </tp>
      <tp t="e">
        <v>#N/A</v>
        <stp/>
        <stp>BDH|5081821977897226745</stp>
        <tr r="AE145" s="10"/>
      </tp>
      <tp t="e">
        <v>#N/A</v>
        <stp/>
        <stp>BDH|1789238316741122903</stp>
        <tr r="Q55" s="10"/>
      </tp>
      <tp t="e">
        <v>#N/A</v>
        <stp/>
        <stp>BDH|8661116735797678779</stp>
        <tr r="K119" s="10"/>
      </tp>
      <tp t="e">
        <v>#N/A</v>
        <stp/>
        <stp>BDH|5418734870708033748</stp>
        <tr r="AI89" s="10"/>
      </tp>
      <tp t="e">
        <v>#N/A</v>
        <stp/>
        <stp>BDH|9695208917900217000</stp>
        <tr r="S85" s="10"/>
      </tp>
      <tp t="e">
        <v>#N/A</v>
        <stp/>
        <stp>BDH|5256678719408805071</stp>
        <tr r="L73" s="10"/>
      </tp>
      <tp t="e">
        <v>#N/A</v>
        <stp/>
        <stp>BDH|7134535182047064738</stp>
        <tr r="U97" s="10"/>
      </tp>
      <tp t="e">
        <v>#N/A</v>
        <stp/>
        <stp>BDH|5398901196068340756</stp>
        <tr r="AJ153" s="10"/>
      </tp>
      <tp t="e">
        <v>#N/A</v>
        <stp/>
        <stp>BDH|1009185845337892963</stp>
        <tr r="L71" s="10"/>
      </tp>
      <tp t="e">
        <v>#N/A</v>
        <stp/>
        <stp>BDH|1149523081953935581</stp>
        <tr r="G129" s="10"/>
      </tp>
      <tp t="e">
        <v>#N/A</v>
        <stp/>
        <stp>BDH|8542262149696983204</stp>
        <tr r="AL142" s="10"/>
      </tp>
      <tp t="e">
        <v>#N/A</v>
        <stp/>
        <stp>BDH|7856923146842902260</stp>
        <tr r="AL131" s="10"/>
      </tp>
      <tp t="e">
        <v>#N/A</v>
        <stp/>
        <stp>BDH|3183720284941240754</stp>
        <tr r="V98" s="10"/>
      </tp>
      <tp t="e">
        <v>#N/A</v>
        <stp/>
        <stp>BDH|8035012236105557424</stp>
        <tr r="AK61" s="10"/>
      </tp>
      <tp t="e">
        <v>#N/A</v>
        <stp/>
        <stp>BDH|2960381944897496816</stp>
        <tr r="AE19" s="10"/>
      </tp>
      <tp t="e">
        <v>#N/A</v>
        <stp/>
        <stp>BDH|1419585664279171191</stp>
        <tr r="G38" s="10"/>
      </tp>
      <tp t="e">
        <v>#N/A</v>
        <stp/>
        <stp>BDH|2343749942853575802</stp>
        <tr r="R39" s="10"/>
      </tp>
      <tp t="e">
        <v>#N/A</v>
        <stp/>
        <stp>BDH|5384922683666470869</stp>
        <tr r="Q11" s="10"/>
      </tp>
      <tp t="e">
        <v>#N/A</v>
        <stp/>
        <stp>BDH|3732113374228488768</stp>
        <tr r="AT17" s="10"/>
      </tp>
      <tp t="e">
        <v>#N/A</v>
        <stp/>
        <stp>BDH|2871631660258221093</stp>
        <tr r="AA183" s="10"/>
      </tp>
      <tp t="e">
        <v>#N/A</v>
        <stp/>
        <stp>BDH|3928019787842667390</stp>
        <tr r="L40" s="10"/>
      </tp>
      <tp t="e">
        <v>#N/A</v>
        <stp/>
        <stp>BDH|2057998684839930042</stp>
        <tr r="O113" s="10"/>
      </tp>
      <tp t="e">
        <v>#N/A</v>
        <stp/>
        <stp>BDH|2757741733545379932</stp>
        <tr r="AP29" s="10"/>
      </tp>
      <tp t="e">
        <v>#N/A</v>
        <stp/>
        <stp>BDH|9391617435550151669</stp>
        <tr r="Q150" s="10"/>
      </tp>
      <tp t="e">
        <v>#N/A</v>
        <stp/>
        <stp>BDH|2389189175406947876</stp>
        <tr r="AS176" s="10"/>
      </tp>
      <tp t="e">
        <v>#N/A</v>
        <stp/>
        <stp>BDH|6697055796834780125</stp>
        <tr r="T87" s="10"/>
      </tp>
      <tp t="e">
        <v>#N/A</v>
        <stp/>
        <stp>BDH|9168441946891758242</stp>
        <tr r="C11" s="10"/>
      </tp>
      <tp t="e">
        <v>#N/A</v>
        <stp/>
        <stp>BDH|5536150905288637638</stp>
        <tr r="Y116" s="10"/>
      </tp>
      <tp t="e">
        <v>#N/A</v>
        <stp/>
        <stp>BDH|9736210427386020518</stp>
        <tr r="I35" s="10"/>
      </tp>
      <tp t="e">
        <v>#N/A</v>
        <stp/>
        <stp>BDH|2535574270588469268</stp>
        <tr r="F3" s="10"/>
      </tp>
      <tp t="e">
        <v>#N/A</v>
        <stp/>
        <stp>BDH|6092840255384237535</stp>
        <tr r="V177" s="10"/>
      </tp>
      <tp t="e">
        <v>#N/A</v>
        <stp/>
        <stp>BDH|1778799385133846734</stp>
        <tr r="AQ76" s="10"/>
      </tp>
      <tp t="e">
        <v>#N/A</v>
        <stp/>
        <stp>BDH|1541925596902668970</stp>
        <tr r="AL74" s="10"/>
      </tp>
      <tp t="e">
        <v>#N/A</v>
        <stp/>
        <stp>BDH|6584935886499939494</stp>
        <tr r="AJ14" s="10"/>
      </tp>
      <tp t="e">
        <v>#N/A</v>
        <stp/>
        <stp>BDH|4859323291116952233</stp>
        <tr r="AL129" s="10"/>
      </tp>
      <tp t="e">
        <v>#N/A</v>
        <stp/>
        <stp>BDH|4466026132924780921</stp>
        <tr r="AW101" s="10"/>
      </tp>
      <tp t="e">
        <v>#N/A</v>
        <stp/>
        <stp>BDH|2766713172361371961</stp>
        <tr r="AE44" s="10"/>
      </tp>
      <tp t="e">
        <v>#N/A</v>
        <stp/>
        <stp>BDH|9955508596226771998</stp>
        <tr r="S145" s="10"/>
      </tp>
      <tp t="e">
        <v>#N/A</v>
        <stp/>
        <stp>BDH|4798635635843380838</stp>
        <tr r="AF139" s="10"/>
      </tp>
      <tp t="e">
        <v>#N/A</v>
        <stp/>
        <stp>BDH|3099716291127294030</stp>
        <tr r="K113" s="10"/>
      </tp>
      <tp t="e">
        <v>#N/A</v>
        <stp/>
        <stp>BDH|3035182090218021997</stp>
        <tr r="Q22" s="10"/>
      </tp>
      <tp t="e">
        <v>#N/A</v>
        <stp/>
        <stp>BDH|1766939240063516505</stp>
        <tr r="AM23" s="10"/>
      </tp>
      <tp t="e">
        <v>#N/A</v>
        <stp/>
        <stp>BDH|9218316533236882596</stp>
        <tr r="AV155" s="10"/>
      </tp>
      <tp t="e">
        <v>#N/A</v>
        <stp/>
        <stp>BDH|9013317818069030889</stp>
        <tr r="AS161" s="10"/>
      </tp>
      <tp t="e">
        <v>#N/A</v>
        <stp/>
        <stp>BDH|3232579103345449931</stp>
        <tr r="AR69" s="10"/>
      </tp>
      <tp t="e">
        <v>#N/A</v>
        <stp/>
        <stp>BDH|8596536077033717371</stp>
        <tr r="O55" s="10"/>
      </tp>
      <tp t="e">
        <v>#N/A</v>
        <stp/>
        <stp>BDH|6591750484384127747</stp>
        <tr r="L33" s="10"/>
      </tp>
      <tp t="e">
        <v>#N/A</v>
        <stp/>
        <stp>BDH|2003262607853479943</stp>
        <tr r="L70" s="10"/>
      </tp>
      <tp t="e">
        <v>#N/A</v>
        <stp/>
        <stp>BDH|7313002686666098342</stp>
        <tr r="Q46" s="10"/>
      </tp>
      <tp t="e">
        <v>#N/A</v>
        <stp/>
        <stp>BDH|8772602551255737475</stp>
        <tr r="AK11" s="10"/>
      </tp>
      <tp t="e">
        <v>#N/A</v>
        <stp/>
        <stp>BDH|9160067727739278840</stp>
        <tr r="N94" s="10"/>
      </tp>
      <tp t="e">
        <v>#N/A</v>
        <stp/>
        <stp>BDH|7265289449593527809</stp>
        <tr r="S128" s="10"/>
      </tp>
      <tp t="e">
        <v>#N/A</v>
        <stp/>
        <stp>BDH|2531641240142210851</stp>
        <tr r="G95" s="10"/>
      </tp>
      <tp t="e">
        <v>#N/A</v>
        <stp/>
        <stp>BDH|7971879049126292735</stp>
        <tr r="I12" s="10"/>
      </tp>
      <tp t="e">
        <v>#N/A</v>
        <stp/>
        <stp>BDH|1294236136448784266</stp>
        <tr r="AN171" s="10"/>
      </tp>
      <tp t="e">
        <v>#N/A</v>
        <stp/>
        <stp>BDH|1624535779299990039</stp>
        <tr r="AT15" s="10"/>
      </tp>
      <tp t="e">
        <v>#N/A</v>
        <stp/>
        <stp>BDH|5253974653380848382</stp>
        <tr r="L47" s="10"/>
      </tp>
      <tp t="e">
        <v>#N/A</v>
        <stp/>
        <stp>BDH|7576343081665370352</stp>
        <tr r="AF31" s="10"/>
      </tp>
      <tp t="e">
        <v>#N/A</v>
        <stp/>
        <stp>BDH|8545611363200377226</stp>
        <tr r="AI131" s="10"/>
      </tp>
      <tp t="e">
        <v>#N/A</v>
        <stp/>
        <stp>BDH|9343358617569076875</stp>
        <tr r="G42" s="10"/>
      </tp>
      <tp t="e">
        <v>#N/A</v>
        <stp/>
        <stp>BDH|6006349856353082949</stp>
        <tr r="AP167" s="10"/>
      </tp>
      <tp t="e">
        <v>#N/A</v>
        <stp/>
        <stp>BDH|8009146945734689314</stp>
        <tr r="AE33" s="10"/>
      </tp>
      <tp t="e">
        <v>#N/A</v>
        <stp/>
        <stp>BDH|8799007896129318243</stp>
        <tr r="C26" s="10"/>
      </tp>
      <tp t="e">
        <v>#N/A</v>
        <stp/>
        <stp>BDH|8274535343490089342</stp>
        <tr r="O30" s="10"/>
      </tp>
      <tp t="e">
        <v>#N/A</v>
        <stp/>
        <stp>BDH|5000224457781283914</stp>
        <tr r="AB168" s="10"/>
      </tp>
      <tp t="e">
        <v>#N/A</v>
        <stp/>
        <stp>BDH|9035304356096589351</stp>
        <tr r="AU138" s="10"/>
      </tp>
      <tp t="e">
        <v>#N/A</v>
        <stp/>
        <stp>BDH|8285213525726961494</stp>
        <tr r="J81" s="10"/>
      </tp>
      <tp t="s">
        <v>#N/A Requesting Data...3129168174</v>
        <stp/>
        <stp>BDP|3222140435313207869</stp>
        <tr r="B46" s="1"/>
      </tp>
      <tp t="s">
        <v>#N/A Requesting Data...4228476845</v>
        <stp/>
        <stp>BDP|2253361359958973635</stp>
        <tr r="B56" s="6"/>
        <tr r="E47" s="1"/>
        <tr r="H142" s="2"/>
      </tp>
      <tp t="e">
        <v>#N/A</v>
        <stp/>
        <stp>BDH|3035528437157538878</stp>
        <tr r="Z148" s="10"/>
      </tp>
      <tp t="e">
        <v>#N/A</v>
        <stp/>
        <stp>BDH|8414191198618412264</stp>
        <tr r="AW147" s="10"/>
      </tp>
      <tp t="e">
        <v>#N/A</v>
        <stp/>
        <stp>BDH|3622216267324175963</stp>
        <tr r="Y113" s="10"/>
      </tp>
      <tp t="e">
        <v>#N/A</v>
        <stp/>
        <stp>BDH|7476946637625139217</stp>
        <tr r="AG41" s="10"/>
      </tp>
      <tp t="e">
        <v>#N/A</v>
        <stp/>
        <stp>BDH|1584557790000781705</stp>
        <tr r="E76" s="10"/>
      </tp>
      <tp t="e">
        <v>#N/A</v>
        <stp/>
        <stp>BDH|1856365588302659271</stp>
        <tr r="AU173" s="10"/>
      </tp>
      <tp t="e">
        <v>#N/A</v>
        <stp/>
        <stp>BDH|5866245638249527765</stp>
        <tr r="AE18" s="10"/>
      </tp>
      <tp t="e">
        <v>#N/A</v>
        <stp/>
        <stp>BDH|9873252715135679598</stp>
        <tr r="AN15" s="10"/>
      </tp>
      <tp t="e">
        <v>#N/A</v>
        <stp/>
        <stp>BDH|8761213522322290015</stp>
        <tr r="O124" s="10"/>
      </tp>
      <tp t="e">
        <v>#N/A</v>
        <stp/>
        <stp>BDH|4426859010637360057</stp>
        <tr r="T70" s="10"/>
      </tp>
      <tp t="e">
        <v>#N/A</v>
        <stp/>
        <stp>BDH|2294467645241500932</stp>
        <tr r="AB137" s="10"/>
      </tp>
      <tp t="e">
        <v>#N/A</v>
        <stp/>
        <stp>BDH|4646193495833921543</stp>
        <tr r="Q31" s="10"/>
      </tp>
      <tp t="e">
        <v>#N/A</v>
        <stp/>
        <stp>BDH|1872274980196937723</stp>
        <tr r="S31" s="10"/>
      </tp>
      <tp t="e">
        <v>#N/A</v>
        <stp/>
        <stp>BDH|2036526927146304926</stp>
        <tr r="Z21" s="10"/>
      </tp>
      <tp t="e">
        <v>#N/A</v>
        <stp/>
        <stp>BDH|1921298049374496995</stp>
        <tr r="AD62" s="10"/>
      </tp>
      <tp t="e">
        <v>#N/A</v>
        <stp/>
        <stp>BDH|3723413283474130102</stp>
        <tr r="J107" s="10"/>
      </tp>
      <tp t="e">
        <v>#N/A</v>
        <stp/>
        <stp>BDH|2539948756101118522</stp>
        <tr r="W94" s="10"/>
      </tp>
      <tp t="e">
        <v>#N/A</v>
        <stp/>
        <stp>BDH|2531072399840617190</stp>
        <tr r="AW106" s="10"/>
      </tp>
      <tp t="e">
        <v>#N/A</v>
        <stp/>
        <stp>BDH|6027421027789090317</stp>
        <tr r="AT122" s="10"/>
      </tp>
      <tp t="e">
        <v>#N/A</v>
        <stp/>
        <stp>BDH|3955258638908789071</stp>
        <tr r="D95" s="10"/>
      </tp>
      <tp t="e">
        <v>#N/A</v>
        <stp/>
        <stp>BDH|7785229581351359639</stp>
        <tr r="AE134" s="10"/>
      </tp>
      <tp t="e">
        <v>#N/A</v>
        <stp/>
        <stp>BDH|3290944425563618117</stp>
        <tr r="AO179" s="10"/>
      </tp>
      <tp t="e">
        <v>#N/A</v>
        <stp/>
        <stp>BDH|6803648852708968728</stp>
        <tr r="AE68" s="10"/>
      </tp>
      <tp t="e">
        <v>#N/A</v>
        <stp/>
        <stp>BDH|9954307795390052995</stp>
        <tr r="AG15" s="10"/>
      </tp>
      <tp t="e">
        <v>#N/A</v>
        <stp/>
        <stp>BDH|5739418276405099956</stp>
        <tr r="N81" s="10"/>
      </tp>
      <tp t="e">
        <v>#N/A</v>
        <stp/>
        <stp>BDH|8276853361814257810</stp>
        <tr r="AG45" s="10"/>
      </tp>
      <tp t="e">
        <v>#N/A</v>
        <stp/>
        <stp>BDH|4632037428999113595</stp>
        <tr r="AI183" s="10"/>
      </tp>
      <tp t="e">
        <v>#N/A</v>
        <stp/>
        <stp>BDH|7462362991574294341</stp>
        <tr r="AT104" s="10"/>
      </tp>
      <tp t="e">
        <v>#N/A</v>
        <stp/>
        <stp>BDH|9876384421754067649</stp>
        <tr r="AE5" s="10"/>
      </tp>
      <tp t="e">
        <v>#N/A</v>
        <stp/>
        <stp>BDH|6056421598958665996</stp>
        <tr r="AM111" s="10"/>
      </tp>
      <tp t="e">
        <v>#N/A</v>
        <stp/>
        <stp>BDH|9787757850418446933</stp>
        <tr r="AI24" s="10"/>
      </tp>
      <tp t="e">
        <v>#N/A</v>
        <stp/>
        <stp>BDH|1612038163275279813</stp>
        <tr r="AG158" s="10"/>
      </tp>
      <tp t="e">
        <v>#N/A</v>
        <stp/>
        <stp>BDH|8083865642307085918</stp>
        <tr r="AT91" s="10"/>
      </tp>
    </main>
    <main first="bofaddin.rtdserver">
      <tp t="e">
        <v>#N/A</v>
        <stp/>
        <stp>BDH|33690101427866600</stp>
        <tr r="C64" s="10"/>
      </tp>
      <tp t="e">
        <v>#N/A</v>
        <stp/>
        <stp>BDH|79699426497765460</stp>
        <tr r="G146" s="10"/>
      </tp>
      <tp t="e">
        <v>#N/A</v>
        <stp/>
        <stp>BDH|57728838657471409</stp>
        <tr r="O77" s="10"/>
      </tp>
      <tp t="e">
        <v>#N/A</v>
        <stp/>
        <stp>BDH|1242903001574969705</stp>
        <tr r="Q185" s="10"/>
      </tp>
      <tp t="e">
        <v>#N/A</v>
        <stp/>
        <stp>BDH|4887849341823418039</stp>
        <tr r="AJ56" s="10"/>
      </tp>
      <tp t="e">
        <v>#N/A</v>
        <stp/>
        <stp>BDH|5306536665578792589</stp>
        <tr r="H89" s="10"/>
      </tp>
      <tp t="e">
        <v>#N/A</v>
        <stp/>
        <stp>BDH|4700754002639815120</stp>
        <tr r="K172" s="10"/>
      </tp>
      <tp t="e">
        <v>#N/A</v>
        <stp/>
        <stp>BDH|7639989495125313929</stp>
        <tr r="AF99" s="10"/>
      </tp>
      <tp t="e">
        <v>#N/A</v>
        <stp/>
        <stp>BDH|7325383151759231320</stp>
        <tr r="G158" s="10"/>
      </tp>
      <tp t="e">
        <v>#N/A</v>
        <stp/>
        <stp>BDH|9842361640501418404</stp>
        <tr r="G45" s="10"/>
      </tp>
      <tp t="e">
        <v>#N/A</v>
        <stp/>
        <stp>BDH|6565899203217203279</stp>
        <tr r="AI170" s="10"/>
      </tp>
      <tp t="e">
        <v>#N/A</v>
        <stp/>
        <stp>BDH|7141367491582927453</stp>
        <tr r="J178" s="10"/>
      </tp>
      <tp t="e">
        <v>#N/A</v>
        <stp/>
        <stp>BDH|7394757156208341691</stp>
        <tr r="G135" s="10"/>
      </tp>
      <tp t="e">
        <v>#N/A</v>
        <stp/>
        <stp>BDH|5246881855895711625</stp>
        <tr r="AB21" s="10"/>
      </tp>
      <tp t="e">
        <v>#N/A</v>
        <stp/>
        <stp>BDH|9660003928954368472</stp>
        <tr r="Z82" s="10"/>
      </tp>
      <tp t="e">
        <v>#N/A</v>
        <stp/>
        <stp>BDH|3729167499958545870</stp>
        <tr r="AS68" s="10"/>
      </tp>
      <tp t="e">
        <v>#N/A</v>
        <stp/>
        <stp>BDH|9104522271524954418</stp>
        <tr r="AM15" s="10"/>
      </tp>
      <tp t="e">
        <v>#N/A</v>
        <stp/>
        <stp>BDH|8893060981389638235</stp>
        <tr r="AF11" s="10"/>
      </tp>
      <tp t="s">
        <v>#N/A Requesting Data...4280865488</v>
        <stp/>
        <stp>BDP|2117482991073225715</stp>
        <tr r="B4" s="1"/>
      </tp>
      <tp t="e">
        <v>#N/A</v>
        <stp/>
        <stp>BDH|3404247769479578575</stp>
        <tr r="AH3" s="10"/>
      </tp>
      <tp t="e">
        <v>#N/A</v>
        <stp/>
        <stp>BDH|9270361046425149085</stp>
        <tr r="C55" s="10"/>
      </tp>
      <tp t="e">
        <v>#N/A</v>
        <stp/>
        <stp>BDH|7802458980385190570</stp>
        <tr r="AJ39" s="10"/>
      </tp>
      <tp t="e">
        <v>#N/A</v>
        <stp/>
        <stp>BDH|9203523660149819831</stp>
        <tr r="Y84" s="10"/>
      </tp>
      <tp t="e">
        <v>#N/A</v>
        <stp/>
        <stp>BDH|4621812622671679483</stp>
        <tr r="AM85" s="10"/>
      </tp>
      <tp t="e">
        <v>#N/A</v>
        <stp/>
        <stp>BDH|3457730182603936475</stp>
        <tr r="H82" s="10"/>
      </tp>
      <tp t="e">
        <v>#N/A</v>
        <stp/>
        <stp>BDH|6909706260239649545</stp>
        <tr r="AA138" s="10"/>
      </tp>
      <tp t="e">
        <v>#N/A</v>
        <stp/>
        <stp>BDH|1422951845540887778</stp>
        <tr r="AS182" s="10"/>
      </tp>
      <tp t="e">
        <v>#N/A</v>
        <stp/>
        <stp>BDH|3567880178090704790</stp>
        <tr r="AM46" s="10"/>
      </tp>
      <tp t="e">
        <v>#N/A</v>
        <stp/>
        <stp>BDH|6347176071702877969</stp>
        <tr r="AK97" s="10"/>
      </tp>
      <tp t="e">
        <v>#N/A</v>
        <stp/>
        <stp>BDH|4808838245503139045</stp>
        <tr r="Y142" s="10"/>
      </tp>
      <tp t="e">
        <v>#N/A</v>
        <stp/>
        <stp>BDH|3415039689323125345</stp>
        <tr r="F115" s="10"/>
      </tp>
      <tp t="e">
        <v>#N/A</v>
        <stp/>
        <stp>BDH|8804209377254017246</stp>
        <tr r="Q165" s="10"/>
      </tp>
      <tp t="e">
        <v>#N/A</v>
        <stp/>
        <stp>BDH|7832102351481211908</stp>
        <tr r="K143" s="10"/>
      </tp>
      <tp t="e">
        <v>#N/A</v>
        <stp/>
        <stp>BDH|5447299782721078541</stp>
        <tr r="Z136" s="10"/>
      </tp>
      <tp t="e">
        <v>#N/A</v>
        <stp/>
        <stp>BDH|5959861100456447008</stp>
        <tr r="AQ67" s="10"/>
      </tp>
      <tp t="e">
        <v>#N/A</v>
        <stp/>
        <stp>BDH|6936530371137658868</stp>
        <tr r="E6" s="10"/>
      </tp>
      <tp t="e">
        <v>#N/A</v>
        <stp/>
        <stp>BDH|7617277276259619097</stp>
        <tr r="D51" s="10"/>
      </tp>
      <tp t="e">
        <v>#N/A</v>
        <stp/>
        <stp>BDH|3499234695515340699</stp>
        <tr r="F106" s="10"/>
      </tp>
      <tp t="e">
        <v>#N/A</v>
        <stp/>
        <stp>BDH|5444682935142439953</stp>
        <tr r="C110" s="10"/>
      </tp>
      <tp t="e">
        <v>#N/A</v>
        <stp/>
        <stp>BDH|3702090356635661867</stp>
        <tr r="AR94" s="10"/>
      </tp>
      <tp t="e">
        <v>#N/A</v>
        <stp/>
        <stp>BDH|1385253539243278859</stp>
        <tr r="AM156" s="10"/>
      </tp>
      <tp t="e">
        <v>#N/A</v>
        <stp/>
        <stp>BDH|6412083716604554877</stp>
        <tr r="W95" s="10"/>
      </tp>
      <tp t="e">
        <v>#N/A</v>
        <stp/>
        <stp>BDH|8458901089954386663</stp>
        <tr r="AE141" s="10"/>
      </tp>
      <tp t="e">
        <v>#N/A</v>
        <stp/>
        <stp>BDH|1293584943729818292</stp>
        <tr r="T97" s="10"/>
      </tp>
      <tp t="e">
        <v>#N/A</v>
        <stp/>
        <stp>BDH|9973263545903032726</stp>
        <tr r="AC14" s="10"/>
      </tp>
      <tp t="e">
        <v>#N/A</v>
        <stp/>
        <stp>BDH|7487184366878196335</stp>
        <tr r="H114" s="10"/>
      </tp>
      <tp t="e">
        <v>#N/A</v>
        <stp/>
        <stp>BDH|3470824047135184182</stp>
        <tr r="L12" s="10"/>
      </tp>
      <tp t="e">
        <v>#N/A</v>
        <stp/>
        <stp>BDH|1187976309905551629</stp>
        <tr r="AP161" s="10"/>
      </tp>
      <tp t="e">
        <v>#N/A</v>
        <stp/>
        <stp>BDH|2499793661610634822</stp>
        <tr r="AF27" s="10"/>
      </tp>
      <tp t="e">
        <v>#N/A</v>
        <stp/>
        <stp>BDH|1850409121889236525</stp>
        <tr r="Z26" s="10"/>
      </tp>
      <tp t="e">
        <v>#N/A</v>
        <stp/>
        <stp>BDH|1895746733488444626</stp>
        <tr r="V124" s="10"/>
      </tp>
      <tp t="e">
        <v>#N/A</v>
        <stp/>
        <stp>BDH|2990899969801109610</stp>
        <tr r="R186" s="10"/>
      </tp>
      <tp t="e">
        <v>#N/A</v>
        <stp/>
        <stp>BDH|9768068723170828035</stp>
        <tr r="O114" s="10"/>
      </tp>
      <tp t="e">
        <v>#N/A</v>
        <stp/>
        <stp>BDH|2006395708958967212</stp>
        <tr r="U74" s="10"/>
      </tp>
      <tp t="e">
        <v>#N/A</v>
        <stp/>
        <stp>BDH|9355186443406493155</stp>
        <tr r="G51" s="10"/>
      </tp>
      <tp t="e">
        <v>#N/A</v>
        <stp/>
        <stp>BDH|7176629989115640750</stp>
        <tr r="Z172" s="10"/>
      </tp>
      <tp t="e">
        <v>#N/A</v>
        <stp/>
        <stp>BDH|3940922006463744239</stp>
        <tr r="M179" s="10"/>
      </tp>
      <tp t="e">
        <v>#N/A</v>
        <stp/>
        <stp>BDH|3927828362347673161</stp>
        <tr r="AO85" s="10"/>
      </tp>
      <tp t="e">
        <v>#N/A</v>
        <stp/>
        <stp>BDH|8536167512076835577</stp>
        <tr r="AL98" s="10"/>
      </tp>
      <tp t="e">
        <v>#N/A</v>
        <stp/>
        <stp>BDH|2417963906243207383</stp>
        <tr r="K68" s="10"/>
      </tp>
      <tp t="e">
        <v>#N/A</v>
        <stp/>
        <stp>BDH|7994846347267703738</stp>
        <tr r="AP102" s="10"/>
      </tp>
      <tp t="e">
        <v>#N/A</v>
        <stp/>
        <stp>BDH|4134582697547688469</stp>
        <tr r="I83" s="10"/>
      </tp>
      <tp t="e">
        <v>#N/A</v>
        <stp/>
        <stp>BDH|9295601662047800561</stp>
        <tr r="AH30" s="10"/>
      </tp>
      <tp t="e">
        <v>#N/A</v>
        <stp/>
        <stp>BDH|9409009051215970225</stp>
        <tr r="AP61" s="10"/>
      </tp>
      <tp t="e">
        <v>#N/A</v>
        <stp/>
        <stp>BDH|3741996143605684051</stp>
        <tr r="R34" s="10"/>
      </tp>
      <tp t="e">
        <v>#N/A</v>
        <stp/>
        <stp>BDH|9962624807696380211</stp>
        <tr r="W46" s="10"/>
      </tp>
      <tp t="e">
        <v>#N/A</v>
        <stp/>
        <stp>BDH|7580406909111734950</stp>
        <tr r="W149" s="10"/>
      </tp>
      <tp t="e">
        <v>#N/A</v>
        <stp/>
        <stp>BDH|7471739220788915104</stp>
        <tr r="L138" s="10"/>
      </tp>
      <tp t="e">
        <v>#N/A</v>
        <stp/>
        <stp>BDH|5884257498257314283</stp>
        <tr r="E17" s="10"/>
      </tp>
      <tp t="e">
        <v>#N/A</v>
        <stp/>
        <stp>BDH|4891554121379174136</stp>
        <tr r="AP188" s="10"/>
      </tp>
      <tp t="e">
        <v>#N/A</v>
        <stp/>
        <stp>BDH|8144864806473838878</stp>
        <tr r="X122" s="10"/>
      </tp>
      <tp t="e">
        <v>#N/A</v>
        <stp/>
        <stp>BDH|8683701863796343484</stp>
        <tr r="F24" s="10"/>
      </tp>
      <tp t="e">
        <v>#N/A</v>
        <stp/>
        <stp>BDH|7004343369148298115</stp>
        <tr r="L140" s="10"/>
      </tp>
      <tp t="e">
        <v>#N/A</v>
        <stp/>
        <stp>BDH|7395129398536044261</stp>
        <tr r="J171" s="10"/>
      </tp>
      <tp t="e">
        <v>#N/A</v>
        <stp/>
        <stp>BDH|4331000853608853270</stp>
        <tr r="AW44" s="10"/>
      </tp>
      <tp t="e">
        <v>#N/A</v>
        <stp/>
        <stp>BDH|8403618566562982156</stp>
        <tr r="M96" s="10"/>
      </tp>
      <tp t="e">
        <v>#N/A</v>
        <stp/>
        <stp>BDH|7970453375718647705</stp>
        <tr r="AO176" s="10"/>
      </tp>
      <tp t="e">
        <v>#N/A</v>
        <stp/>
        <stp>BDH|8822476554084100656</stp>
        <tr r="AP123" s="10"/>
      </tp>
      <tp t="e">
        <v>#N/A</v>
        <stp/>
        <stp>BDH|5049804039502504732</stp>
        <tr r="O79" s="10"/>
      </tp>
      <tp t="e">
        <v>#N/A</v>
        <stp/>
        <stp>BDH|1239325104900946922</stp>
        <tr r="AQ178" s="10"/>
      </tp>
      <tp t="e">
        <v>#N/A</v>
        <stp/>
        <stp>BDH|4895032044603464843</stp>
        <tr r="AM54" s="10"/>
      </tp>
      <tp t="e">
        <v>#N/A</v>
        <stp/>
        <stp>BDH|3915538237026361814</stp>
        <tr r="L36" s="10"/>
      </tp>
      <tp t="e">
        <v>#N/A</v>
        <stp/>
        <stp>BDH|9457953040658722799</stp>
        <tr r="Y57" s="10"/>
      </tp>
      <tp t="e">
        <v>#N/A</v>
        <stp/>
        <stp>BDH|9122112633498481883</stp>
        <tr r="J182" s="10"/>
      </tp>
      <tp t="e">
        <v>#N/A</v>
        <stp/>
        <stp>BDH|2739852263484839369</stp>
        <tr r="AB37" s="10"/>
      </tp>
      <tp t="e">
        <v>#N/A</v>
        <stp/>
        <stp>BDH|6410397915416448907</stp>
        <tr r="X114" s="10"/>
      </tp>
      <tp t="e">
        <v>#N/A</v>
        <stp/>
        <stp>BDH|5782426195371597292</stp>
        <tr r="S159" s="10"/>
      </tp>
      <tp t="e">
        <v>#N/A</v>
        <stp/>
        <stp>BDH|9690293747934439008</stp>
        <tr r="AB135" s="10"/>
      </tp>
      <tp t="e">
        <v>#N/A</v>
        <stp/>
        <stp>BDH|1576629991177356292</stp>
        <tr r="R161" s="10"/>
      </tp>
      <tp t="e">
        <v>#N/A</v>
        <stp/>
        <stp>BDH|1277790384580713548</stp>
        <tr r="AO118" s="10"/>
      </tp>
      <tp t="e">
        <v>#N/A</v>
        <stp/>
        <stp>BDH|9825561552185781777</stp>
        <tr r="C25" s="10"/>
      </tp>
      <tp t="e">
        <v>#N/A</v>
        <stp/>
        <stp>BDH|6128933650633683283</stp>
        <tr r="Q127" s="10"/>
      </tp>
      <tp t="e">
        <v>#N/A</v>
        <stp/>
        <stp>BDH|6228783991570286352</stp>
        <tr r="AP70" s="10"/>
      </tp>
      <tp t="e">
        <v>#N/A</v>
        <stp/>
        <stp>BDH|2689190035302516934</stp>
        <tr r="I118" s="10"/>
      </tp>
      <tp t="e">
        <v>#N/A</v>
        <stp/>
        <stp>BDH|5459801411031108695</stp>
        <tr r="X169" s="10"/>
      </tp>
      <tp t="e">
        <v>#N/A</v>
        <stp/>
        <stp>BDH|1928590662028954166</stp>
        <tr r="H174" s="10"/>
      </tp>
      <tp t="e">
        <v>#N/A</v>
        <stp/>
        <stp>BDH|5035838114700286784</stp>
        <tr r="O50" s="10"/>
      </tp>
      <tp t="e">
        <v>#N/A</v>
        <stp/>
        <stp>BDH|8081734511913659690</stp>
        <tr r="AJ81" s="10"/>
      </tp>
      <tp t="e">
        <v>#N/A</v>
        <stp/>
        <stp>BDH|5152117398211433711</stp>
        <tr r="F126" s="10"/>
      </tp>
      <tp t="e">
        <v>#N/A</v>
        <stp/>
        <stp>BDH|6771906949505067530</stp>
        <tr r="Q91" s="10"/>
      </tp>
      <tp t="e">
        <v>#N/A</v>
        <stp/>
        <stp>BDH|5915926786439056603</stp>
        <tr r="AE63" s="10"/>
      </tp>
      <tp t="e">
        <v>#N/A</v>
        <stp/>
        <stp>BDH|4115710027479244386</stp>
        <tr r="AK171" s="10"/>
      </tp>
      <tp t="e">
        <v>#N/A</v>
        <stp/>
        <stp>BDH|3149617589937583114</stp>
        <tr r="U23" s="10"/>
      </tp>
      <tp t="e">
        <v>#N/A</v>
        <stp/>
        <stp>BDH|2731215361488202584</stp>
        <tr r="J144" s="10"/>
      </tp>
      <tp t="e">
        <v>#N/A</v>
        <stp/>
        <stp>BDH|8593535933096003384</stp>
        <tr r="J126" s="10"/>
      </tp>
      <tp t="e">
        <v>#N/A</v>
        <stp/>
        <stp>BDH|8239112818863796018</stp>
        <tr r="AS83" s="10"/>
      </tp>
      <tp t="e">
        <v>#N/A</v>
        <stp/>
        <stp>BDH|4280224987877891225</stp>
        <tr r="AS32" s="10"/>
      </tp>
      <tp t="e">
        <v>#N/A</v>
        <stp/>
        <stp>BDH|2549517843839242184</stp>
        <tr r="Y15" s="10"/>
      </tp>
      <tp t="e">
        <v>#N/A</v>
        <stp/>
        <stp>BDH|7685746222291843855</stp>
        <tr r="AS107" s="10"/>
      </tp>
      <tp t="e">
        <v>#N/A</v>
        <stp/>
        <stp>BDH|5952147414879347770</stp>
        <tr r="AG18" s="10"/>
      </tp>
      <tp t="e">
        <v>#N/A</v>
        <stp/>
        <stp>BDH|5457165166131198886</stp>
        <tr r="T136" s="10"/>
      </tp>
      <tp t="e">
        <v>#N/A</v>
        <stp/>
        <stp>BDH|7643752174744888827</stp>
        <tr r="AD124" s="10"/>
      </tp>
      <tp t="e">
        <v>#N/A</v>
        <stp/>
        <stp>BDH|2000377546177541963</stp>
        <tr r="E156" s="10"/>
      </tp>
      <tp t="e">
        <v>#N/A</v>
        <stp/>
        <stp>BDH|4025687432709012382</stp>
        <tr r="AG124" s="10"/>
      </tp>
      <tp t="e">
        <v>#N/A</v>
        <stp/>
        <stp>BDH|5655756594289418913</stp>
        <tr r="AE45" s="10"/>
      </tp>
      <tp t="e">
        <v>#N/A</v>
        <stp/>
        <stp>BDH|4174848532805531106</stp>
        <tr r="AE85" s="10"/>
      </tp>
      <tp t="e">
        <v>#N/A</v>
        <stp/>
        <stp>BDH|1124946508612923162</stp>
        <tr r="AU36" s="10"/>
      </tp>
      <tp t="e">
        <v>#N/A</v>
        <stp/>
        <stp>BDH|8515377937465729602</stp>
        <tr r="AQ171" s="10"/>
      </tp>
      <tp t="e">
        <v>#N/A</v>
        <stp/>
        <stp>BDH|8275053465714775171</stp>
        <tr r="D15" s="10"/>
      </tp>
      <tp t="e">
        <v>#N/A</v>
        <stp/>
        <stp>BDH|2419815912554613434</stp>
        <tr r="AO132" s="10"/>
      </tp>
      <tp t="e">
        <v>#N/A</v>
        <stp/>
        <stp>BDH|8493152130891560061</stp>
        <tr r="AU154" s="10"/>
      </tp>
      <tp t="e">
        <v>#N/A</v>
        <stp/>
        <stp>BDH|1440352403329179015</stp>
        <tr r="O166" s="10"/>
      </tp>
      <tp t="e">
        <v>#N/A</v>
        <stp/>
        <stp>BDH|9028927654589113758</stp>
        <tr r="O29" s="10"/>
      </tp>
      <tp t="e">
        <v>#N/A</v>
        <stp/>
        <stp>BDH|3773411591847513206</stp>
        <tr r="AW78" s="10"/>
      </tp>
      <tp t="e">
        <v>#N/A</v>
        <stp/>
        <stp>BDH|2472107872866147955</stp>
        <tr r="C31" s="10"/>
      </tp>
      <tp t="e">
        <v>#N/A</v>
        <stp/>
        <stp>BDH|3238104566298181775</stp>
        <tr r="T38" s="10"/>
      </tp>
      <tp t="e">
        <v>#N/A</v>
        <stp/>
        <stp>BDH|4022925924783425708</stp>
        <tr r="AA128" s="10"/>
      </tp>
      <tp t="e">
        <v>#N/A</v>
        <stp/>
        <stp>BDH|4048112764279786106</stp>
        <tr r="T104" s="10"/>
      </tp>
      <tp t="e">
        <v>#N/A</v>
        <stp/>
        <stp>BDH|2353901412218423979</stp>
        <tr r="G118" s="10"/>
      </tp>
      <tp t="e">
        <v>#N/A</v>
        <stp/>
        <stp>BDH|2068714899236385195</stp>
        <tr r="AI66" s="10"/>
      </tp>
      <tp t="e">
        <v>#N/A</v>
        <stp/>
        <stp>BDH|1820956277996820202</stp>
        <tr r="I28" s="10"/>
      </tp>
      <tp t="e">
        <v>#N/A</v>
        <stp/>
        <stp>BDH|3780440843909153139</stp>
        <tr r="D67" s="10"/>
      </tp>
      <tp t="e">
        <v>#N/A</v>
        <stp/>
        <stp>BDH|7840798606398764324</stp>
        <tr r="Q14" s="10"/>
      </tp>
      <tp t="e">
        <v>#N/A</v>
        <stp/>
        <stp>BDH|8655275058077890337</stp>
        <tr r="C98" s="10"/>
      </tp>
      <tp t="e">
        <v>#N/A</v>
        <stp/>
        <stp>BDH|6964864119777321379</stp>
        <tr r="Y56" s="10"/>
      </tp>
      <tp t="s">
        <v>#N/A Requesting Data...3307176401</v>
        <stp/>
        <stp>BDP|6941810280388879538</stp>
        <tr r="I36" s="1"/>
      </tp>
      <tp t="s">
        <v>#N/A Requesting Data...3582007668</v>
        <stp/>
        <stp>BDP|4582140243632513843</stp>
        <tr r="D37" s="1"/>
      </tp>
      <tp t="e">
        <v>#N/A</v>
        <stp/>
        <stp>BDH|7821221761520025885</stp>
        <tr r="AA70" s="10"/>
      </tp>
      <tp t="e">
        <v>#N/A</v>
        <stp/>
        <stp>BDH|1681650851928306120</stp>
        <tr r="D61" s="10"/>
      </tp>
      <tp t="e">
        <v>#N/A</v>
        <stp/>
        <stp>BDH|5374426685615115762</stp>
        <tr r="AK113" s="10"/>
      </tp>
      <tp t="e">
        <v>#N/A</v>
        <stp/>
        <stp>BDH|2327594361758814207</stp>
        <tr r="Q59" s="10"/>
      </tp>
      <tp t="e">
        <v>#N/A</v>
        <stp/>
        <stp>BDH|9851684552838755967</stp>
        <tr r="P116" s="10"/>
      </tp>
      <tp t="e">
        <v>#N/A</v>
        <stp/>
        <stp>BDH|1759268734112502937</stp>
        <tr r="T67" s="10"/>
      </tp>
      <tp t="e">
        <v>#N/A</v>
        <stp/>
        <stp>BDH|4088901856504340765</stp>
        <tr r="V95" s="10"/>
      </tp>
      <tp t="e">
        <v>#N/A</v>
        <stp/>
        <stp>BDH|1292031770348640542</stp>
        <tr r="AG95" s="10"/>
      </tp>
      <tp t="e">
        <v>#N/A</v>
        <stp/>
        <stp>BDH|8143602632677191114</stp>
        <tr r="P138" s="10"/>
      </tp>
      <tp t="e">
        <v>#N/A</v>
        <stp/>
        <stp>BDH|7045176912339653509</stp>
        <tr r="E132" s="10"/>
      </tp>
      <tp t="e">
        <v>#N/A</v>
        <stp/>
        <stp>BDH|9689322089461930870</stp>
        <tr r="AT6" s="10"/>
      </tp>
      <tp t="e">
        <v>#N/A</v>
        <stp/>
        <stp>BDH|3840904002403837218</stp>
        <tr r="U45" s="10"/>
      </tp>
      <tp t="s">
        <v>#N/A Requesting Data...3377281337</v>
        <stp/>
        <stp>BDP|2621875567155466221</stp>
        <tr r="F114" s="2"/>
      </tp>
      <tp t="e">
        <v>#N/A</v>
        <stp/>
        <stp>BDH|7857022272889069289</stp>
        <tr r="AG99" s="10"/>
      </tp>
      <tp t="e">
        <v>#N/A</v>
        <stp/>
        <stp>BDH|9240003530659087829</stp>
        <tr r="AI16" s="10"/>
      </tp>
      <tp t="e">
        <v>#N/A</v>
        <stp/>
        <stp>BDH|2601838540872454710</stp>
        <tr r="Y72" s="10"/>
      </tp>
      <tp t="e">
        <v>#N/A</v>
        <stp/>
        <stp>BDH|2763162292018787949</stp>
        <tr r="N65" s="10"/>
      </tp>
      <tp t="e">
        <v>#N/A</v>
        <stp/>
        <stp>BDH|5063940141625308666</stp>
        <tr r="I157" s="10"/>
      </tp>
      <tp t="e">
        <v>#N/A</v>
        <stp/>
        <stp>BDH|1361680895096981377</stp>
        <tr r="Y68" s="10"/>
      </tp>
      <tp t="e">
        <v>#N/A</v>
        <stp/>
        <stp>BDH|3085811353265361015</stp>
        <tr r="AV10" s="10"/>
      </tp>
      <tp t="e">
        <v>#N/A</v>
        <stp/>
        <stp>BDH|3581698835828942507</stp>
        <tr r="AG155" s="10"/>
      </tp>
      <tp t="e">
        <v>#N/A</v>
        <stp/>
        <stp>BDH|9596011263670462432</stp>
        <tr r="AP99" s="10"/>
      </tp>
      <tp t="e">
        <v>#N/A</v>
        <stp/>
        <stp>BDH|4293882801581939627</stp>
        <tr r="L121" s="10"/>
      </tp>
      <tp t="e">
        <v>#N/A</v>
        <stp/>
        <stp>BDH|8007053212587121569</stp>
        <tr r="AA72" s="10"/>
      </tp>
      <tp t="e">
        <v>#N/A</v>
        <stp/>
        <stp>BDH|9931385519948954816</stp>
        <tr r="N49" s="10"/>
      </tp>
      <tp t="e">
        <v>#N/A</v>
        <stp/>
        <stp>BDH|6774936451965777423</stp>
        <tr r="H103" s="10"/>
      </tp>
      <tp t="e">
        <v>#N/A</v>
        <stp/>
        <stp>BDH|5675496256237946808</stp>
        <tr r="H5" s="10"/>
      </tp>
      <tp t="e">
        <v>#N/A</v>
        <stp/>
        <stp>BDH|8395750605801581566</stp>
        <tr r="AM67" s="10"/>
      </tp>
      <tp t="e">
        <v>#N/A</v>
        <stp/>
        <stp>BDH|6715253146652239969</stp>
        <tr r="AD184" s="10"/>
      </tp>
      <tp t="e">
        <v>#N/A</v>
        <stp/>
        <stp>BDH|2026409572772486874</stp>
        <tr r="G53" s="10"/>
      </tp>
      <tp t="e">
        <v>#N/A</v>
        <stp/>
        <stp>BDH|5067868566683818399</stp>
        <tr r="AH12" s="10"/>
      </tp>
      <tp t="e">
        <v>#N/A</v>
        <stp/>
        <stp>BDH|1716176286542191168</stp>
        <tr r="Z100" s="10"/>
      </tp>
      <tp t="e">
        <v>#N/A</v>
        <stp/>
        <stp>BDH|3403501625059848686</stp>
        <tr r="M68" s="10"/>
      </tp>
      <tp t="e">
        <v>#N/A</v>
        <stp/>
        <stp>BDH|4067169351293182877</stp>
        <tr r="V17" s="10"/>
      </tp>
      <tp t="e">
        <v>#N/A</v>
        <stp/>
        <stp>BDH|8647080509625429625</stp>
        <tr r="AM173" s="10"/>
      </tp>
      <tp t="e">
        <v>#N/A</v>
        <stp/>
        <stp>BDH|2803670485096345180</stp>
        <tr r="S68" s="10"/>
      </tp>
      <tp t="e">
        <v>#N/A</v>
        <stp/>
        <stp>BDH|1237845656543211434</stp>
        <tr r="Q7" s="10"/>
      </tp>
      <tp t="e">
        <v>#N/A</v>
        <stp/>
        <stp>BDH|2191926716844091547</stp>
        <tr r="K13" s="10"/>
      </tp>
      <tp t="e">
        <v>#N/A</v>
        <stp/>
        <stp>BDH|2311535027928630607</stp>
        <tr r="H111" s="10"/>
      </tp>
      <tp t="e">
        <v>#N/A</v>
        <stp/>
        <stp>BDH|9309166551407284173</stp>
        <tr r="T186" s="10"/>
      </tp>
      <tp t="e">
        <v>#N/A</v>
        <stp/>
        <stp>BDH|5768062381885032317</stp>
        <tr r="AL66" s="10"/>
      </tp>
      <tp t="e">
        <v>#N/A</v>
        <stp/>
        <stp>BDH|6057859944171821087</stp>
        <tr r="AO16" s="10"/>
      </tp>
      <tp t="e">
        <v>#N/A</v>
        <stp/>
        <stp>BDH|8828303027954656685</stp>
        <tr r="AO161" s="10"/>
      </tp>
      <tp t="e">
        <v>#N/A</v>
        <stp/>
        <stp>BDH|1208206680223093336</stp>
        <tr r="T90" s="10"/>
      </tp>
      <tp t="e">
        <v>#N/A</v>
        <stp/>
        <stp>BDH|1394800912996297525</stp>
        <tr r="U126" s="10"/>
      </tp>
      <tp t="e">
        <v>#N/A</v>
        <stp/>
        <stp>BDH|9885120098198625257</stp>
        <tr r="R158" s="10"/>
      </tp>
      <tp t="e">
        <v>#N/A</v>
        <stp/>
        <stp>BDH|9797305280250381959</stp>
        <tr r="AS47" s="10"/>
      </tp>
      <tp t="e">
        <v>#N/A</v>
        <stp/>
        <stp>BDH|6396616237448559011</stp>
        <tr r="E55" s="10"/>
      </tp>
      <tp t="e">
        <v>#N/A</v>
        <stp/>
        <stp>BDH|8820301273355936240</stp>
        <tr r="D169" s="10"/>
      </tp>
      <tp t="e">
        <v>#N/A</v>
        <stp/>
        <stp>BDH|7575205790723618456</stp>
        <tr r="D42" s="10"/>
      </tp>
      <tp t="e">
        <v>#N/A</v>
        <stp/>
        <stp>BDH|5367394351570415893</stp>
        <tr r="Z97" s="10"/>
      </tp>
      <tp t="e">
        <v>#N/A</v>
        <stp/>
        <stp>BDH|9018379145426200369</stp>
        <tr r="C88" s="10"/>
      </tp>
      <tp t="e">
        <v>#N/A</v>
        <stp/>
        <stp>BDH|3368882013337697689</stp>
        <tr r="N176" s="10"/>
      </tp>
      <tp t="e">
        <v>#N/A</v>
        <stp/>
        <stp>BDH|6065865836905371356</stp>
        <tr r="AW83" s="10"/>
      </tp>
      <tp t="e">
        <v>#N/A</v>
        <stp/>
        <stp>BDH|2405454045920258903</stp>
        <tr r="N160" s="10"/>
      </tp>
      <tp t="e">
        <v>#N/A</v>
        <stp/>
        <stp>BDH|6697912715911788431</stp>
        <tr r="AV149" s="10"/>
      </tp>
      <tp t="e">
        <v>#N/A</v>
        <stp/>
        <stp>BDH|9760619131250863796</stp>
        <tr r="H167" s="10"/>
      </tp>
      <tp t="e">
        <v>#N/A</v>
        <stp/>
        <stp>BDH|5122629424643673977</stp>
        <tr r="AJ166" s="10"/>
      </tp>
      <tp t="e">
        <v>#N/A</v>
        <stp/>
        <stp>BDH|3369521684332212718</stp>
        <tr r="V76" s="10"/>
      </tp>
      <tp t="e">
        <v>#N/A</v>
        <stp/>
        <stp>BDH|5332775726533557818</stp>
        <tr r="E19" s="10"/>
      </tp>
      <tp t="e">
        <v>#N/A</v>
        <stp/>
        <stp>BDH|2993158471238996724</stp>
        <tr r="C6" s="10"/>
      </tp>
      <tp t="s">
        <v>#N/A Requesting Data...3521407372</v>
        <stp/>
        <stp>BDP|1494817973097365223</stp>
        <tr r="D25" s="1"/>
      </tp>
      <tp t="e">
        <v>#N/A</v>
        <stp/>
        <stp>BDH|3154212484424305603</stp>
        <tr r="M154" s="10"/>
      </tp>
      <tp t="e">
        <v>#N/A</v>
        <stp/>
        <stp>BDH|1568716082055459056</stp>
        <tr r="AN193" s="10"/>
      </tp>
      <tp t="e">
        <v>#N/A</v>
        <stp/>
        <stp>BDH|4083869111447333135</stp>
        <tr r="Y134" s="10"/>
      </tp>
      <tp t="e">
        <v>#N/A</v>
        <stp/>
        <stp>BDH|5876565759467063902</stp>
        <tr r="AR82" s="10"/>
      </tp>
      <tp t="e">
        <v>#N/A</v>
        <stp/>
        <stp>BDH|7222807805053223722</stp>
        <tr r="Q20" s="10"/>
      </tp>
      <tp t="e">
        <v>#N/A</v>
        <stp/>
        <stp>BDH|7187980345026859738</stp>
        <tr r="AR45" s="10"/>
      </tp>
      <tp t="e">
        <v>#N/A</v>
        <stp/>
        <stp>BDH|2582799025259752592</stp>
        <tr r="AS152" s="10"/>
      </tp>
      <tp t="e">
        <v>#N/A</v>
        <stp/>
        <stp>BDH|7162051872129137202</stp>
        <tr r="V192" s="10"/>
      </tp>
      <tp t="e">
        <v>#N/A</v>
        <stp/>
        <stp>BDH|9136030824168727867</stp>
        <tr r="P48" s="10"/>
      </tp>
      <tp t="e">
        <v>#N/A</v>
        <stp/>
        <stp>BDH|9915911897140851203</stp>
        <tr r="X186" s="10"/>
      </tp>
      <tp t="e">
        <v>#N/A</v>
        <stp/>
        <stp>BDH|2484549521309725716</stp>
        <tr r="C93" s="10"/>
      </tp>
      <tp t="e">
        <v>#N/A</v>
        <stp/>
        <stp>BDH|6740346731344687933</stp>
        <tr r="AD92" s="10"/>
      </tp>
      <tp t="e">
        <v>#N/A</v>
        <stp/>
        <stp>BDH|8430011753967457150</stp>
        <tr r="AR143" s="10"/>
      </tp>
      <tp t="s">
        <v>#N/A Requesting Data...3237342642</v>
        <stp/>
        <stp>BDP|1097642965328247275</stp>
        <tr r="B17" s="1"/>
      </tp>
      <tp t="e">
        <v>#N/A</v>
        <stp/>
        <stp>BDH|5171444918682047990</stp>
        <tr r="AH180" s="10"/>
      </tp>
      <tp t="e">
        <v>#N/A</v>
        <stp/>
        <stp>BDH|6628411987168414902</stp>
        <tr r="L168" s="10"/>
      </tp>
      <tp t="e">
        <v>#N/A</v>
        <stp/>
        <stp>BDH|6338747474098352541</stp>
        <tr r="AB78" s="10"/>
      </tp>
      <tp t="e">
        <v>#N/A</v>
        <stp/>
        <stp>BDH|2359010317419028113</stp>
        <tr r="X153" s="10"/>
      </tp>
      <tp t="e">
        <v>#N/A</v>
        <stp/>
        <stp>BDH|7049347639558863413</stp>
        <tr r="AN87" s="10"/>
      </tp>
      <tp t="e">
        <v>#N/A</v>
        <stp/>
        <stp>BDH|6954480376029677757</stp>
        <tr r="AJ159" s="10"/>
      </tp>
      <tp t="e">
        <v>#N/A</v>
        <stp/>
        <stp>BDH|8330354266515338374</stp>
        <tr r="Q3" s="10"/>
      </tp>
      <tp t="e">
        <v>#N/A</v>
        <stp/>
        <stp>BDH|5436823242072633067</stp>
        <tr r="AC171" s="10"/>
      </tp>
      <tp t="e">
        <v>#N/A</v>
        <stp/>
        <stp>BDH|1476266480187510736</stp>
        <tr r="AV129" s="10"/>
      </tp>
      <tp t="e">
        <v>#N/A</v>
        <stp/>
        <stp>BDH|1819280156638290505</stp>
        <tr r="AJ125" s="10"/>
      </tp>
      <tp t="e">
        <v>#N/A</v>
        <stp/>
        <stp>BDH|6657866865892821193</stp>
        <tr r="AL97" s="10"/>
      </tp>
      <tp t="e">
        <v>#N/A</v>
        <stp/>
        <stp>BDH|9677266546815653146</stp>
        <tr r="AE39" s="10"/>
      </tp>
      <tp t="e">
        <v>#N/A</v>
        <stp/>
        <stp>BDH|7142912756988624847</stp>
        <tr r="T10" s="10"/>
      </tp>
      <tp t="e">
        <v>#N/A</v>
        <stp/>
        <stp>BDH|6958969094484972962</stp>
        <tr r="S78" s="10"/>
      </tp>
      <tp t="e">
        <v>#N/A</v>
        <stp/>
        <stp>BDH|8096044665175249069</stp>
        <tr r="AA148" s="10"/>
      </tp>
      <tp t="e">
        <v>#N/A</v>
        <stp/>
        <stp>BDH|5468616793529102824</stp>
        <tr r="AJ108" s="10"/>
      </tp>
      <tp t="e">
        <v>#N/A</v>
        <stp/>
        <stp>BDH|5210836444067474542</stp>
        <tr r="AK148" s="10"/>
      </tp>
      <tp t="e">
        <v>#N/A</v>
        <stp/>
        <stp>BDH|8902163117332506185</stp>
        <tr r="W145" s="10"/>
      </tp>
      <tp t="e">
        <v>#N/A</v>
        <stp/>
        <stp>BDH|1478487379130137917</stp>
        <tr r="O25" s="10"/>
      </tp>
      <tp t="e">
        <v>#N/A</v>
        <stp/>
        <stp>BDH|2535231517369772332</stp>
        <tr r="O173" s="10"/>
      </tp>
      <tp t="e">
        <v>#N/A</v>
        <stp/>
        <stp>BDH|6365894608084046172</stp>
        <tr r="AI69" s="10"/>
      </tp>
      <tp t="e">
        <v>#N/A</v>
        <stp/>
        <stp>BDH|8665427923645021022</stp>
        <tr r="AA15" s="10"/>
      </tp>
      <tp t="e">
        <v>#N/A</v>
        <stp/>
        <stp>BDH|8716317926072343065</stp>
        <tr r="AI121" s="10"/>
      </tp>
      <tp t="e">
        <v>#N/A</v>
        <stp/>
        <stp>BDH|1402967195573335917</stp>
        <tr r="AN119" s="10"/>
      </tp>
      <tp t="e">
        <v>#N/A</v>
        <stp/>
        <stp>BDH|7367530644968441552</stp>
        <tr r="AI3" s="10"/>
      </tp>
      <tp t="e">
        <v>#N/A</v>
        <stp/>
        <stp>BDH|8576802871459918588</stp>
        <tr r="X118" s="10"/>
      </tp>
      <tp t="e">
        <v>#N/A</v>
        <stp/>
        <stp>BDH|2161569200529580579</stp>
        <tr r="U102" s="10"/>
      </tp>
      <tp t="e">
        <v>#N/A</v>
        <stp/>
        <stp>BDH|6939954493695359899</stp>
        <tr r="O62" s="10"/>
      </tp>
      <tp t="e">
        <v>#N/A</v>
        <stp/>
        <stp>BDH|2122628366501439841</stp>
        <tr r="AV162" s="10"/>
      </tp>
      <tp t="e">
        <v>#N/A</v>
        <stp/>
        <stp>BDH|9419259844380515456</stp>
        <tr r="AK79" s="10"/>
      </tp>
      <tp t="e">
        <v>#N/A</v>
        <stp/>
        <stp>BDH|9427068925851662148</stp>
        <tr r="AU149" s="10"/>
      </tp>
      <tp t="e">
        <v>#N/A</v>
        <stp/>
        <stp>BDH|4982271254270962862</stp>
        <tr r="AU168" s="10"/>
      </tp>
    </main>
    <main first="bofaddin.rtdserver">
      <tp t="s">
        <v>#N/A Requesting Data...3515795811</v>
        <stp/>
        <stp>BDP|7773377838651183237</stp>
        <tr r="I30" s="1"/>
      </tp>
      <tp t="e">
        <v>#N/A</v>
        <stp/>
        <stp>BDH|5488315029643482322</stp>
        <tr r="I70" s="10"/>
      </tp>
      <tp t="e">
        <v>#N/A</v>
        <stp/>
        <stp>BDH|1744330479199341840</stp>
        <tr r="M138" s="10"/>
      </tp>
      <tp t="e">
        <v>#N/A</v>
        <stp/>
        <stp>BDH|4368555199948497410</stp>
        <tr r="AO47" s="10"/>
      </tp>
      <tp t="e">
        <v>#N/A</v>
        <stp/>
        <stp>BDH|9841790386900930246</stp>
        <tr r="AK145" s="10"/>
      </tp>
      <tp t="e">
        <v>#N/A</v>
        <stp/>
        <stp>BDH|9635909278522201164</stp>
        <tr r="J172" s="10"/>
      </tp>
      <tp t="e">
        <v>#N/A</v>
        <stp/>
        <stp>BDH|3344081736122577628</stp>
        <tr r="S167" s="10"/>
      </tp>
      <tp t="e">
        <v>#N/A</v>
        <stp/>
        <stp>BDH|3027719687408561092</stp>
        <tr r="L145" s="10"/>
      </tp>
      <tp t="e">
        <v>#N/A</v>
        <stp/>
        <stp>BDH|7320187373545195032</stp>
        <tr r="AR128" s="10"/>
      </tp>
      <tp t="e">
        <v>#N/A</v>
        <stp/>
        <stp>BDH|5772331326730093082</stp>
        <tr r="AN60" s="10"/>
      </tp>
      <tp t="e">
        <v>#N/A</v>
        <stp/>
        <stp>BDH|6596448291928236784</stp>
        <tr r="D19" s="10"/>
      </tp>
      <tp t="e">
        <v>#N/A</v>
        <stp/>
        <stp>BDH|3080970603827797996</stp>
        <tr r="D92" s="10"/>
      </tp>
      <tp t="e">
        <v>#N/A</v>
        <stp/>
        <stp>BDH|3341062343942986147</stp>
        <tr r="AH160" s="10"/>
      </tp>
      <tp t="e">
        <v>#N/A</v>
        <stp/>
        <stp>BDH|6841546148017858477</stp>
        <tr r="J136" s="10"/>
      </tp>
      <tp t="e">
        <v>#N/A</v>
        <stp/>
        <stp>BDH|3118364374121147293</stp>
        <tr r="U52" s="10"/>
      </tp>
      <tp t="e">
        <v>#N/A</v>
        <stp/>
        <stp>BDH|7439634406557340295</stp>
        <tr r="AQ48" s="10"/>
      </tp>
      <tp t="e">
        <v>#N/A</v>
        <stp/>
        <stp>BDH|3040370859389406812</stp>
        <tr r="G112" s="10"/>
      </tp>
      <tp t="e">
        <v>#N/A</v>
        <stp/>
        <stp>BDH|1672893881153636633</stp>
        <tr r="P95" s="10"/>
      </tp>
      <tp t="e">
        <v>#N/A</v>
        <stp/>
        <stp>BDH|5893310893103789864</stp>
        <tr r="AL23" s="10"/>
      </tp>
      <tp t="e">
        <v>#N/A</v>
        <stp/>
        <stp>BDH|2404422427182968232</stp>
        <tr r="AQ96" s="10"/>
      </tp>
      <tp t="e">
        <v>#N/A</v>
        <stp/>
        <stp>BDH|1838446421105171674</stp>
        <tr r="AA114" s="10"/>
      </tp>
      <tp t="e">
        <v>#N/A</v>
        <stp/>
        <stp>BDH|9560063976399868367</stp>
        <tr r="AL32" s="10"/>
      </tp>
      <tp t="e">
        <v>#N/A</v>
        <stp/>
        <stp>BDH|9496835049922300363</stp>
        <tr r="AH117" s="10"/>
      </tp>
      <tp t="e">
        <v>#N/A</v>
        <stp/>
        <stp>BDH|7906129357273031470</stp>
        <tr r="AN120" s="10"/>
      </tp>
      <tp t="e">
        <v>#N/A</v>
        <stp/>
        <stp>BDH|4517033415010109198</stp>
        <tr r="Z99" s="10"/>
      </tp>
      <tp t="e">
        <v>#N/A</v>
        <stp/>
        <stp>BDH|6815437965997213772</stp>
        <tr r="AD126" s="10"/>
      </tp>
      <tp t="e">
        <v>#N/A</v>
        <stp/>
        <stp>BDH|8966218180336428071</stp>
        <tr r="AV38" s="10"/>
      </tp>
      <tp t="e">
        <v>#N/A</v>
        <stp/>
        <stp>BDH|9069462988170362153</stp>
        <tr r="C104" s="10"/>
      </tp>
      <tp t="e">
        <v>#N/A</v>
        <stp/>
        <stp>BDH|4792141864617788086</stp>
        <tr r="N45" s="10"/>
      </tp>
      <tp t="e">
        <v>#N/A</v>
        <stp/>
        <stp>BDH|7150854543196977967</stp>
        <tr r="AL105" s="10"/>
      </tp>
      <tp t="e">
        <v>#N/A</v>
        <stp/>
        <stp>BDH|3240996482331409753</stp>
        <tr r="L93" s="10"/>
      </tp>
      <tp t="e">
        <v>#N/A</v>
        <stp/>
        <stp>BDH|5559548794659404499</stp>
        <tr r="W128" s="10"/>
      </tp>
      <tp t="e">
        <v>#N/A</v>
        <stp/>
        <stp>BDH|2062852253198717391</stp>
        <tr r="Q183" s="10"/>
      </tp>
      <tp t="e">
        <v>#N/A</v>
        <stp/>
        <stp>BDH|4881322603791683272</stp>
        <tr r="AO153" s="10"/>
      </tp>
      <tp t="e">
        <v>#N/A</v>
        <stp/>
        <stp>BDH|9920079703304675939</stp>
        <tr r="AU86" s="10"/>
      </tp>
      <tp t="e">
        <v>#N/A</v>
        <stp/>
        <stp>BDH|3085051768305174446</stp>
        <tr r="U3" s="10"/>
      </tp>
      <tp t="e">
        <v>#N/A</v>
        <stp/>
        <stp>BDH|7881237656947741328</stp>
        <tr r="AD162" s="10"/>
      </tp>
      <tp t="e">
        <v>#N/A</v>
        <stp/>
        <stp>BDH|9561085244901237836</stp>
        <tr r="G85" s="10"/>
      </tp>
      <tp t="e">
        <v>#N/A</v>
        <stp/>
        <stp>BDH|7917958397154621755</stp>
        <tr r="AH110" s="10"/>
      </tp>
      <tp t="e">
        <v>#N/A</v>
        <stp/>
        <stp>BDH|7950145625910324034</stp>
        <tr r="AC155" s="10"/>
      </tp>
      <tp t="s">
        <v>#N/A Requesting Data...3969146934</v>
        <stp/>
        <stp>BDP|5746536959821469002</stp>
        <tr r="F6" s="2"/>
        <tr r="F78" s="2"/>
      </tp>
      <tp t="e">
        <v>#N/A</v>
        <stp/>
        <stp>BDH|1364313375557822663</stp>
        <tr r="P134" s="10"/>
      </tp>
      <tp t="e">
        <v>#N/A</v>
        <stp/>
        <stp>BDH|6592367795618608098</stp>
        <tr r="D76" s="10"/>
      </tp>
      <tp t="e">
        <v>#N/A</v>
        <stp/>
        <stp>BDH|4613532074515157790</stp>
        <tr r="AV11" s="10"/>
      </tp>
      <tp t="e">
        <v>#N/A</v>
        <stp/>
        <stp>BDH|6100539882519067699</stp>
        <tr r="AG182" s="10"/>
      </tp>
      <tp t="e">
        <v>#N/A</v>
        <stp/>
        <stp>BDH|8895148445540228924</stp>
        <tr r="Q167" s="10"/>
      </tp>
      <tp t="e">
        <v>#N/A</v>
        <stp/>
        <stp>BDH|7435587615254023301</stp>
        <tr r="AI32" s="10"/>
      </tp>
      <tp t="e">
        <v>#N/A</v>
        <stp/>
        <stp>BDH|2040320976407437596</stp>
        <tr r="O43" s="10"/>
      </tp>
      <tp t="e">
        <v>#N/A</v>
        <stp/>
        <stp>BDH|3415387231003423400</stp>
        <tr r="AQ174" s="10"/>
      </tp>
      <tp t="e">
        <v>#N/A</v>
        <stp/>
        <stp>BDH|6290018228745737551</stp>
        <tr r="AF12" s="10"/>
      </tp>
      <tp t="e">
        <v>#N/A</v>
        <stp/>
        <stp>BDH|6682813695913809036</stp>
        <tr r="AP122" s="10"/>
      </tp>
      <tp t="e">
        <v>#N/A</v>
        <stp/>
        <stp>BDH|5164648083467799887</stp>
        <tr r="L54" s="10"/>
      </tp>
      <tp t="e">
        <v>#N/A</v>
        <stp/>
        <stp>BDH|8831406283322371216</stp>
        <tr r="AS31" s="10"/>
      </tp>
      <tp t="e">
        <v>#N/A</v>
        <stp/>
        <stp>BDH|6786369216604700491</stp>
        <tr r="I116" s="10"/>
      </tp>
      <tp t="e">
        <v>#N/A</v>
        <stp/>
        <stp>BDH|6583596810194315268</stp>
        <tr r="AL56" s="10"/>
      </tp>
      <tp t="e">
        <v>#N/A</v>
        <stp/>
        <stp>BDH|1717416108135415431</stp>
        <tr r="C112" s="10"/>
      </tp>
      <tp t="e">
        <v>#N/A</v>
        <stp/>
        <stp>BDH|9193291754038474216</stp>
        <tr r="AL20" s="10"/>
      </tp>
      <tp t="e">
        <v>#N/A</v>
        <stp/>
        <stp>BDH|2757071166004648499</stp>
        <tr r="L186" s="10"/>
      </tp>
      <tp t="e">
        <v>#N/A</v>
        <stp/>
        <stp>BDH|2746442544582880462</stp>
        <tr r="AJ177" s="10"/>
      </tp>
      <tp t="e">
        <v>#N/A</v>
        <stp/>
        <stp>BDH|2872319440705702472</stp>
        <tr r="P70" s="10"/>
      </tp>
      <tp t="e">
        <v>#N/A</v>
        <stp/>
        <stp>BDH|2590706034211174391</stp>
        <tr r="S90" s="10"/>
      </tp>
      <tp t="e">
        <v>#N/A</v>
        <stp/>
        <stp>BDH|2465704768003086455</stp>
        <tr r="W32" s="10"/>
      </tp>
      <tp t="e">
        <v>#N/A</v>
        <stp/>
        <stp>BDH|3761762459914066115</stp>
        <tr r="AR136" s="10"/>
      </tp>
      <tp t="e">
        <v>#N/A</v>
        <stp/>
        <stp>BDH|5690674141390854315</stp>
        <tr r="AV44" s="10"/>
      </tp>
      <tp t="s">
        <v>#N/A Requesting Data...3794758594</v>
        <stp/>
        <stp>BDP|2890988172900529895</stp>
        <tr r="D47" s="1"/>
      </tp>
      <tp t="s">
        <v>#N/A Requesting Data...3974425791</v>
        <stp/>
        <stp>BDP|9129290766240595959</stp>
        <tr r="B34" s="1"/>
      </tp>
      <tp t="e">
        <v>#N/A</v>
        <stp/>
        <stp>BDH|4255733420614994169</stp>
        <tr r="AK112" s="10"/>
      </tp>
      <tp t="e">
        <v>#N/A</v>
        <stp/>
        <stp>BDH|5329660851476903436</stp>
        <tr r="AK123" s="10"/>
      </tp>
      <tp t="e">
        <v>#N/A</v>
        <stp/>
        <stp>BDH|6786689945596206664</stp>
        <tr r="R78" s="10"/>
      </tp>
      <tp t="e">
        <v>#N/A</v>
        <stp/>
        <stp>BDH|6846163443333060431</stp>
        <tr r="X50" s="10"/>
      </tp>
      <tp t="e">
        <v>#N/A</v>
        <stp/>
        <stp>BDH|7616321139980190322</stp>
        <tr r="H190" s="10"/>
      </tp>
      <tp t="e">
        <v>#N/A</v>
        <stp/>
        <stp>BDH|4527282618036903525</stp>
        <tr r="AC127" s="10"/>
      </tp>
      <tp t="e">
        <v>#N/A</v>
        <stp/>
        <stp>BDH|4956452862616055400</stp>
        <tr r="AV120" s="10"/>
      </tp>
      <tp t="e">
        <v>#N/A</v>
        <stp/>
        <stp>BDH|6471598850054128624</stp>
        <tr r="AW16" s="10"/>
      </tp>
      <tp t="e">
        <v>#N/A</v>
        <stp/>
        <stp>BDH|5503090513515080514</stp>
        <tr r="AW11" s="10"/>
      </tp>
      <tp t="e">
        <v>#N/A</v>
        <stp/>
        <stp>BDH|5789544817291348493</stp>
        <tr r="Z58" s="10"/>
      </tp>
      <tp t="e">
        <v>#N/A</v>
        <stp/>
        <stp>BDH|9217058091636935215</stp>
        <tr r="AF140" s="10"/>
      </tp>
      <tp t="e">
        <v>#N/A</v>
        <stp/>
        <stp>BDH|2831404154603219408</stp>
        <tr r="AV68" s="10"/>
      </tp>
      <tp t="e">
        <v>#N/A</v>
        <stp/>
        <stp>BDH|6079689477201114207</stp>
        <tr r="E16" s="10"/>
      </tp>
      <tp t="e">
        <v>#N/A</v>
        <stp/>
        <stp>BDH|1013576138342005119</stp>
        <tr r="AM95" s="10"/>
      </tp>
      <tp t="e">
        <v>#N/A</v>
        <stp/>
        <stp>BDH|7110371468805169311</stp>
        <tr r="AS50" s="10"/>
      </tp>
      <tp t="e">
        <v>#N/A</v>
        <stp/>
        <stp>BDH|9262147036257830870</stp>
        <tr r="AI111" s="10"/>
      </tp>
      <tp t="e">
        <v>#N/A</v>
        <stp/>
        <stp>BDH|1840842964628011371</stp>
        <tr r="AF153" s="10"/>
      </tp>
      <tp t="e">
        <v>#N/A</v>
        <stp/>
        <stp>BDH|4962467207411626514</stp>
        <tr r="E12" s="10"/>
      </tp>
      <tp t="e">
        <v>#N/A</v>
        <stp/>
        <stp>BDH|9383946388655339939</stp>
        <tr r="AG105" s="10"/>
      </tp>
      <tp t="e">
        <v>#N/A</v>
        <stp/>
        <stp>BDH|4142552600050275595</stp>
        <tr r="AS160" s="10"/>
      </tp>
      <tp t="e">
        <v>#N/A</v>
        <stp/>
        <stp>BDH|3487540133120549199</stp>
        <tr r="C182" s="10"/>
      </tp>
      <tp t="e">
        <v>#N/A</v>
        <stp/>
        <stp>BDH|9317508098375042449</stp>
        <tr r="E98" s="10"/>
      </tp>
      <tp t="e">
        <v>#N/A</v>
        <stp/>
        <stp>BDH|1419728097119995276</stp>
        <tr r="O112" s="10"/>
      </tp>
      <tp t="e">
        <v>#N/A</v>
        <stp/>
        <stp>BDH|2119481271360701505</stp>
        <tr r="AJ47" s="10"/>
      </tp>
      <tp t="e">
        <v>#N/A</v>
        <stp/>
        <stp>BDH|5378453643353841225</stp>
        <tr r="K149" s="10"/>
      </tp>
      <tp t="e">
        <v>#N/A</v>
        <stp/>
        <stp>BDH|8876857153464141509</stp>
        <tr r="L45" s="10"/>
      </tp>
      <tp t="e">
        <v>#N/A</v>
        <stp/>
        <stp>BDH|2425436507805734787</stp>
        <tr r="N120" s="10"/>
      </tp>
      <tp t="e">
        <v>#N/A</v>
        <stp/>
        <stp>BDH|7544870081012499187</stp>
        <tr r="AG94" s="10"/>
      </tp>
      <tp t="e">
        <v>#N/A</v>
        <stp/>
        <stp>BDH|3830257844855645402</stp>
        <tr r="AQ111" s="10"/>
      </tp>
      <tp t="e">
        <v>#N/A</v>
        <stp/>
        <stp>BDH|6080917485492332185</stp>
        <tr r="S180" s="10"/>
      </tp>
      <tp t="e">
        <v>#N/A</v>
        <stp/>
        <stp>BDH|6988376827583402026</stp>
        <tr r="AT64" s="10"/>
      </tp>
      <tp t="e">
        <v>#N/A</v>
        <stp/>
        <stp>BDH|8471573147449980424</stp>
        <tr r="D167" s="10"/>
      </tp>
      <tp t="e">
        <v>#N/A</v>
        <stp/>
        <stp>BDH|3489739403873238396</stp>
        <tr r="AA147" s="10"/>
      </tp>
      <tp t="e">
        <v>#N/A</v>
        <stp/>
        <stp>BDH|5726339329297420764</stp>
        <tr r="S134" s="10"/>
      </tp>
      <tp t="e">
        <v>#N/A</v>
        <stp/>
        <stp>BDH|6356573875823700391</stp>
        <tr r="AA37" s="10"/>
      </tp>
      <tp t="e">
        <v>#N/A</v>
        <stp/>
        <stp>BDH|2962719948681626495</stp>
        <tr r="AE132" s="10"/>
      </tp>
      <tp t="e">
        <v>#N/A</v>
        <stp/>
        <stp>BDH|9003917558189698801</stp>
        <tr r="E162" s="10"/>
      </tp>
      <tp t="e">
        <v>#N/A</v>
        <stp/>
        <stp>BDH|2936506447585280236</stp>
        <tr r="AP21" s="10"/>
      </tp>
      <tp t="e">
        <v>#N/A</v>
        <stp/>
        <stp>BDH|3788598556024172356</stp>
        <tr r="AM31" s="10"/>
      </tp>
      <tp t="e">
        <v>#N/A</v>
        <stp/>
        <stp>BDH|1918603516245707743</stp>
        <tr r="AD136" s="10"/>
      </tp>
      <tp t="e">
        <v>#N/A</v>
        <stp/>
        <stp>BDH|1955184953579894868</stp>
        <tr r="S133" s="10"/>
      </tp>
      <tp t="e">
        <v>#N/A</v>
        <stp/>
        <stp>BDH|4581909761519167696</stp>
        <tr r="AP12" s="10"/>
      </tp>
      <tp t="e">
        <v>#N/A</v>
        <stp/>
        <stp>BDH|7034341939833460058</stp>
        <tr r="W155" s="10"/>
      </tp>
      <tp t="e">
        <v>#N/A</v>
        <stp/>
        <stp>BDH|6932446915843385471</stp>
        <tr r="AL39" s="10"/>
      </tp>
      <tp t="e">
        <v>#N/A</v>
        <stp/>
        <stp>BDH|7125138588969330356</stp>
        <tr r="H117" s="10"/>
      </tp>
      <tp t="e">
        <v>#N/A</v>
        <stp/>
        <stp>BDH|5764787274959626812</stp>
        <tr r="AG82" s="10"/>
      </tp>
      <tp t="e">
        <v>#N/A</v>
        <stp/>
        <stp>BDH|1892724247594029212</stp>
        <tr r="AS105" s="10"/>
      </tp>
      <tp t="e">
        <v>#N/A</v>
        <stp/>
        <stp>BDH|5846215133669471928</stp>
        <tr r="AF33" s="10"/>
      </tp>
      <tp t="e">
        <v>#N/A</v>
        <stp/>
        <stp>BDH|5526676978917638705</stp>
        <tr r="F179" s="10"/>
      </tp>
      <tp t="e">
        <v>#N/A</v>
        <stp/>
        <stp>BDH|3645032828386172309</stp>
        <tr r="S132" s="10"/>
      </tp>
      <tp t="e">
        <v>#N/A</v>
        <stp/>
        <stp>BDH|4478149598998084045</stp>
        <tr r="H43" s="10"/>
      </tp>
      <tp t="e">
        <v>#N/A</v>
        <stp/>
        <stp>BDH|1531115979066043518</stp>
        <tr r="AS131" s="10"/>
      </tp>
      <tp t="e">
        <v>#N/A</v>
        <stp/>
        <stp>BDH|2790769134635935708</stp>
        <tr r="AA171" s="10"/>
      </tp>
      <tp t="e">
        <v>#N/A</v>
        <stp/>
        <stp>BDH|4789584366742269170</stp>
        <tr r="AH76" s="10"/>
      </tp>
      <tp t="e">
        <v>#N/A</v>
        <stp/>
        <stp>BDH|4008582724306747178</stp>
        <tr r="AI95" s="10"/>
      </tp>
      <tp t="e">
        <v>#N/A</v>
        <stp/>
        <stp>BDH|2795481401274270601</stp>
        <tr r="J76" s="10"/>
      </tp>
      <tp t="e">
        <v>#N/A</v>
        <stp/>
        <stp>BDH|6387197173391684538</stp>
        <tr r="AN95" s="10"/>
      </tp>
      <tp t="e">
        <v>#N/A</v>
        <stp/>
        <stp>BDH|2198354137251917760</stp>
        <tr r="R155" s="10"/>
      </tp>
      <tp t="e">
        <v>#N/A</v>
        <stp/>
        <stp>BDH|5973134426102745067</stp>
        <tr r="AC107" s="10"/>
      </tp>
      <tp t="e">
        <v>#N/A</v>
        <stp/>
        <stp>BDH|8700028328909043706</stp>
        <tr r="AK50" s="10"/>
      </tp>
      <tp t="e">
        <v>#N/A</v>
        <stp/>
        <stp>BDH|5816461121994690343</stp>
        <tr r="AW24" s="10"/>
      </tp>
      <tp t="e">
        <v>#N/A</v>
        <stp/>
        <stp>BDH|8972721962995457808</stp>
        <tr r="J62" s="10"/>
      </tp>
      <tp t="e">
        <v>#N/A</v>
        <stp/>
        <stp>BDH|5561360669721063572</stp>
        <tr r="R139" s="10"/>
      </tp>
      <tp t="e">
        <v>#N/A</v>
        <stp/>
        <stp>BDH|8446287241748762276</stp>
        <tr r="W14" s="10"/>
      </tp>
      <tp t="e">
        <v>#N/A</v>
        <stp/>
        <stp>BDH|3398400208210797316</stp>
        <tr r="AR4" s="10"/>
      </tp>
      <tp t="e">
        <v>#N/A</v>
        <stp/>
        <stp>BDH|1607082109565294089</stp>
        <tr r="AP155" s="10"/>
      </tp>
      <tp t="e">
        <v>#N/A</v>
        <stp/>
        <stp>BDH|6854553121162494759</stp>
        <tr r="G52" s="10"/>
      </tp>
      <tp t="e">
        <v>#N/A</v>
        <stp/>
        <stp>BDH|7581380873985073231</stp>
        <tr r="AJ171" s="10"/>
      </tp>
      <tp t="e">
        <v>#N/A</v>
        <stp/>
        <stp>BDH|5631582240357660752</stp>
        <tr r="AG20" s="10"/>
      </tp>
      <tp t="e">
        <v>#N/A</v>
        <stp/>
        <stp>BDH|1565489830377228528</stp>
        <tr r="AT114" s="10"/>
      </tp>
      <tp t="e">
        <v>#N/A</v>
        <stp/>
        <stp>BDH|3188498555076938095</stp>
        <tr r="V129" s="10"/>
      </tp>
      <tp t="e">
        <v>#N/A</v>
        <stp/>
        <stp>BDH|7816897713052749889</stp>
        <tr r="H11" s="10"/>
      </tp>
      <tp t="e">
        <v>#N/A</v>
        <stp/>
        <stp>BDH|6992563006121089648</stp>
        <tr r="M105" s="10"/>
      </tp>
      <tp t="e">
        <v>#N/A</v>
        <stp/>
        <stp>BDH|5190475725732931572</stp>
        <tr r="AI72" s="10"/>
      </tp>
      <tp t="e">
        <v>#N/A</v>
        <stp/>
        <stp>BDH|7390070304367529482</stp>
        <tr r="O153" s="10"/>
      </tp>
      <tp t="e">
        <v>#N/A</v>
        <stp/>
        <stp>BDH|1139820398657292346</stp>
        <tr r="J191" s="10"/>
      </tp>
      <tp t="e">
        <v>#N/A</v>
        <stp/>
        <stp>BDH|7455118616227701492</stp>
        <tr r="Z133" s="10"/>
      </tp>
      <tp t="e">
        <v>#N/A</v>
        <stp/>
        <stp>BDH|9531888674504435600</stp>
        <tr r="AE187" s="10"/>
      </tp>
      <tp t="e">
        <v>#N/A</v>
        <stp/>
        <stp>BDH|4190672354602891178</stp>
        <tr r="J133" s="10"/>
      </tp>
      <tp t="e">
        <v>#N/A</v>
        <stp/>
        <stp>BDH|8528130786945973040</stp>
        <tr r="C71" s="10"/>
      </tp>
      <tp t="e">
        <v>#N/A</v>
        <stp/>
        <stp>BDH|4543092594931240875</stp>
        <tr r="S82" s="10"/>
      </tp>
      <tp t="e">
        <v>#N/A</v>
        <stp/>
        <stp>BDH|3888622637506599458</stp>
        <tr r="AM75" s="10"/>
      </tp>
      <tp t="e">
        <v>#N/A</v>
        <stp/>
        <stp>BDH|5784221347130764780</stp>
        <tr r="G185" s="10"/>
      </tp>
      <tp t="e">
        <v>#N/A</v>
        <stp/>
        <stp>BDH|6875752079440073298</stp>
        <tr r="AL5" s="10"/>
      </tp>
      <tp t="e">
        <v>#N/A</v>
        <stp/>
        <stp>BDH|4496865022908165232</stp>
        <tr r="AN71" s="10"/>
      </tp>
      <tp t="e">
        <v>#N/A</v>
        <stp/>
        <stp>BDH|3917520796572656991</stp>
        <tr r="G148" s="10"/>
      </tp>
      <tp t="e">
        <v>#N/A</v>
        <stp/>
        <stp>BDH|3732583438788070952</stp>
        <tr r="E193" s="10"/>
      </tp>
      <tp t="e">
        <v>#N/A</v>
        <stp/>
        <stp>BDH|2707063095296478923</stp>
        <tr r="AS25" s="10"/>
      </tp>
      <tp t="e">
        <v>#N/A</v>
        <stp/>
        <stp>BDH|2721535536518168811</stp>
        <tr r="I33" s="10"/>
      </tp>
      <tp t="e">
        <v>#N/A</v>
        <stp/>
        <stp>BDH|2353104908207833014</stp>
        <tr r="AG69" s="10"/>
      </tp>
      <tp t="e">
        <v>#N/A</v>
        <stp/>
        <stp>BDH|2933622427744984679</stp>
        <tr r="S8" s="10"/>
      </tp>
      <tp t="e">
        <v>#N/A</v>
        <stp/>
        <stp>BDH|2196595577900586484</stp>
        <tr r="H46" s="10"/>
      </tp>
      <tp t="e">
        <v>#N/A</v>
        <stp/>
        <stp>BDH|5390242682702566923</stp>
        <tr r="AL72" s="10"/>
      </tp>
      <tp t="e">
        <v>#N/A</v>
        <stp/>
        <stp>BDH|5698766806422141456</stp>
        <tr r="C70" s="10"/>
      </tp>
      <tp t="e">
        <v>#N/A</v>
        <stp/>
        <stp>BDH|3111405349897347091</stp>
        <tr r="AE71" s="10"/>
      </tp>
      <tp t="e">
        <v>#N/A</v>
        <stp/>
        <stp>BDH|2294470120710263050</stp>
        <tr r="V113" s="10"/>
      </tp>
      <tp t="e">
        <v>#N/A</v>
        <stp/>
        <stp>BDH|3684027535660645455</stp>
        <tr r="AB54" s="10"/>
      </tp>
      <tp t="e">
        <v>#N/A</v>
        <stp/>
        <stp>BDH|2629186788239266668</stp>
        <tr r="D84" s="10"/>
      </tp>
      <tp t="e">
        <v>#N/A</v>
        <stp/>
        <stp>BDH|9993908736295816259</stp>
        <tr r="T191" s="10"/>
      </tp>
      <tp t="e">
        <v>#N/A</v>
        <stp/>
        <stp>BDH|6200653731323193454</stp>
        <tr r="AS169" s="10"/>
      </tp>
      <tp t="e">
        <v>#N/A</v>
        <stp/>
        <stp>BDH|6789017994543801885</stp>
        <tr r="J92" s="10"/>
      </tp>
      <tp t="e">
        <v>#N/A</v>
        <stp/>
        <stp>BDH|4032221331439293831</stp>
        <tr r="N152" s="10"/>
      </tp>
      <tp t="s">
        <v>#N/A Requesting Data...3513451965</v>
        <stp/>
        <stp>BDP|4083218663432024616</stp>
        <tr r="O31" s="1"/>
      </tp>
      <tp t="e">
        <v>#N/A</v>
        <stp/>
        <stp>BDH|9105248625665081836</stp>
        <tr r="AC64" s="10"/>
      </tp>
      <tp t="e">
        <v>#N/A</v>
        <stp/>
        <stp>BDH|5437495906732135792</stp>
        <tr r="P25" s="10"/>
      </tp>
      <tp t="e">
        <v>#N/A</v>
        <stp/>
        <stp>BDH|5224192798159522050</stp>
        <tr r="J82" s="10"/>
      </tp>
      <tp t="e">
        <v>#N/A</v>
        <stp/>
        <stp>BDH|9595003882464552118</stp>
        <tr r="Z108" s="10"/>
      </tp>
      <tp t="e">
        <v>#N/A</v>
        <stp/>
        <stp>BDH|9978425403119351084</stp>
        <tr r="AD157" s="10"/>
      </tp>
      <tp t="e">
        <v>#N/A</v>
        <stp/>
        <stp>BDH|5445252114502447022</stp>
        <tr r="W175" s="10"/>
      </tp>
      <tp t="e">
        <v>#N/A</v>
        <stp/>
        <stp>BDH|6557524850036512415</stp>
        <tr r="AI18" s="10"/>
      </tp>
      <tp t="e">
        <v>#N/A</v>
        <stp/>
        <stp>BDH|7258275865517405073</stp>
        <tr r="AG35" s="10"/>
      </tp>
      <tp t="e">
        <v>#N/A</v>
        <stp/>
        <stp>BDH|9678947442946472678</stp>
        <tr r="AE160" s="10"/>
      </tp>
      <tp t="e">
        <v>#N/A</v>
        <stp/>
        <stp>BDH|2508409543716649033</stp>
        <tr r="L80" s="10"/>
      </tp>
      <tp t="e">
        <v>#N/A</v>
        <stp/>
        <stp>BDH|3661377794424357959</stp>
        <tr r="E109" s="10"/>
      </tp>
      <tp t="e">
        <v>#N/A</v>
        <stp/>
        <stp>BDH|5713569830370034720</stp>
        <tr r="AH125" s="10"/>
      </tp>
      <tp t="e">
        <v>#N/A</v>
        <stp/>
        <stp>BDH|4161403951653598261</stp>
        <tr r="AA101" s="10"/>
      </tp>
      <tp t="e">
        <v>#N/A</v>
        <stp/>
        <stp>BDH|2445836597980066736</stp>
        <tr r="R184" s="10"/>
      </tp>
      <tp t="e">
        <v>#N/A</v>
        <stp/>
        <stp>BDH|7537383869887610113</stp>
        <tr r="AV183" s="10"/>
      </tp>
      <tp t="e">
        <v>#N/A</v>
        <stp/>
        <stp>BDH|9302820846677699622</stp>
        <tr r="Q95" s="10"/>
      </tp>
      <tp t="e">
        <v>#N/A</v>
        <stp/>
        <stp>BDH|5050098679831582760</stp>
        <tr r="L112" s="10"/>
      </tp>
      <tp t="e">
        <v>#N/A</v>
        <stp/>
        <stp>BDH|7066767936906348101</stp>
        <tr r="C139" s="10"/>
      </tp>
      <tp t="e">
        <v>#N/A</v>
        <stp/>
        <stp>BDH|1301771624394277418</stp>
        <tr r="AF65" s="10"/>
      </tp>
      <tp t="e">
        <v>#N/A</v>
        <stp/>
        <stp>BDH|5620698064122043383</stp>
        <tr r="AO162" s="10"/>
      </tp>
      <tp t="e">
        <v>#N/A</v>
        <stp/>
        <stp>BDH|1772025177285794765</stp>
        <tr r="U69" s="10"/>
      </tp>
      <tp t="e">
        <v>#N/A</v>
        <stp/>
        <stp>BDH|8249336384836439118</stp>
        <tr r="AC16" s="10"/>
      </tp>
      <tp t="e">
        <v>#N/A</v>
        <stp/>
        <stp>BDH|3299497129819238804</stp>
        <tr r="I71" s="10"/>
      </tp>
      <tp t="e">
        <v>#N/A</v>
        <stp/>
        <stp>BDH|2309537097723652914</stp>
        <tr r="AA170" s="10"/>
      </tp>
      <tp t="e">
        <v>#N/A</v>
        <stp/>
        <stp>BDH|1062120271513271014</stp>
        <tr r="T139" s="10"/>
      </tp>
      <tp t="e">
        <v>#N/A</v>
        <stp/>
        <stp>BDH|5524572056169655827</stp>
        <tr r="AC117" s="10"/>
      </tp>
      <tp t="e">
        <v>#N/A</v>
        <stp/>
        <stp>BDH|5087249725562618376</stp>
        <tr r="AT108" s="10"/>
      </tp>
      <tp t="e">
        <v>#N/A</v>
        <stp/>
        <stp>BDH|8441070517638003540</stp>
        <tr r="AP14" s="10"/>
      </tp>
      <tp t="e">
        <v>#N/A</v>
        <stp/>
        <stp>BDH|4159117760892917599</stp>
        <tr r="AL144" s="10"/>
      </tp>
      <tp t="e">
        <v>#N/A</v>
        <stp/>
        <stp>BDH|5644706806506814083</stp>
        <tr r="AR122" s="10"/>
      </tp>
      <tp t="e">
        <v>#N/A</v>
        <stp/>
        <stp>BDH|5442752433322251704</stp>
        <tr r="AO17" s="10"/>
      </tp>
      <tp t="e">
        <v>#N/A</v>
        <stp/>
        <stp>BDH|5532677466262753337</stp>
        <tr r="M93" s="10"/>
      </tp>
      <tp t="e">
        <v>#N/A</v>
        <stp/>
        <stp>BDH|5276145358241870460</stp>
        <tr r="H14" s="10"/>
      </tp>
      <tp t="e">
        <v>#N/A</v>
        <stp/>
        <stp>BDH|6587769958206901624</stp>
        <tr r="N27" s="10"/>
      </tp>
      <tp t="e">
        <v>#N/A</v>
        <stp/>
        <stp>BDH|8936945309214151157</stp>
        <tr r="X96" s="10"/>
      </tp>
      <tp t="e">
        <v>#N/A</v>
        <stp/>
        <stp>BDH|4226452237135958292</stp>
        <tr r="F187" s="10"/>
      </tp>
      <tp t="e">
        <v>#N/A</v>
        <stp/>
        <stp>BDH|7781953646618477603</stp>
        <tr r="U47" s="10"/>
      </tp>
      <tp t="e">
        <v>#N/A</v>
        <stp/>
        <stp>BDH|7428083588543656828</stp>
        <tr r="R107" s="10"/>
      </tp>
      <tp t="e">
        <v>#N/A</v>
        <stp/>
        <stp>BDH|5687942333089077214</stp>
        <tr r="AM64" s="10"/>
      </tp>
      <tp t="e">
        <v>#N/A</v>
        <stp/>
        <stp>BDH|2883263452629925857</stp>
        <tr r="P92" s="10"/>
      </tp>
      <tp t="e">
        <v>#N/A</v>
        <stp/>
        <stp>BDH|4575033970050457729</stp>
        <tr r="K27" s="10"/>
      </tp>
      <tp t="e">
        <v>#N/A</v>
        <stp/>
        <stp>BDH|6654084063245886150</stp>
        <tr r="M58" s="10"/>
      </tp>
      <tp t="e">
        <v>#N/A</v>
        <stp/>
        <stp>BDH|6914842528889012151</stp>
        <tr r="AQ127" s="10"/>
      </tp>
      <tp t="e">
        <v>#N/A</v>
        <stp/>
        <stp>BDH|7254379995359829087</stp>
        <tr r="E187" s="10"/>
      </tp>
      <tp t="e">
        <v>#N/A</v>
        <stp/>
        <stp>BDH|7391816278324220884</stp>
        <tr r="AN173" s="10"/>
      </tp>
      <tp t="e">
        <v>#N/A</v>
        <stp/>
        <stp>BDH|2554775533222110009</stp>
        <tr r="T22" s="10"/>
      </tp>
      <tp t="e">
        <v>#N/A</v>
        <stp/>
        <stp>BDH|8622275330229087412</stp>
        <tr r="AN154" s="10"/>
      </tp>
      <tp t="e">
        <v>#N/A</v>
        <stp/>
        <stp>BDH|6252272642415543129</stp>
        <tr r="K5" s="10"/>
      </tp>
      <tp t="e">
        <v>#N/A</v>
        <stp/>
        <stp>BDH|7853478400357603090</stp>
        <tr r="Y144" s="10"/>
      </tp>
      <tp t="e">
        <v>#N/A</v>
        <stp/>
        <stp>BDH|3528594149371609724</stp>
        <tr r="Z161" s="10"/>
      </tp>
      <tp t="e">
        <v>#N/A</v>
        <stp/>
        <stp>BDH|4563404635645139204</stp>
        <tr r="AJ134" s="10"/>
      </tp>
      <tp t="e">
        <v>#N/A</v>
        <stp/>
        <stp>BDH|7519461554550361256</stp>
        <tr r="AI115" s="10"/>
      </tp>
      <tp t="e">
        <v>#N/A</v>
        <stp/>
        <stp>BDH|6833397119536015694</stp>
        <tr r="AP113" s="10"/>
      </tp>
      <tp t="e">
        <v>#N/A</v>
        <stp/>
        <stp>BDH|1510496422156623590</stp>
        <tr r="Y82" s="10"/>
      </tp>
      <tp t="e">
        <v>#N/A</v>
        <stp/>
        <stp>BDH|7925886780584340733</stp>
        <tr r="AS180" s="10"/>
      </tp>
      <tp t="e">
        <v>#N/A</v>
        <stp/>
        <stp>BDH|4732437454685322429</stp>
        <tr r="R137" s="10"/>
      </tp>
      <tp t="e">
        <v>#N/A</v>
        <stp/>
        <stp>BDH|3469719613137129666</stp>
        <tr r="S19" s="10"/>
      </tp>
      <tp t="e">
        <v>#N/A</v>
        <stp/>
        <stp>BDH|3584601580079239067</stp>
        <tr r="Z13" s="10"/>
      </tp>
      <tp t="e">
        <v>#N/A</v>
        <stp/>
        <stp>BDH|2988771562503579484</stp>
        <tr r="AU19" s="10"/>
      </tp>
      <tp t="e">
        <v>#N/A</v>
        <stp/>
        <stp>BDH|4027858039428863356</stp>
        <tr r="M49" s="10"/>
      </tp>
      <tp t="e">
        <v>#N/A</v>
        <stp/>
        <stp>BDH|7346812115993696908</stp>
        <tr r="J12" s="10"/>
      </tp>
      <tp t="e">
        <v>#N/A</v>
        <stp/>
        <stp>BDH|9108261393300579675</stp>
        <tr r="AT153" s="10"/>
      </tp>
      <tp t="e">
        <v>#N/A</v>
        <stp/>
        <stp>BDH|5439585045755815570</stp>
        <tr r="X24" s="10"/>
      </tp>
      <tp t="e">
        <v>#N/A</v>
        <stp/>
        <stp>BDH|1617417066361245652</stp>
        <tr r="M191" s="10"/>
      </tp>
      <tp t="e">
        <v>#N/A</v>
        <stp/>
        <stp>BDH|9126035594176658267</stp>
        <tr r="N32" s="10"/>
      </tp>
      <tp t="e">
        <v>#N/A</v>
        <stp/>
        <stp>BDH|1726743838705852454</stp>
        <tr r="K127" s="10"/>
      </tp>
      <tp t="e">
        <v>#N/A</v>
        <stp/>
        <stp>BDH|3085045144725644608</stp>
        <tr r="AC68" s="10"/>
      </tp>
      <tp t="e">
        <v>#N/A</v>
        <stp/>
        <stp>BDH|2041232738370984745</stp>
        <tr r="AK77" s="10"/>
      </tp>
      <tp t="e">
        <v>#N/A</v>
        <stp/>
        <stp>BDH|2876163069471714069</stp>
        <tr r="C163" s="10"/>
      </tp>
      <tp t="e">
        <v>#N/A</v>
        <stp/>
        <stp>BDH|2130078364031730135</stp>
        <tr r="M178" s="10"/>
      </tp>
      <tp t="e">
        <v>#N/A</v>
        <stp/>
        <stp>BDH|1993288324525088031</stp>
        <tr r="AN107" s="10"/>
      </tp>
      <tp t="e">
        <v>#N/A</v>
        <stp/>
        <stp>BDH|7595561068440413091</stp>
        <tr r="N150" s="10"/>
      </tp>
      <tp t="e">
        <v>#N/A</v>
        <stp/>
        <stp>BDH|1533462512806410636</stp>
        <tr r="AK45" s="10"/>
      </tp>
      <tp t="e">
        <v>#N/A</v>
        <stp/>
        <stp>BDH|4993034789121742939</stp>
        <tr r="AW14" s="10"/>
      </tp>
      <tp t="e">
        <v>#N/A</v>
        <stp/>
        <stp>BDH|5232517624614633260</stp>
        <tr r="I74" s="10"/>
      </tp>
      <tp t="e">
        <v>#N/A</v>
        <stp/>
        <stp>BDH|2898740308585170428</stp>
        <tr r="S76" s="10"/>
      </tp>
      <tp t="e">
        <v>#N/A</v>
        <stp/>
        <stp>BDH|1351670114780768206</stp>
        <tr r="U174" s="10"/>
      </tp>
      <tp t="e">
        <v>#N/A</v>
        <stp/>
        <stp>BDH|1606712232610616147</stp>
        <tr r="R79" s="10"/>
      </tp>
      <tp t="e">
        <v>#N/A</v>
        <stp/>
        <stp>BDH|4004693408996698004</stp>
        <tr r="AS128" s="10"/>
      </tp>
      <tp t="e">
        <v>#N/A</v>
        <stp/>
        <stp>BDH|1214072398878855427</stp>
        <tr r="X187" s="10"/>
      </tp>
      <tp t="e">
        <v>#N/A</v>
        <stp/>
        <stp>BDH|1531243552097431509</stp>
        <tr r="F33" s="10"/>
      </tp>
      <tp t="e">
        <v>#N/A</v>
        <stp/>
        <stp>BDH|3218348827297432122</stp>
        <tr r="AU68" s="10"/>
      </tp>
      <tp t="e">
        <v>#N/A</v>
        <stp/>
        <stp>BDH|1298693929712642335</stp>
        <tr r="D10" s="10"/>
      </tp>
      <tp t="e">
        <v>#N/A</v>
        <stp/>
        <stp>BDH|7510549332850394575</stp>
        <tr r="AB46" s="10"/>
      </tp>
      <tp t="e">
        <v>#N/A</v>
        <stp/>
        <stp>BDH|6990675017366948377</stp>
        <tr r="AK155" s="10"/>
      </tp>
      <tp t="e">
        <v>#N/A</v>
        <stp/>
        <stp>BDH|2067549020270458174</stp>
        <tr r="AJ112" s="10"/>
      </tp>
      <tp t="e">
        <v>#N/A</v>
        <stp/>
        <stp>BDH|5852194862032079449</stp>
        <tr r="E97" s="10"/>
      </tp>
      <tp t="e">
        <v>#N/A</v>
        <stp/>
        <stp>BDH|4201651837897773201</stp>
        <tr r="AO89" s="10"/>
      </tp>
      <tp t="e">
        <v>#N/A</v>
        <stp/>
        <stp>BDH|3718429121796014730</stp>
        <tr r="AE91" s="10"/>
      </tp>
      <tp t="e">
        <v>#N/A</v>
        <stp/>
        <stp>BDH|4536386697692837861</stp>
        <tr r="AC85" s="10"/>
      </tp>
      <tp t="e">
        <v>#N/A</v>
        <stp/>
        <stp>BDH|2178590315683859115</stp>
        <tr r="AQ65" s="10"/>
      </tp>
      <tp t="e">
        <v>#N/A</v>
        <stp/>
        <stp>BDH|3303955354632325952</stp>
        <tr r="AT11" s="10"/>
      </tp>
      <tp t="e">
        <v>#N/A</v>
        <stp/>
        <stp>BDH|4468008639684137788</stp>
        <tr r="Q72" s="10"/>
      </tp>
      <tp t="e">
        <v>#N/A</v>
        <stp/>
        <stp>BDH|7001304411363472212</stp>
        <tr r="X70" s="10"/>
      </tp>
      <tp t="e">
        <v>#N/A</v>
        <stp/>
        <stp>BDH|4737456611100122564</stp>
        <tr r="AE24" s="10"/>
      </tp>
      <tp t="e">
        <v>#N/A</v>
        <stp/>
        <stp>BDH|1363426077325759353</stp>
        <tr r="N110" s="10"/>
      </tp>
      <tp t="e">
        <v>#N/A</v>
        <stp/>
        <stp>BDH|6502154454723631564</stp>
        <tr r="AU29" s="10"/>
      </tp>
      <tp t="e">
        <v>#N/A</v>
        <stp/>
        <stp>BDH|7502371167020338626</stp>
        <tr r="V37" s="10"/>
      </tp>
      <tp t="e">
        <v>#N/A</v>
        <stp/>
        <stp>BDH|2633944041202537921</stp>
        <tr r="C5" s="10"/>
      </tp>
      <tp t="e">
        <v>#N/A</v>
        <stp/>
        <stp>BDH|2544302470991081310</stp>
        <tr r="AQ80" s="10"/>
      </tp>
      <tp t="e">
        <v>#N/A</v>
        <stp/>
        <stp>BDH|1004768132454539558</stp>
        <tr r="C151" s="10"/>
      </tp>
      <tp t="e">
        <v>#N/A</v>
        <stp/>
        <stp>BDH|6726426138907067293</stp>
        <tr r="AN153" s="10"/>
      </tp>
      <tp t="e">
        <v>#N/A</v>
        <stp/>
        <stp>BDH|1228548656086741335</stp>
        <tr r="AR93" s="10"/>
      </tp>
      <tp t="e">
        <v>#N/A</v>
        <stp/>
        <stp>BDH|5832078554041831574</stp>
        <tr r="AH132" s="10"/>
      </tp>
      <tp t="e">
        <v>#N/A</v>
        <stp/>
        <stp>BDH|1108558890500438942</stp>
        <tr r="U130" s="10"/>
      </tp>
      <tp t="e">
        <v>#N/A</v>
        <stp/>
        <stp>BDH|3831241279302367028</stp>
        <tr r="F86" s="10"/>
      </tp>
      <tp t="e">
        <v>#N/A</v>
        <stp/>
        <stp>BDH|6945014461803511786</stp>
        <tr r="D187" s="10"/>
      </tp>
      <tp t="e">
        <v>#N/A</v>
        <stp/>
        <stp>BDH|6168400769885899549</stp>
        <tr r="AL106" s="10"/>
      </tp>
      <tp t="e">
        <v>#N/A</v>
        <stp/>
        <stp>BDH|1588825054410330844</stp>
        <tr r="AF143" s="10"/>
      </tp>
      <tp t="e">
        <v>#N/A</v>
        <stp/>
        <stp>BDH|1112267550122326015</stp>
        <tr r="M160" s="10"/>
      </tp>
      <tp t="e">
        <v>#N/A</v>
        <stp/>
        <stp>BDH|9916752967068910471</stp>
        <tr r="AF49" s="10"/>
      </tp>
      <tp t="e">
        <v>#N/A</v>
        <stp/>
        <stp>BDH|7136509984836506851</stp>
        <tr r="Q187" s="10"/>
      </tp>
      <tp t="e">
        <v>#N/A</v>
        <stp/>
        <stp>BDH|7681554882398197654</stp>
        <tr r="AG138" s="10"/>
      </tp>
      <tp t="e">
        <v>#N/A</v>
        <stp/>
        <stp>BDH|7184171524991105162</stp>
        <tr r="AF60" s="10"/>
      </tp>
      <tp t="e">
        <v>#N/A</v>
        <stp/>
        <stp>BDH|7547206078053017584</stp>
        <tr r="AU58" s="10"/>
      </tp>
      <tp t="e">
        <v>#N/A</v>
        <stp/>
        <stp>BDH|4707862036989482264</stp>
        <tr r="AN99" s="10"/>
      </tp>
      <tp t="e">
        <v>#N/A</v>
        <stp/>
        <stp>BDH|7759428473393296311</stp>
        <tr r="Z134" s="10"/>
      </tp>
      <tp t="e">
        <v>#N/A</v>
        <stp/>
        <stp>BDH|6323614706196700261</stp>
        <tr r="AQ74" s="10"/>
      </tp>
      <tp t="e">
        <v>#N/A</v>
        <stp/>
        <stp>BDH|9107127346170390837</stp>
        <tr r="AG136" s="10"/>
      </tp>
      <tp t="e">
        <v>#N/A</v>
        <stp/>
        <stp>BDH|7070656052678778858</stp>
        <tr r="J174" s="10"/>
      </tp>
      <tp t="e">
        <v>#N/A</v>
        <stp/>
        <stp>BDH|4635433144016037648</stp>
        <tr r="AG77" s="10"/>
      </tp>
      <tp t="e">
        <v>#N/A</v>
        <stp/>
        <stp>BDH|3566111203972333417</stp>
        <tr r="O3" s="10"/>
      </tp>
      <tp t="e">
        <v>#N/A</v>
        <stp/>
        <stp>BDH|6665398058736168235</stp>
        <tr r="AJ9" s="10"/>
      </tp>
      <tp t="e">
        <v>#N/A</v>
        <stp/>
        <stp>BDH|6485075854220240706</stp>
        <tr r="L81" s="10"/>
      </tp>
      <tp t="e">
        <v>#N/A</v>
        <stp/>
        <stp>BDH|1515739182558214230</stp>
        <tr r="D107" s="10"/>
      </tp>
      <tp t="e">
        <v>#N/A</v>
        <stp/>
        <stp>BDH|3163609673240139662</stp>
        <tr r="E146" s="10"/>
      </tp>
      <tp t="e">
        <v>#N/A</v>
        <stp/>
        <stp>BDH|2086546717726428427</stp>
        <tr r="AQ192" s="10"/>
      </tp>
    </main>
    <main first="bofaddin.rtdserver">
      <tp t="e">
        <v>#N/A</v>
        <stp/>
        <stp>BDH|1830413218211935020</stp>
        <tr r="J120" s="10"/>
      </tp>
      <tp t="e">
        <v>#N/A</v>
        <stp/>
        <stp>BDH|5000083832921426248</stp>
        <tr r="AP103" s="10"/>
      </tp>
      <tp t="e">
        <v>#N/A</v>
        <stp/>
        <stp>BDH|2817762357634418174</stp>
        <tr r="G170" s="10"/>
      </tp>
      <tp t="e">
        <v>#N/A</v>
        <stp/>
        <stp>BDH|7316237625290709287</stp>
        <tr r="AB127" s="10"/>
      </tp>
      <tp t="e">
        <v>#N/A</v>
        <stp/>
        <stp>BDH|1830198551419859929</stp>
        <tr r="AU39" s="10"/>
      </tp>
      <tp t="e">
        <v>#N/A</v>
        <stp/>
        <stp>BDH|6846233101982352338</stp>
        <tr r="AR75" s="10"/>
      </tp>
      <tp t="e">
        <v>#N/A</v>
        <stp/>
        <stp>BDH|8582931678240499300</stp>
        <tr r="AL171" s="10"/>
      </tp>
      <tp t="e">
        <v>#N/A</v>
        <stp/>
        <stp>BDH|4769587913195464023</stp>
        <tr r="D152" s="10"/>
      </tp>
      <tp t="e">
        <v>#N/A</v>
        <stp/>
        <stp>BDH|4132796942305465744</stp>
        <tr r="N156" s="10"/>
      </tp>
      <tp t="e">
        <v>#N/A</v>
        <stp/>
        <stp>BDH|9938273573820477938</stp>
        <tr r="AR162" s="10"/>
      </tp>
      <tp t="e">
        <v>#N/A</v>
        <stp/>
        <stp>BDH|1203386570666329635</stp>
        <tr r="G82" s="10"/>
      </tp>
      <tp t="e">
        <v>#N/A</v>
        <stp/>
        <stp>BDH|3861318649550930131</stp>
        <tr r="AR12" s="10"/>
      </tp>
      <tp t="e">
        <v>#N/A</v>
        <stp/>
        <stp>BDH|1901088944710952063</stp>
        <tr r="AG6" s="10"/>
      </tp>
      <tp t="e">
        <v>#N/A</v>
        <stp/>
        <stp>BDH|2149101953580016389</stp>
        <tr r="AS119" s="10"/>
      </tp>
      <tp t="e">
        <v>#N/A</v>
        <stp/>
        <stp>BDH|2790611918283570317</stp>
        <tr r="K84" s="10"/>
      </tp>
      <tp t="e">
        <v>#N/A</v>
        <stp/>
        <stp>BDH|9278179509598708511</stp>
        <tr r="AJ83" s="10"/>
      </tp>
      <tp t="e">
        <v>#N/A</v>
        <stp/>
        <stp>BDH|5577354152777118199</stp>
        <tr r="AF149" s="10"/>
      </tp>
      <tp t="e">
        <v>#N/A</v>
        <stp/>
        <stp>BDH|6563464468381188006</stp>
        <tr r="AR165" s="10"/>
      </tp>
      <tp t="e">
        <v>#N/A</v>
        <stp/>
        <stp>BDH|6268185068344892006</stp>
        <tr r="AP88" s="10"/>
      </tp>
      <tp t="s">
        <v>#N/A Requesting Data...3900738845</v>
        <stp/>
        <stp>BDP|5380370383099576296</stp>
        <tr r="B32" s="1"/>
      </tp>
      <tp t="e">
        <v>#N/A</v>
        <stp/>
        <stp>BDH|2938374406127715347</stp>
        <tr r="C73" s="10"/>
      </tp>
      <tp t="e">
        <v>#N/A</v>
        <stp/>
        <stp>BDH|6725483463026023771</stp>
        <tr r="AJ103" s="10"/>
      </tp>
      <tp t="e">
        <v>#N/A</v>
        <stp/>
        <stp>BDH|5812800884138409837</stp>
        <tr r="AB189" s="10"/>
      </tp>
      <tp t="e">
        <v>#N/A</v>
        <stp/>
        <stp>BDH|6761012928224527503</stp>
        <tr r="AD78" s="10"/>
      </tp>
      <tp t="e">
        <v>#N/A</v>
        <stp/>
        <stp>BDH|1664744108093333026</stp>
        <tr r="V143" s="10"/>
      </tp>
      <tp t="e">
        <v>#N/A</v>
        <stp/>
        <stp>BDH|7147642748819045963</stp>
        <tr r="L122" s="10"/>
      </tp>
      <tp t="e">
        <v>#N/A</v>
        <stp/>
        <stp>BDH|9956163585912011716</stp>
        <tr r="AH54" s="10"/>
      </tp>
      <tp t="e">
        <v>#N/A</v>
        <stp/>
        <stp>BDH|6938957553738032748</stp>
        <tr r="H62" s="10"/>
      </tp>
      <tp t="e">
        <v>#N/A</v>
        <stp/>
        <stp>BDH|8733799411288368375</stp>
        <tr r="AP153" s="10"/>
      </tp>
      <tp t="e">
        <v>#N/A</v>
        <stp/>
        <stp>BDH|7830961424888035113</stp>
        <tr r="AS181" s="10"/>
      </tp>
      <tp t="e">
        <v>#N/A</v>
        <stp/>
        <stp>BDH|6655316277705834238</stp>
        <tr r="AO15" s="10"/>
      </tp>
      <tp t="e">
        <v>#N/A</v>
        <stp/>
        <stp>BDH|2634620974981027789</stp>
        <tr r="AP72" s="10"/>
      </tp>
      <tp t="e">
        <v>#N/A</v>
        <stp/>
        <stp>BDH|5440686532310152574</stp>
        <tr r="N141" s="10"/>
      </tp>
      <tp t="e">
        <v>#N/A</v>
        <stp/>
        <stp>BDH|9734883220457465131</stp>
        <tr r="AM97" s="10"/>
      </tp>
      <tp t="e">
        <v>#N/A</v>
        <stp/>
        <stp>BDH|4909295779122189605</stp>
        <tr r="AG11" s="10"/>
      </tp>
      <tp t="e">
        <v>#N/A</v>
        <stp/>
        <stp>BDH|3916438636190510110</stp>
        <tr r="X95" s="10"/>
      </tp>
      <tp t="e">
        <v>#N/A</v>
        <stp/>
        <stp>BDH|6901222207658052949</stp>
        <tr r="AF81" s="10"/>
      </tp>
      <tp t="e">
        <v>#N/A</v>
        <stp/>
        <stp>BDH|9370004633778166799</stp>
        <tr r="G111" s="10"/>
      </tp>
      <tp t="e">
        <v>#N/A</v>
        <stp/>
        <stp>BDH|9765789222780716923</stp>
        <tr r="AI102" s="10"/>
      </tp>
      <tp t="e">
        <v>#N/A</v>
        <stp/>
        <stp>BDH|7321597485867064876</stp>
        <tr r="AK165" s="10"/>
      </tp>
      <tp t="e">
        <v>#N/A</v>
        <stp/>
        <stp>BDH|7801293807370894066</stp>
        <tr r="V156" s="10"/>
      </tp>
      <tp t="e">
        <v>#N/A</v>
        <stp/>
        <stp>BDH|9147855359849235874</stp>
        <tr r="AD171" s="10"/>
      </tp>
      <tp t="s">
        <v>#N/A Requesting Data...3463596287</v>
        <stp/>
        <stp>BDP|2806269755310017020</stp>
        <tr r="D36" s="6"/>
        <tr r="H25" s="1"/>
      </tp>
      <tp t="s">
        <v>#N/A Requesting Data...4122526838</v>
        <stp/>
        <stp>BDP|3375629959846833399</stp>
        <tr r="B51" s="6"/>
        <tr r="E41" s="1"/>
        <tr r="H133" s="2"/>
      </tp>
      <tp t="e">
        <v>#N/A</v>
        <stp/>
        <stp>BDH|8175294302079327600</stp>
        <tr r="X92" s="10"/>
      </tp>
      <tp t="e">
        <v>#N/A</v>
        <stp/>
        <stp>BDH|9882871476787793476</stp>
        <tr r="AJ192" s="10"/>
      </tp>
      <tp t="e">
        <v>#N/A</v>
        <stp/>
        <stp>BDH|4036003111913807309</stp>
        <tr r="M3" s="10"/>
      </tp>
      <tp t="e">
        <v>#N/A</v>
        <stp/>
        <stp>BDH|2519061691447207997</stp>
        <tr r="N125" s="10"/>
      </tp>
      <tp t="e">
        <v>#N/A</v>
        <stp/>
        <stp>BDH|9549500109379602034</stp>
        <tr r="D18" s="10"/>
      </tp>
      <tp t="e">
        <v>#N/A</v>
        <stp/>
        <stp>BDH|1952018681589598553</stp>
        <tr r="AF159" s="10"/>
      </tp>
      <tp t="e">
        <v>#N/A</v>
        <stp/>
        <stp>BDH|9843267885797124134</stp>
        <tr r="P17" s="10"/>
      </tp>
      <tp t="e">
        <v>#N/A</v>
        <stp/>
        <stp>BDH|2893629506299298879</stp>
        <tr r="AM83" s="10"/>
      </tp>
      <tp t="e">
        <v>#N/A</v>
        <stp/>
        <stp>BDH|9743236190566946141</stp>
        <tr r="AJ140" s="10"/>
      </tp>
      <tp t="e">
        <v>#N/A</v>
        <stp/>
        <stp>BDH|7129366937075896718</stp>
        <tr r="H186" s="10"/>
      </tp>
      <tp t="e">
        <v>#N/A</v>
        <stp/>
        <stp>BDH|6366390065520203647</stp>
        <tr r="I18" s="10"/>
      </tp>
      <tp t="e">
        <v>#N/A</v>
        <stp/>
        <stp>BDH|2307988282860411646</stp>
        <tr r="Q128" s="10"/>
      </tp>
      <tp t="e">
        <v>#N/A</v>
        <stp/>
        <stp>BDH|6913554873790228147</stp>
        <tr r="K89" s="10"/>
      </tp>
      <tp t="e">
        <v>#N/A</v>
        <stp/>
        <stp>BDH|5558294855276201125</stp>
        <tr r="AD84" s="10"/>
      </tp>
      <tp t="e">
        <v>#N/A</v>
        <stp/>
        <stp>BDH|9664672452518213789</stp>
        <tr r="X60" s="10"/>
      </tp>
      <tp t="e">
        <v>#N/A</v>
        <stp/>
        <stp>BDH|4605893665618655758</stp>
        <tr r="F13" s="10"/>
      </tp>
      <tp t="e">
        <v>#N/A</v>
        <stp/>
        <stp>BDH|8673960856856756781</stp>
        <tr r="AH150" s="10"/>
      </tp>
      <tp t="e">
        <v>#N/A</v>
        <stp/>
        <stp>BDH|2838171968402752299</stp>
        <tr r="AT191" s="10"/>
      </tp>
      <tp t="e">
        <v>#N/A</v>
        <stp/>
        <stp>BDH|5646575555852576283</stp>
        <tr r="R113" s="10"/>
      </tp>
      <tp t="e">
        <v>#N/A</v>
        <stp/>
        <stp>BDH|2008302018393152609</stp>
        <tr r="M193" s="10"/>
      </tp>
      <tp t="e">
        <v>#N/A</v>
        <stp/>
        <stp>BDH|8671069498696379223</stp>
        <tr r="AW115" s="10"/>
      </tp>
      <tp t="e">
        <v>#N/A</v>
        <stp/>
        <stp>BDH|5832616575654175548</stp>
        <tr r="Z68" s="10"/>
      </tp>
      <tp t="e">
        <v>#N/A</v>
        <stp/>
        <stp>BDH|3114748959586226272</stp>
        <tr r="C162" s="10"/>
      </tp>
      <tp t="e">
        <v>#N/A</v>
        <stp/>
        <stp>BDH|2915792803969305996</stp>
        <tr r="K32" s="10"/>
      </tp>
      <tp t="e">
        <v>#N/A</v>
        <stp/>
        <stp>BDH|9481590592251126177</stp>
        <tr r="F102" s="10"/>
      </tp>
      <tp t="e">
        <v>#N/A</v>
        <stp/>
        <stp>BDH|6442298806022735350</stp>
        <tr r="Q50" s="10"/>
      </tp>
      <tp t="e">
        <v>#N/A</v>
        <stp/>
        <stp>BDH|3208506910970979226</stp>
        <tr r="N119" s="10"/>
      </tp>
      <tp t="s">
        <v>#N/A Requesting Data...3881581710</v>
        <stp/>
        <stp>BDP|8853968155350645132</stp>
        <tr r="D48" s="1"/>
      </tp>
      <tp t="s">
        <v>#N/A Requesting Data...4138599112</v>
        <stp/>
        <stp>BDP|4137546136032848556</stp>
        <tr r="B11" s="1"/>
      </tp>
      <tp t="e">
        <v>#N/A</v>
        <stp/>
        <stp>BDH|8513713848196226800</stp>
        <tr r="AJ175" s="10"/>
      </tp>
      <tp t="e">
        <v>#N/A</v>
        <stp/>
        <stp>BDH|1247561849165155020</stp>
        <tr r="AE156" s="10"/>
      </tp>
      <tp t="e">
        <v>#N/A</v>
        <stp/>
        <stp>BDH|7423719926181910648</stp>
        <tr r="Q48" s="10"/>
      </tp>
      <tp t="e">
        <v>#N/A</v>
        <stp/>
        <stp>BDH|5594654251965610690</stp>
        <tr r="N143" s="10"/>
      </tp>
      <tp t="e">
        <v>#N/A</v>
        <stp/>
        <stp>BDH|7993414243970705221</stp>
        <tr r="AI171" s="10"/>
      </tp>
      <tp t="e">
        <v>#N/A</v>
        <stp/>
        <stp>BDH|2149021169230702133</stp>
        <tr r="AQ106" s="10"/>
      </tp>
      <tp t="e">
        <v>#N/A</v>
        <stp/>
        <stp>BDH|1006618842126871058</stp>
        <tr r="Z95" s="10"/>
      </tp>
      <tp t="e">
        <v>#N/A</v>
        <stp/>
        <stp>BDH|7456125317926798486</stp>
        <tr r="AU30" s="10"/>
      </tp>
      <tp t="e">
        <v>#N/A</v>
        <stp/>
        <stp>BDH|4162167349996581256</stp>
        <tr r="V35" s="10"/>
      </tp>
      <tp t="e">
        <v>#N/A</v>
        <stp/>
        <stp>BDH|2225840669930764964</stp>
        <tr r="AV73" s="10"/>
      </tp>
      <tp t="e">
        <v>#N/A</v>
        <stp/>
        <stp>BDH|8206383908238599691</stp>
        <tr r="N131" s="10"/>
      </tp>
      <tp t="e">
        <v>#N/A</v>
        <stp/>
        <stp>BDH|7991529757200797251</stp>
        <tr r="X4" s="10"/>
      </tp>
      <tp t="e">
        <v>#N/A</v>
        <stp/>
        <stp>BDH|5349186619223447388</stp>
        <tr r="Y110" s="10"/>
      </tp>
      <tp t="e">
        <v>#N/A</v>
        <stp/>
        <stp>BDH|8956833214806352234</stp>
        <tr r="L100" s="10"/>
      </tp>
      <tp t="e">
        <v>#N/A</v>
        <stp/>
        <stp>BDH|5082275258267663068</stp>
        <tr r="U165" s="10"/>
      </tp>
      <tp t="e">
        <v>#N/A</v>
        <stp/>
        <stp>BDH|2384589749137553184</stp>
        <tr r="D128" s="10"/>
      </tp>
      <tp t="e">
        <v>#N/A</v>
        <stp/>
        <stp>BDH|5645807440984193883</stp>
        <tr r="AJ179" s="10"/>
      </tp>
      <tp t="e">
        <v>#N/A</v>
        <stp/>
        <stp>BDH|3274696774007955096</stp>
        <tr r="M5" s="10"/>
      </tp>
      <tp t="e">
        <v>#N/A</v>
        <stp/>
        <stp>BDH|1122019674431394282</stp>
        <tr r="O164" s="10"/>
      </tp>
      <tp t="e">
        <v>#N/A</v>
        <stp/>
        <stp>BDH|5601662146612845017</stp>
        <tr r="AO134" s="10"/>
      </tp>
      <tp t="e">
        <v>#N/A</v>
        <stp/>
        <stp>BDH|5724313978490028410</stp>
        <tr r="AH104" s="10"/>
      </tp>
      <tp t="e">
        <v>#N/A</v>
        <stp/>
        <stp>BDH|7731413948783664177</stp>
        <tr r="L176" s="10"/>
      </tp>
      <tp t="e">
        <v>#N/A</v>
        <stp/>
        <stp>BDH|3301427457644827315</stp>
        <tr r="AD105" s="10"/>
      </tp>
      <tp t="e">
        <v>#N/A</v>
        <stp/>
        <stp>BDH|2698086875287320779</stp>
        <tr r="AQ39" s="10"/>
      </tp>
      <tp t="e">
        <v>#N/A</v>
        <stp/>
        <stp>BDH|2419944715088343798</stp>
        <tr r="AJ165" s="10"/>
      </tp>
      <tp t="e">
        <v>#N/A</v>
        <stp/>
        <stp>BDH|4768566843790871059</stp>
        <tr r="I80" s="10"/>
      </tp>
      <tp t="e">
        <v>#N/A</v>
        <stp/>
        <stp>BDH|7734511308386285130</stp>
        <tr r="X93" s="10"/>
      </tp>
      <tp t="e">
        <v>#N/A</v>
        <stp/>
        <stp>BDH|1510441979860301740</stp>
        <tr r="I113" s="10"/>
      </tp>
      <tp t="e">
        <v>#N/A</v>
        <stp/>
        <stp>BDH|3123627817582831339</stp>
        <tr r="S18" s="10"/>
      </tp>
      <tp t="e">
        <v>#N/A</v>
        <stp/>
        <stp>BDH|6388429644833316094</stp>
        <tr r="AR72" s="10"/>
      </tp>
      <tp t="e">
        <v>#N/A</v>
        <stp/>
        <stp>BDH|2761289492119382519</stp>
        <tr r="AA118" s="10"/>
      </tp>
      <tp t="e">
        <v>#N/A</v>
        <stp/>
        <stp>BDH|8859860517122491623</stp>
        <tr r="AT100" s="10"/>
      </tp>
      <tp t="s">
        <v>#N/A Requesting Data...4170451158</v>
        <stp/>
        <stp>BDP|5817440847158291854</stp>
        <tr r="F84" s="2"/>
      </tp>
      <tp t="e">
        <v>#N/A</v>
        <stp/>
        <stp>BDH|9048350620969058499</stp>
        <tr r="AF187" s="10"/>
      </tp>
      <tp t="e">
        <v>#N/A</v>
        <stp/>
        <stp>BDH|6047268553815149181</stp>
        <tr r="Z37" s="10"/>
      </tp>
      <tp t="e">
        <v>#N/A</v>
        <stp/>
        <stp>BDH|4989479439404362283</stp>
        <tr r="AE111" s="10"/>
      </tp>
      <tp t="e">
        <v>#N/A</v>
        <stp/>
        <stp>BDH|4335495460531074266</stp>
        <tr r="AC84" s="10"/>
      </tp>
      <tp t="e">
        <v>#N/A</v>
        <stp/>
        <stp>BDH|3259356432996093091</stp>
        <tr r="K47" s="10"/>
      </tp>
      <tp t="e">
        <v>#N/A</v>
        <stp/>
        <stp>BDH|4954091808194069541</stp>
        <tr r="T149" s="10"/>
      </tp>
      <tp t="e">
        <v>#N/A</v>
        <stp/>
        <stp>BDH|3211645718775332415</stp>
        <tr r="AK57" s="10"/>
      </tp>
      <tp t="e">
        <v>#N/A</v>
        <stp/>
        <stp>BDH|1824701664473912692</stp>
        <tr r="AU153" s="10"/>
      </tp>
      <tp t="e">
        <v>#N/A</v>
        <stp/>
        <stp>BDH|4276267738146700676</stp>
        <tr r="AG179" s="10"/>
      </tp>
      <tp t="e">
        <v>#N/A</v>
        <stp/>
        <stp>BDH|2487187156772072168</stp>
        <tr r="Z57" s="10"/>
      </tp>
      <tp t="e">
        <v>#N/A</v>
        <stp/>
        <stp>BDH|7372560073799227984</stp>
        <tr r="Q47" s="10"/>
      </tp>
      <tp t="e">
        <v>#N/A</v>
        <stp/>
        <stp>BDH|5872016036531151228</stp>
        <tr r="AV150" s="10"/>
      </tp>
      <tp t="e">
        <v>#N/A</v>
        <stp/>
        <stp>BDH|5871877791961137032</stp>
        <tr r="Y182" s="10"/>
      </tp>
      <tp t="e">
        <v>#N/A</v>
        <stp/>
        <stp>BDH|7796079750957928051</stp>
        <tr r="AD49" s="10"/>
      </tp>
      <tp t="e">
        <v>#N/A</v>
        <stp/>
        <stp>BDH|1197113677566847436</stp>
        <tr r="P42" s="10"/>
      </tp>
      <tp t="e">
        <v>#N/A</v>
        <stp/>
        <stp>BDH|5124608098598501703</stp>
        <tr r="Z40" s="10"/>
      </tp>
      <tp t="e">
        <v>#N/A</v>
        <stp/>
        <stp>BDH|5717654097357119888</stp>
        <tr r="Q160" s="10"/>
      </tp>
      <tp t="e">
        <v>#N/A</v>
        <stp/>
        <stp>BDH|9932407931679697224</stp>
        <tr r="S150" s="10"/>
      </tp>
      <tp t="s">
        <v>#N/A Requesting Data...3686909126</v>
        <stp/>
        <stp>BDP|4300099755517066326</stp>
        <tr r="O13" s="1"/>
      </tp>
      <tp t="s">
        <v>#N/A Requesting Data...3943266277</v>
        <stp/>
        <stp>BDP|7551874721789979176</stp>
        <tr r="D16" s="1"/>
      </tp>
      <tp t="e">
        <v>#N/A</v>
        <stp/>
        <stp>BDH|7393354018727128729</stp>
        <tr r="AA134" s="10"/>
      </tp>
      <tp t="e">
        <v>#N/A</v>
        <stp/>
        <stp>BDH|6747111915844680784</stp>
        <tr r="AB120" s="10"/>
      </tp>
      <tp t="e">
        <v>#N/A</v>
        <stp/>
        <stp>BDH|7181758991028126491</stp>
        <tr r="AQ152" s="10"/>
      </tp>
      <tp t="e">
        <v>#N/A</v>
        <stp/>
        <stp>BDH|8004228204658848738</stp>
        <tr r="AF13" s="10"/>
      </tp>
      <tp t="e">
        <v>#N/A</v>
        <stp/>
        <stp>BDH|1603357748180605303</stp>
        <tr r="AF14" s="10"/>
      </tp>
      <tp t="e">
        <v>#N/A</v>
        <stp/>
        <stp>BDH|1348937407365346893</stp>
        <tr r="H122" s="10"/>
      </tp>
      <tp t="e">
        <v>#N/A</v>
        <stp/>
        <stp>BDH|9997857752855079437</stp>
        <tr r="P114" s="10"/>
      </tp>
      <tp t="e">
        <v>#N/A</v>
        <stp/>
        <stp>BDH|3613495002566412449</stp>
        <tr r="AI108" s="10"/>
      </tp>
      <tp t="e">
        <v>#N/A</v>
        <stp/>
        <stp>BDH|8671864337404885227</stp>
        <tr r="AO172" s="10"/>
      </tp>
      <tp t="e">
        <v>#N/A</v>
        <stp/>
        <stp>BDH|7577551009471730639</stp>
        <tr r="L9" s="10"/>
      </tp>
      <tp t="e">
        <v>#N/A</v>
        <stp/>
        <stp>BDH|6932957847628134679</stp>
        <tr r="R105" s="10"/>
      </tp>
      <tp t="e">
        <v>#N/A</v>
        <stp/>
        <stp>BDH|2508518808432768062</stp>
        <tr r="AO121" s="10"/>
      </tp>
      <tp t="e">
        <v>#N/A</v>
        <stp/>
        <stp>BDH|2888607208412485398</stp>
        <tr r="AH38" s="10"/>
      </tp>
      <tp t="e">
        <v>#N/A</v>
        <stp/>
        <stp>BDH|4573171760660821678</stp>
        <tr r="AI161" s="10"/>
      </tp>
      <tp t="e">
        <v>#N/A</v>
        <stp/>
        <stp>BDH|5855192941576468399</stp>
        <tr r="AT163" s="10"/>
      </tp>
      <tp t="e">
        <v>#N/A</v>
        <stp/>
        <stp>BDH|6047098016966730459</stp>
        <tr r="AW64" s="10"/>
      </tp>
      <tp t="e">
        <v>#N/A</v>
        <stp/>
        <stp>BDH|6339450153946428439</stp>
        <tr r="AV133" s="10"/>
      </tp>
      <tp t="e">
        <v>#N/A</v>
        <stp/>
        <stp>BDH|5254917242158434571</stp>
        <tr r="H152" s="10"/>
      </tp>
      <tp t="e">
        <v>#N/A</v>
        <stp/>
        <stp>BDH|6230100922515646543</stp>
        <tr r="AI185" s="10"/>
      </tp>
      <tp t="e">
        <v>#N/A</v>
        <stp/>
        <stp>BDH|8254983255643837250</stp>
        <tr r="O13" s="10"/>
      </tp>
      <tp t="e">
        <v>#N/A</v>
        <stp/>
        <stp>BDH|7131431425417034357</stp>
        <tr r="K185" s="10"/>
      </tp>
      <tp t="e">
        <v>#N/A</v>
        <stp/>
        <stp>BDH|7129738130815588358</stp>
        <tr r="N124" s="10"/>
      </tp>
      <tp t="e">
        <v>#N/A</v>
        <stp/>
        <stp>BDH|7681343275130055659</stp>
        <tr r="X22" s="10"/>
      </tp>
      <tp t="e">
        <v>#N/A</v>
        <stp/>
        <stp>BDH|5431277665652721636</stp>
        <tr r="P31" s="10"/>
      </tp>
      <tp t="e">
        <v>#N/A</v>
        <stp/>
        <stp>BDH|9984795664414631903</stp>
        <tr r="H162" s="10"/>
      </tp>
      <tp t="e">
        <v>#N/A</v>
        <stp/>
        <stp>BDH|6820693070836324403</stp>
        <tr r="Z116" s="10"/>
      </tp>
      <tp t="e">
        <v>#N/A</v>
        <stp/>
        <stp>BDH|7931624755467880646</stp>
        <tr r="AQ85" s="10"/>
      </tp>
      <tp t="e">
        <v>#N/A</v>
        <stp/>
        <stp>BDH|1558898706698140493</stp>
        <tr r="AH164" s="10"/>
      </tp>
      <tp t="e">
        <v>#N/A</v>
        <stp/>
        <stp>BDH|2879660314994160494</stp>
        <tr r="K86" s="10"/>
      </tp>
      <tp t="s">
        <v>#N/A Requesting Data...3565370724</v>
        <stp/>
        <stp>BDP|7462068139673817202</stp>
        <tr r="B22" s="6"/>
        <tr r="E15" s="1"/>
        <tr r="H30" s="2"/>
        <tr r="H37" s="2"/>
        <tr r="H131" s="2"/>
      </tp>
      <tp t="e">
        <v>#N/A</v>
        <stp/>
        <stp>BDH|1877597132584359631</stp>
        <tr r="AH102" s="10"/>
      </tp>
      <tp t="e">
        <v>#N/A</v>
        <stp/>
        <stp>BDH|1899318508173608441</stp>
        <tr r="AK51" s="10"/>
      </tp>
      <tp t="e">
        <v>#N/A</v>
        <stp/>
        <stp>BDH|9122531687589573833</stp>
        <tr r="P137" s="10"/>
      </tp>
      <tp t="e">
        <v>#N/A</v>
        <stp/>
        <stp>BDH|1605712954395911395</stp>
        <tr r="AM153" s="10"/>
      </tp>
      <tp t="e">
        <v>#N/A</v>
        <stp/>
        <stp>BDH|5907232960211112584</stp>
        <tr r="R72" s="10"/>
      </tp>
      <tp t="e">
        <v>#N/A</v>
        <stp/>
        <stp>BDH|7559241355246242356</stp>
        <tr r="Y176" s="10"/>
      </tp>
      <tp t="e">
        <v>#N/A</v>
        <stp/>
        <stp>BDH|4678534036737030003</stp>
        <tr r="N11" s="10"/>
      </tp>
      <tp t="e">
        <v>#N/A</v>
        <stp/>
        <stp>BDH|3133390348711057037</stp>
        <tr r="F157" s="10"/>
      </tp>
      <tp t="e">
        <v>#N/A</v>
        <stp/>
        <stp>BDH|6261446166450228110</stp>
        <tr r="AO174" s="10"/>
      </tp>
      <tp t="e">
        <v>#N/A</v>
        <stp/>
        <stp>BDH|6084802096691046351</stp>
        <tr r="AK26" s="10"/>
      </tp>
      <tp t="e">
        <v>#N/A</v>
        <stp/>
        <stp>BDH|4685431144841402069</stp>
        <tr r="F173" s="10"/>
      </tp>
      <tp t="e">
        <v>#N/A</v>
        <stp/>
        <stp>BDH|1402029654995684470</stp>
        <tr r="U141" s="10"/>
      </tp>
      <tp t="e">
        <v>#N/A</v>
        <stp/>
        <stp>BDH|3577368434932379479</stp>
        <tr r="C21" s="10"/>
      </tp>
      <tp t="e">
        <v>#N/A</v>
        <stp/>
        <stp>BDH|2368114061710788076</stp>
        <tr r="AD50" s="10"/>
      </tp>
      <tp t="e">
        <v>#N/A</v>
        <stp/>
        <stp>BDH|5234194823711381287</stp>
        <tr r="N19" s="10"/>
      </tp>
      <tp t="s">
        <v>#N/A Requesting Data...4080126291</v>
        <stp/>
        <stp>BDP|1885767691619645397</stp>
        <tr r="G23" s="3"/>
        <tr r="G22" s="3"/>
        <tr r="G24" s="3"/>
        <tr r="G25" s="3"/>
        <tr r="G26" s="3"/>
        <tr r="B30" s="6"/>
        <tr r="E35" s="1"/>
        <tr r="H57" s="2"/>
        <tr r="H58" s="2"/>
        <tr r="H62" s="2"/>
        <tr r="H63" s="2"/>
        <tr r="H64" s="2"/>
        <tr r="H105" s="2"/>
        <tr r="H110" s="2"/>
        <tr r="H120" s="2"/>
        <tr r="H121" s="2"/>
        <tr r="H122" s="2"/>
        <tr r="H123" s="2"/>
        <tr r="H124" s="2"/>
        <tr r="H125" s="2"/>
        <tr r="H126" s="2"/>
      </tp>
      <tp t="e">
        <v>#N/A</v>
        <stp/>
        <stp>BDH|4856474181864791991</stp>
        <tr r="AC154" s="10"/>
      </tp>
      <tp t="e">
        <v>#N/A</v>
        <stp/>
        <stp>BDH|2613537225991099107</stp>
        <tr r="G39" s="10"/>
      </tp>
      <tp t="e">
        <v>#N/A</v>
        <stp/>
        <stp>BDH|6919399237836027572</stp>
        <tr r="AH52" s="10"/>
      </tp>
      <tp t="e">
        <v>#N/A</v>
        <stp/>
        <stp>BDH|1206672156694324306</stp>
        <tr r="T157" s="10"/>
      </tp>
      <tp t="e">
        <v>#N/A</v>
        <stp/>
        <stp>BDH|9484320990465505339</stp>
        <tr r="AS118" s="10"/>
      </tp>
      <tp t="e">
        <v>#N/A</v>
        <stp/>
        <stp>BDH|6119294513265969525</stp>
        <tr r="AT179" s="10"/>
      </tp>
      <tp t="e">
        <v>#N/A</v>
        <stp/>
        <stp>BDH|5043703463711725044</stp>
        <tr r="I73" s="10"/>
      </tp>
      <tp t="e">
        <v>#N/A</v>
        <stp/>
        <stp>BDH|5343095107094878450</stp>
        <tr r="Q68" s="10"/>
      </tp>
      <tp t="e">
        <v>#N/A</v>
        <stp/>
        <stp>BDH|4223616845564721715</stp>
        <tr r="I17" s="10"/>
      </tp>
      <tp t="e">
        <v>#N/A</v>
        <stp/>
        <stp>BDH|2495782820733884142</stp>
        <tr r="AN77" s="10"/>
      </tp>
      <tp t="e">
        <v>#N/A</v>
        <stp/>
        <stp>BDH|4380413518176845227</stp>
        <tr r="AW88" s="10"/>
      </tp>
      <tp t="e">
        <v>#N/A</v>
        <stp/>
        <stp>BDH|3575578773274271032</stp>
        <tr r="AW155" s="10"/>
      </tp>
      <tp t="e">
        <v>#N/A</v>
        <stp/>
        <stp>BDH|1280412175250205743</stp>
        <tr r="F22" s="10"/>
      </tp>
      <tp t="e">
        <v>#N/A</v>
        <stp/>
        <stp>BDH|1115368200861692612</stp>
        <tr r="AA172" s="10"/>
      </tp>
      <tp t="e">
        <v>#N/A</v>
        <stp/>
        <stp>BDH|2531886998780303668</stp>
        <tr r="AR117" s="10"/>
      </tp>
      <tp t="e">
        <v>#N/A</v>
        <stp/>
        <stp>BDH|4244428832906087027</stp>
        <tr r="AG14" s="10"/>
      </tp>
      <tp t="e">
        <v>#N/A</v>
        <stp/>
        <stp>BDH|9798474650129035402</stp>
        <tr r="D44" s="10"/>
      </tp>
      <tp t="e">
        <v>#N/A</v>
        <stp/>
        <stp>BDH|8351152909984746885</stp>
        <tr r="AT78" s="10"/>
      </tp>
      <tp t="e">
        <v>#N/A</v>
        <stp/>
        <stp>BDH|9719781547459926619</stp>
        <tr r="AG65" s="10"/>
      </tp>
      <tp t="e">
        <v>#N/A</v>
        <stp/>
        <stp>BDH|4654987959879517439</stp>
        <tr r="K50" s="10"/>
      </tp>
      <tp t="e">
        <v>#N/A</v>
        <stp/>
        <stp>BDH|4651071301500559146</stp>
        <tr r="P130" s="10"/>
      </tp>
      <tp t="e">
        <v>#N/A</v>
        <stp/>
        <stp>BDH|4446668315850260647</stp>
        <tr r="C77" s="10"/>
      </tp>
      <tp t="e">
        <v>#N/A</v>
        <stp/>
        <stp>BDH|8119278442053195845</stp>
        <tr r="J104" s="10"/>
      </tp>
      <tp t="e">
        <v>#N/A</v>
        <stp/>
        <stp>BDH|9951856157753268287</stp>
        <tr r="G31" s="10"/>
      </tp>
      <tp t="e">
        <v>#N/A</v>
        <stp/>
        <stp>BDH|7086254648834403083</stp>
        <tr r="W35" s="10"/>
      </tp>
      <tp t="e">
        <v>#N/A</v>
        <stp/>
        <stp>BDH|7456406625020603465</stp>
        <tr r="AS114" s="10"/>
      </tp>
      <tp t="e">
        <v>#N/A</v>
        <stp/>
        <stp>BDH|3948775492011573980</stp>
        <tr r="AO160" s="10"/>
      </tp>
      <tp t="e">
        <v>#N/A</v>
        <stp/>
        <stp>BDH|1625993614874947835</stp>
        <tr r="AG59" s="10"/>
      </tp>
      <tp t="e">
        <v>#N/A</v>
        <stp/>
        <stp>BDH|3006917281962374522</stp>
        <tr r="AH80" s="10"/>
      </tp>
      <tp t="e">
        <v>#N/A</v>
        <stp/>
        <stp>BDH|1735579797869785111</stp>
        <tr r="AV141" s="10"/>
      </tp>
      <tp t="e">
        <v>#N/A</v>
        <stp/>
        <stp>BDH|7592987500563894848</stp>
        <tr r="AP5" s="10"/>
      </tp>
      <tp t="e">
        <v>#N/A</v>
        <stp/>
        <stp>BDH|2759489965501875432</stp>
        <tr r="Q135" s="10"/>
      </tp>
      <tp t="e">
        <v>#N/A</v>
        <stp/>
        <stp>BDH|5786376053095068324</stp>
        <tr r="U117" s="10"/>
      </tp>
      <tp t="e">
        <v>#N/A</v>
        <stp/>
        <stp>BDH|9367272331368104558</stp>
        <tr r="AR17" s="10"/>
      </tp>
      <tp t="e">
        <v>#N/A</v>
        <stp/>
        <stp>BDH|3703107015751264719</stp>
        <tr r="K91" s="10"/>
      </tp>
      <tp t="e">
        <v>#N/A</v>
        <stp/>
        <stp>BDH|6923491819802104494</stp>
        <tr r="O39" s="10"/>
      </tp>
      <tp t="e">
        <v>#N/A</v>
        <stp/>
        <stp>BDH|5059217526062390254</stp>
        <tr r="AS104" s="10"/>
      </tp>
      <tp t="e">
        <v>#N/A</v>
        <stp/>
        <stp>BDH|4912999025243065942</stp>
        <tr r="AQ19" s="10"/>
      </tp>
      <tp t="s">
        <v>#N/A Requesting Data...4105623652</v>
        <stp/>
        <stp>BDP|2358733214221005027</stp>
        <tr r="E39" s="1"/>
        <tr r="H130" s="2"/>
      </tp>
      <tp t="e">
        <v>#N/A</v>
        <stp/>
        <stp>BDH|3290735073835563313</stp>
        <tr r="AM102" s="10"/>
      </tp>
      <tp t="e">
        <v>#N/A</v>
        <stp/>
        <stp>BDH|2443736333912032129</stp>
        <tr r="AK18" s="10"/>
      </tp>
      <tp t="e">
        <v>#N/A</v>
        <stp/>
        <stp>BDH|7018248843966239233</stp>
        <tr r="Y159" s="10"/>
      </tp>
      <tp t="e">
        <v>#N/A</v>
        <stp/>
        <stp>BDH|2372992301898993644</stp>
        <tr r="AF151" s="10"/>
      </tp>
      <tp t="e">
        <v>#N/A</v>
        <stp/>
        <stp>BDH|6448557192479544600</stp>
        <tr r="C67" s="10"/>
      </tp>
      <tp t="e">
        <v>#N/A</v>
        <stp/>
        <stp>BDH|7772680438520435755</stp>
        <tr r="R38" s="10"/>
      </tp>
      <tp t="e">
        <v>#N/A</v>
        <stp/>
        <stp>BDH|4332919630719206269</stp>
        <tr r="Y127" s="10"/>
      </tp>
      <tp t="e">
        <v>#N/A</v>
        <stp/>
        <stp>BDH|4965290024128618941</stp>
        <tr r="V187" s="10"/>
      </tp>
      <tp t="e">
        <v>#N/A</v>
        <stp/>
        <stp>BDH|1882052937382973558</stp>
        <tr r="Y88" s="10"/>
      </tp>
      <tp t="e">
        <v>#N/A</v>
        <stp/>
        <stp>BDH|7616282948776815283</stp>
        <tr r="H193" s="10"/>
      </tp>
      <tp t="e">
        <v>#N/A</v>
        <stp/>
        <stp>BDH|5785881991009173897</stp>
        <tr r="F104" s="10"/>
      </tp>
      <tp t="e">
        <v>#N/A</v>
        <stp/>
        <stp>BDH|5158212804806017426</stp>
        <tr r="K164" s="10"/>
      </tp>
      <tp t="e">
        <v>#N/A</v>
        <stp/>
        <stp>BDH|6883165213927382484</stp>
        <tr r="AQ16" s="10"/>
      </tp>
      <tp t="e">
        <v>#N/A</v>
        <stp/>
        <stp>BDH|7110121457677782156</stp>
        <tr r="AD174" s="10"/>
      </tp>
      <tp t="e">
        <v>#N/A</v>
        <stp/>
        <stp>BDH|7691685768320658262</stp>
        <tr r="AS14" s="10"/>
      </tp>
      <tp t="e">
        <v>#N/A</v>
        <stp/>
        <stp>BDH|5505406370063594064</stp>
        <tr r="U139" s="10"/>
      </tp>
      <tp t="e">
        <v>#N/A</v>
        <stp/>
        <stp>BDH|7239243241357509349</stp>
        <tr r="D77" s="10"/>
      </tp>
      <tp t="e">
        <v>#N/A</v>
        <stp/>
        <stp>BDH|3169494830932848365</stp>
        <tr r="T53" s="10"/>
      </tp>
      <tp t="e">
        <v>#N/A</v>
        <stp/>
        <stp>BDH|2581201205282411726</stp>
        <tr r="AL115" s="10"/>
      </tp>
      <tp t="e">
        <v>#N/A</v>
        <stp/>
        <stp>BDH|3407131747734298743</stp>
        <tr r="AO106" s="10"/>
      </tp>
      <tp t="e">
        <v>#N/A</v>
        <stp/>
        <stp>BDH|3567961137735299906</stp>
        <tr r="U21" s="10"/>
      </tp>
      <tp t="e">
        <v>#N/A</v>
        <stp/>
        <stp>BDH|2170464451221688766</stp>
        <tr r="Q172" s="10"/>
      </tp>
      <tp t="e">
        <v>#N/A</v>
        <stp/>
        <stp>BDH|5307508271627162556</stp>
        <tr r="AP6" s="10"/>
      </tp>
      <tp t="e">
        <v>#N/A</v>
        <stp/>
        <stp>BDH|1549301992078147611</stp>
        <tr r="L141" s="10"/>
      </tp>
      <tp t="e">
        <v>#N/A</v>
        <stp/>
        <stp>BDH|3227034764417635742</stp>
        <tr r="O146" s="10"/>
      </tp>
      <tp t="e">
        <v>#N/A</v>
        <stp/>
        <stp>BDH|4493385158026763149</stp>
        <tr r="U118" s="10"/>
      </tp>
      <tp t="e">
        <v>#N/A</v>
        <stp/>
        <stp>BDH|8793358561480202867</stp>
        <tr r="AS143" s="10"/>
      </tp>
      <tp t="e">
        <v>#N/A</v>
        <stp/>
        <stp>BDH|9038980246625124482</stp>
        <tr r="AT144" s="10"/>
      </tp>
      <tp t="e">
        <v>#N/A</v>
        <stp/>
        <stp>BDH|4165530074221741264</stp>
        <tr r="AG51" s="10"/>
      </tp>
      <tp t="e">
        <v>#N/A</v>
        <stp/>
        <stp>BDH|3008122816581419772</stp>
        <tr r="X123" s="10"/>
      </tp>
      <tp t="e">
        <v>#N/A</v>
        <stp/>
        <stp>BDH|2950105272516916753</stp>
        <tr r="AU35" s="10"/>
      </tp>
      <tp t="e">
        <v>#N/A</v>
        <stp/>
        <stp>BDH|4384269852117878180</stp>
        <tr r="K46" s="10"/>
      </tp>
      <tp t="e">
        <v>#N/A</v>
        <stp/>
        <stp>BDH|9735639426250063859</stp>
        <tr r="AH145" s="10"/>
      </tp>
      <tp t="e">
        <v>#N/A</v>
        <stp/>
        <stp>BDH|3479668370177007059</stp>
        <tr r="V3" s="10"/>
      </tp>
      <tp t="e">
        <v>#N/A</v>
        <stp/>
        <stp>BDH|9671405672477187826</stp>
        <tr r="Z120" s="10"/>
      </tp>
      <tp t="e">
        <v>#N/A</v>
        <stp/>
        <stp>BDH|5216539501721559422</stp>
        <tr r="AA98" s="10"/>
      </tp>
      <tp t="e">
        <v>#N/A</v>
        <stp/>
        <stp>BDH|2293155742436343417</stp>
        <tr r="U24" s="10"/>
      </tp>
      <tp t="e">
        <v>#N/A</v>
        <stp/>
        <stp>BDH|6075017687852748967</stp>
        <tr r="S5" s="10"/>
      </tp>
      <tp t="e">
        <v>#N/A</v>
        <stp/>
        <stp>BDH|6563279464220265731</stp>
        <tr r="AL165" s="10"/>
      </tp>
      <tp t="e">
        <v>#N/A</v>
        <stp/>
        <stp>BDH|3227821982275727329</stp>
        <tr r="AB167" s="10"/>
      </tp>
      <tp t="e">
        <v>#N/A</v>
        <stp/>
        <stp>BDH|1584159320304108368</stp>
        <tr r="K24" s="10"/>
      </tp>
      <tp t="e">
        <v>#N/A</v>
        <stp/>
        <stp>BDH|5096676232621160433</stp>
        <tr r="M123" s="10"/>
      </tp>
      <tp t="e">
        <v>#N/A</v>
        <stp/>
        <stp>BDH|5719234491293195832</stp>
        <tr r="G159" s="10"/>
      </tp>
      <tp t="e">
        <v>#N/A</v>
        <stp/>
        <stp>BDH|6569743553153189243</stp>
        <tr r="AA28" s="10"/>
      </tp>
      <tp t="e">
        <v>#N/A</v>
        <stp/>
        <stp>BDH|3346213776191589261</stp>
        <tr r="R11" s="10"/>
      </tp>
      <tp t="e">
        <v>#N/A</v>
        <stp/>
        <stp>BDH|3686223462097456551</stp>
        <tr r="AT72" s="10"/>
      </tp>
      <tp t="s">
        <v>#N/A Requesting Data...3713472135</v>
        <stp/>
        <stp>BDP|3281734009336908753</stp>
        <tr r="D54" s="6"/>
        <tr r="H45" s="1"/>
      </tp>
      <tp t="s">
        <v>#N/A Requesting Data...3648001650</v>
        <stp/>
        <stp>BDP|4114838726513330831</stp>
        <tr r="I48" s="1"/>
      </tp>
      <tp t="e">
        <v>#N/A</v>
        <stp/>
        <stp>BDH|4322825426748536360</stp>
        <tr r="AK62" s="10"/>
      </tp>
      <tp t="e">
        <v>#N/A</v>
        <stp/>
        <stp>BDH|5162735087426367922</stp>
        <tr r="Z164" s="10"/>
      </tp>
      <tp t="e">
        <v>#N/A</v>
        <stp/>
        <stp>BDH|7612178574074892093</stp>
        <tr r="AF117" s="10"/>
      </tp>
      <tp t="e">
        <v>#N/A</v>
        <stp/>
        <stp>BDH|6064104719540947347</stp>
        <tr r="AR104" s="10"/>
      </tp>
      <tp t="e">
        <v>#N/A</v>
        <stp/>
        <stp>BDH|9628944444462121334</stp>
        <tr r="Z168" s="10"/>
      </tp>
      <tp t="e">
        <v>#N/A</v>
        <stp/>
        <stp>BDH|5592160413803454303</stp>
        <tr r="AW46" s="10"/>
      </tp>
      <tp t="e">
        <v>#N/A</v>
        <stp/>
        <stp>BDH|5803281823718235852</stp>
        <tr r="T150" s="10"/>
      </tp>
      <tp t="e">
        <v>#N/A</v>
        <stp/>
        <stp>BDH|6979723624974247290</stp>
        <tr r="R27" s="10"/>
      </tp>
      <tp t="e">
        <v>#N/A</v>
        <stp/>
        <stp>BDH|3598900185376354176</stp>
        <tr r="AI192" s="10"/>
      </tp>
      <tp t="e">
        <v>#N/A</v>
        <stp/>
        <stp>BDH|6050946232499049028</stp>
        <tr r="AS43" s="10"/>
      </tp>
      <tp t="e">
        <v>#N/A</v>
        <stp/>
        <stp>BDH|8037002112795353958</stp>
        <tr r="AB163" s="10"/>
      </tp>
      <tp t="e">
        <v>#N/A</v>
        <stp/>
        <stp>BDH|8445438411200368813</stp>
        <tr r="L86" s="10"/>
      </tp>
      <tp t="e">
        <v>#N/A</v>
        <stp/>
        <stp>BDH|6773067633772648208</stp>
        <tr r="AE70" s="10"/>
      </tp>
      <tp t="e">
        <v>#N/A</v>
        <stp/>
        <stp>BDH|1057262300743389512</stp>
        <tr r="AH99" s="10"/>
      </tp>
      <tp t="e">
        <v>#N/A</v>
        <stp/>
        <stp>BDH|6780751276226268521</stp>
        <tr r="H136" s="10"/>
      </tp>
      <tp t="e">
        <v>#N/A</v>
        <stp/>
        <stp>BDH|7343662213495384015</stp>
        <tr r="L21" s="10"/>
      </tp>
      <tp t="e">
        <v>#N/A</v>
        <stp/>
        <stp>BDH|4506454555549476958</stp>
        <tr r="P156" s="10"/>
      </tp>
      <tp t="e">
        <v>#N/A</v>
        <stp/>
        <stp>BDH|5589065416097157618</stp>
        <tr r="T134" s="10"/>
      </tp>
      <tp t="e">
        <v>#N/A</v>
        <stp/>
        <stp>BDH|9531570690331616114</stp>
        <tr r="U95" s="10"/>
      </tp>
      <tp t="e">
        <v>#N/A</v>
        <stp/>
        <stp>BDH|8329124796124074125</stp>
        <tr r="AF62" s="10"/>
      </tp>
      <tp t="e">
        <v>#N/A</v>
        <stp/>
        <stp>BDH|3050974284484523332</stp>
        <tr r="Y22" s="10"/>
      </tp>
      <tp t="e">
        <v>#N/A</v>
        <stp/>
        <stp>BDH|3093941036769039578</stp>
        <tr r="H151" s="10"/>
      </tp>
      <tp t="e">
        <v>#N/A</v>
        <stp/>
        <stp>BDH|1624586118838224819</stp>
        <tr r="AO20" s="10"/>
      </tp>
      <tp t="e">
        <v>#N/A</v>
        <stp/>
        <stp>BDH|6105622755373584362</stp>
        <tr r="AH144" s="10"/>
      </tp>
      <tp t="e">
        <v>#N/A</v>
        <stp/>
        <stp>BDH|5539604364910619023</stp>
        <tr r="AH44" s="10"/>
      </tp>
      <tp t="e">
        <v>#N/A</v>
        <stp/>
        <stp>BDH|6741304200661636149</stp>
        <tr r="AG50" s="10"/>
      </tp>
      <tp t="e">
        <v>#N/A</v>
        <stp/>
        <stp>BDH|1322782421138882976</stp>
        <tr r="E122" s="10"/>
      </tp>
    </main>
    <main first="bofaddin.rtdserver">
      <tp t="e">
        <v>#N/A</v>
        <stp/>
        <stp>BDH|85968410889498946</stp>
        <tr r="Q132" s="10"/>
      </tp>
      <tp t="s">
        <v>#N/A Requesting Data...4242246248</v>
        <stp/>
        <stp>BDP|4136845316049869216</stp>
        <tr r="D22" s="1"/>
      </tp>
      <tp t="e">
        <v>#N/A</v>
        <stp/>
        <stp>BDH|3950490170462812421</stp>
        <tr r="V11" s="10"/>
      </tp>
      <tp t="e">
        <v>#N/A</v>
        <stp/>
        <stp>BDH|6229056096319378080</stp>
        <tr r="AE67" s="10"/>
      </tp>
      <tp t="e">
        <v>#N/A</v>
        <stp/>
        <stp>BDH|5421498646844888799</stp>
        <tr r="S73" s="10"/>
      </tp>
      <tp t="e">
        <v>#N/A</v>
        <stp/>
        <stp>BDH|9830572258649964643</stp>
        <tr r="Y140" s="10"/>
      </tp>
      <tp t="e">
        <v>#N/A</v>
        <stp/>
        <stp>BDH|1351420551085937334</stp>
        <tr r="AI61" s="10"/>
      </tp>
      <tp t="e">
        <v>#N/A</v>
        <stp/>
        <stp>BDH|2319691031764022511</stp>
        <tr r="AU142" s="10"/>
      </tp>
      <tp t="e">
        <v>#N/A</v>
        <stp/>
        <stp>BDH|3732793184303807984</stp>
        <tr r="V80" s="10"/>
      </tp>
      <tp t="e">
        <v>#N/A</v>
        <stp/>
        <stp>BDH|2543782910321763304</stp>
        <tr r="AK24" s="10"/>
      </tp>
      <tp t="e">
        <v>#N/A</v>
        <stp/>
        <stp>BDH|9735107070669553081</stp>
        <tr r="K161" s="10"/>
      </tp>
      <tp t="e">
        <v>#N/A</v>
        <stp/>
        <stp>BDH|7189730208067981196</stp>
        <tr r="J31" s="10"/>
      </tp>
      <tp t="e">
        <v>#N/A</v>
        <stp/>
        <stp>BDH|4425200065607890135</stp>
        <tr r="AB102" s="10"/>
      </tp>
      <tp t="e">
        <v>#N/A</v>
        <stp/>
        <stp>BDH|9784190294815247229</stp>
        <tr r="AM45" s="10"/>
      </tp>
      <tp t="e">
        <v>#N/A</v>
        <stp/>
        <stp>BDH|6591291437462081319</stp>
        <tr r="U57" s="10"/>
      </tp>
      <tp t="e">
        <v>#N/A</v>
        <stp/>
        <stp>BDH|5239509269789988989</stp>
        <tr r="AU100" s="10"/>
      </tp>
      <tp t="e">
        <v>#N/A</v>
        <stp/>
        <stp>BDH|8697171116458809652</stp>
        <tr r="R87" s="10"/>
      </tp>
      <tp t="s">
        <v>#N/A Requesting Data...4138144134</v>
        <stp/>
        <stp>BDP|1024135012875852220</stp>
        <tr r="I28" s="1"/>
      </tp>
      <tp t="e">
        <v>#N/A</v>
        <stp/>
        <stp>BDH|4839625157796746714</stp>
        <tr r="AQ83" s="10"/>
      </tp>
      <tp t="e">
        <v>#N/A</v>
        <stp/>
        <stp>BDH|4296778348883583230</stp>
        <tr r="U80" s="10"/>
      </tp>
      <tp t="e">
        <v>#N/A</v>
        <stp/>
        <stp>BDH|8609886253734279746</stp>
        <tr r="AO186" s="10"/>
      </tp>
      <tp t="e">
        <v>#N/A</v>
        <stp/>
        <stp>BDH|6283530802794999116</stp>
        <tr r="K8" s="10"/>
      </tp>
      <tp t="e">
        <v>#N/A</v>
        <stp/>
        <stp>BDH|7707892476429121727</stp>
        <tr r="L154" s="10"/>
      </tp>
      <tp t="e">
        <v>#N/A</v>
        <stp/>
        <stp>BDH|1631741864413470593</stp>
        <tr r="AE73" s="10"/>
      </tp>
      <tp t="e">
        <v>#N/A</v>
        <stp/>
        <stp>BDH|7610621576761035190</stp>
        <tr r="AI79" s="10"/>
      </tp>
      <tp t="e">
        <v>#N/A</v>
        <stp/>
        <stp>BDH|8408871472228904937</stp>
        <tr r="E63" s="10"/>
      </tp>
      <tp t="e">
        <v>#N/A</v>
        <stp/>
        <stp>BDH|1330019609552703578</stp>
        <tr r="AW158" s="10"/>
      </tp>
      <tp t="e">
        <v>#N/A</v>
        <stp/>
        <stp>BDH|2180919966518938340</stp>
        <tr r="E15" s="10"/>
      </tp>
      <tp t="e">
        <v>#N/A</v>
        <stp/>
        <stp>BDH|9931609345789648411</stp>
        <tr r="H93" s="10"/>
      </tp>
      <tp t="e">
        <v>#N/A</v>
        <stp/>
        <stp>BDH|8941320568819825205</stp>
        <tr r="AO127" s="10"/>
      </tp>
      <tp t="s">
        <v>#N/A Requesting Data...3985632424</v>
        <stp/>
        <stp>BDP|2432614469971699522</stp>
        <tr r="H115" s="2"/>
      </tp>
      <tp t="s">
        <v>#N/A Requesting Data...3898930719</v>
        <stp/>
        <stp>BDP|6051292222288295818</stp>
        <tr r="B7" s="1"/>
      </tp>
      <tp t="e">
        <v>#N/A</v>
        <stp/>
        <stp>BDH|3084430991409859128</stp>
        <tr r="AR186" s="10"/>
      </tp>
      <tp t="e">
        <v>#N/A</v>
        <stp/>
        <stp>BDH|7451532170851777289</stp>
        <tr r="AW75" s="10"/>
      </tp>
      <tp t="e">
        <v>#N/A</v>
        <stp/>
        <stp>BDH|4516596844801382236</stp>
        <tr r="P118" s="10"/>
      </tp>
      <tp t="e">
        <v>#N/A</v>
        <stp/>
        <stp>BDH|2072990593714518070</stp>
        <tr r="T37" s="10"/>
      </tp>
      <tp t="e">
        <v>#N/A</v>
        <stp/>
        <stp>BDH|7375012858225501176</stp>
        <tr r="S161" s="10"/>
      </tp>
      <tp t="e">
        <v>#N/A</v>
        <stp/>
        <stp>BDH|7453720870179655880</stp>
        <tr r="AB115" s="10"/>
      </tp>
      <tp t="e">
        <v>#N/A</v>
        <stp/>
        <stp>BDH|6840105420476105515</stp>
        <tr r="AH97" s="10"/>
      </tp>
      <tp t="e">
        <v>#N/A</v>
        <stp/>
        <stp>BDH|3052221905504953367</stp>
        <tr r="S109" s="10"/>
      </tp>
      <tp t="e">
        <v>#N/A</v>
        <stp/>
        <stp>BDH|1179572153321870652</stp>
        <tr r="W182" s="10"/>
      </tp>
      <tp t="e">
        <v>#N/A</v>
        <stp/>
        <stp>BDH|7601600478072332256</stp>
        <tr r="F121" s="10"/>
      </tp>
      <tp t="e">
        <v>#N/A</v>
        <stp/>
        <stp>BDH|3165527074632832570</stp>
        <tr r="P97" s="10"/>
      </tp>
      <tp t="e">
        <v>#N/A</v>
        <stp/>
        <stp>BDH|5012642268416719532</stp>
        <tr r="AO138" s="10"/>
      </tp>
      <tp t="e">
        <v>#N/A</v>
        <stp/>
        <stp>BDH|7814602443135653651</stp>
        <tr r="AW152" s="10"/>
      </tp>
      <tp t="e">
        <v>#N/A</v>
        <stp/>
        <stp>BDH|9206291838407202993</stp>
        <tr r="F48" s="10"/>
      </tp>
      <tp t="e">
        <v>#N/A</v>
        <stp/>
        <stp>BDH|3270296763835980498</stp>
        <tr r="U88" s="10"/>
      </tp>
      <tp t="e">
        <v>#N/A</v>
        <stp/>
        <stp>BDH|4615020433367781683</stp>
        <tr r="P34" s="10"/>
      </tp>
      <tp t="e">
        <v>#N/A</v>
        <stp/>
        <stp>BDH|4247371868043484414</stp>
        <tr r="AQ61" s="10"/>
      </tp>
      <tp t="e">
        <v>#N/A</v>
        <stp/>
        <stp>BDH|4246662488478283462</stp>
        <tr r="AJ60" s="10"/>
      </tp>
      <tp t="e">
        <v>#N/A</v>
        <stp/>
        <stp>BDH|5164470949057697417</stp>
        <tr r="AS156" s="10"/>
      </tp>
      <tp t="e">
        <v>#N/A</v>
        <stp/>
        <stp>BDH|7142688478267947700</stp>
        <tr r="E67" s="10"/>
      </tp>
      <tp t="e">
        <v>#N/A</v>
        <stp/>
        <stp>BDH|9060624838983548973</stp>
        <tr r="N136" s="10"/>
      </tp>
      <tp t="e">
        <v>#N/A</v>
        <stp/>
        <stp>BDH|4710191832846057641</stp>
        <tr r="D148" s="10"/>
      </tp>
      <tp t="e">
        <v>#N/A</v>
        <stp/>
        <stp>BDH|8574709804691834815</stp>
        <tr r="AQ6" s="10"/>
      </tp>
      <tp t="e">
        <v>#N/A</v>
        <stp/>
        <stp>BDH|2996528452185983199</stp>
        <tr r="AH40" s="10"/>
      </tp>
      <tp t="e">
        <v>#N/A</v>
        <stp/>
        <stp>BDH|2302161038422361473</stp>
        <tr r="AM87" s="10"/>
      </tp>
      <tp t="e">
        <v>#N/A</v>
        <stp/>
        <stp>BDH|1417534967380044492</stp>
        <tr r="S141" s="10"/>
      </tp>
      <tp t="e">
        <v>#N/A</v>
        <stp/>
        <stp>BDH|6831556060553704033</stp>
        <tr r="AN136" s="10"/>
      </tp>
      <tp t="e">
        <v>#N/A</v>
        <stp/>
        <stp>BDH|5660557411881887632</stp>
        <tr r="O73" s="10"/>
      </tp>
      <tp t="e">
        <v>#N/A</v>
        <stp/>
        <stp>BDH|8266627429482391839</stp>
        <tr r="R31" s="10"/>
      </tp>
      <tp t="e">
        <v>#N/A</v>
        <stp/>
        <stp>BDH|3799599264220565660</stp>
        <tr r="C185" s="10"/>
      </tp>
      <tp t="e">
        <v>#N/A</v>
        <stp/>
        <stp>BDH|9810435333779608177</stp>
        <tr r="AJ91" s="10"/>
      </tp>
      <tp t="e">
        <v>#N/A</v>
        <stp/>
        <stp>BDH|3229774254756971110</stp>
        <tr r="P100" s="10"/>
      </tp>
      <tp t="e">
        <v>#N/A</v>
        <stp/>
        <stp>BDH|9621893744646280506</stp>
        <tr r="AK146" s="10"/>
      </tp>
      <tp t="e">
        <v>#N/A</v>
        <stp/>
        <stp>BDH|5045191773966441370</stp>
        <tr r="O168" s="10"/>
      </tp>
      <tp t="e">
        <v>#N/A</v>
        <stp/>
        <stp>BDH|8384840045534230696</stp>
        <tr r="AC59" s="10"/>
      </tp>
      <tp t="e">
        <v>#N/A</v>
        <stp/>
        <stp>BDH|5284661958118717825</stp>
        <tr r="T161" s="10"/>
      </tp>
      <tp t="e">
        <v>#N/A</v>
        <stp/>
        <stp>BDH|3629009417136923217</stp>
        <tr r="C167" s="10"/>
      </tp>
      <tp t="e">
        <v>#N/A</v>
        <stp/>
        <stp>BDH|8110678389711616101</stp>
        <tr r="S86" s="10"/>
      </tp>
      <tp t="e">
        <v>#N/A</v>
        <stp/>
        <stp>BDH|6809165575810453666</stp>
        <tr r="AG159" s="10"/>
      </tp>
      <tp t="e">
        <v>#N/A</v>
        <stp/>
        <stp>BDH|3762692052887573105</stp>
        <tr r="P186" s="10"/>
      </tp>
      <tp t="e">
        <v>#N/A</v>
        <stp/>
        <stp>BDH|8825985466882890306</stp>
        <tr r="AU160" s="10"/>
      </tp>
      <tp t="e">
        <v>#N/A</v>
        <stp/>
        <stp>BDH|2743343918140172643</stp>
        <tr r="AA89" s="10"/>
      </tp>
      <tp t="e">
        <v>#N/A</v>
        <stp/>
        <stp>BDH|5740389985820587818</stp>
        <tr r="K29" s="10"/>
      </tp>
      <tp t="e">
        <v>#N/A</v>
        <stp/>
        <stp>BDH|3313521839244172771</stp>
        <tr r="V57" s="10"/>
      </tp>
      <tp t="e">
        <v>#N/A</v>
        <stp/>
        <stp>BDH|2840223713142686519</stp>
        <tr r="AS13" s="10"/>
      </tp>
      <tp t="e">
        <v>#N/A</v>
        <stp/>
        <stp>BDH|5168661466967805476</stp>
        <tr r="Y112" s="10"/>
      </tp>
      <tp t="e">
        <v>#N/A</v>
        <stp/>
        <stp>BDH|9740958260981592197</stp>
        <tr r="W168" s="10"/>
      </tp>
      <tp t="e">
        <v>#N/A</v>
        <stp/>
        <stp>BDH|5910336533221173268</stp>
        <tr r="O70" s="10"/>
      </tp>
      <tp t="e">
        <v>#N/A</v>
        <stp/>
        <stp>BDH|2269502272912739493</stp>
        <tr r="AJ75" s="10"/>
      </tp>
      <tp t="e">
        <v>#N/A</v>
        <stp/>
        <stp>BDH|1447485881188693356</stp>
        <tr r="AP151" s="10"/>
      </tp>
      <tp t="e">
        <v>#N/A</v>
        <stp/>
        <stp>BDH|5846898989676267542</stp>
        <tr r="H173" s="10"/>
      </tp>
      <tp t="e">
        <v>#N/A</v>
        <stp/>
        <stp>BDH|4864663178135824617</stp>
        <tr r="D89" s="10"/>
      </tp>
      <tp t="e">
        <v>#N/A</v>
        <stp/>
        <stp>BDH|4216024948371653712</stp>
        <tr r="AJ20" s="10"/>
      </tp>
      <tp t="e">
        <v>#N/A</v>
        <stp/>
        <stp>BDH|8328754653525809923</stp>
        <tr r="T26" s="10"/>
      </tp>
      <tp t="e">
        <v>#N/A</v>
        <stp/>
        <stp>BDH|3847204612151444715</stp>
        <tr r="N148" s="10"/>
      </tp>
      <tp t="e">
        <v>#N/A</v>
        <stp/>
        <stp>BDH|1447409059565734358</stp>
        <tr r="AV3" s="10"/>
      </tp>
      <tp t="e">
        <v>#N/A</v>
        <stp/>
        <stp>BDH|3513102428136078020</stp>
        <tr r="O23" s="10"/>
      </tp>
      <tp t="e">
        <v>#N/A</v>
        <stp/>
        <stp>BDH|1921358376501188242</stp>
        <tr r="V60" s="10"/>
      </tp>
      <tp t="e">
        <v>#N/A</v>
        <stp/>
        <stp>BDH|6394256369195996193</stp>
        <tr r="J6" s="10"/>
      </tp>
      <tp t="e">
        <v>#N/A</v>
        <stp/>
        <stp>BDH|3606396471302319320</stp>
        <tr r="O56" s="10"/>
      </tp>
      <tp t="e">
        <v>#N/A</v>
        <stp/>
        <stp>BDH|7750166303331450192</stp>
        <tr r="AW92" s="10"/>
      </tp>
      <tp t="e">
        <v>#N/A</v>
        <stp/>
        <stp>BDH|1295188686039139725</stp>
        <tr r="AW84" s="10"/>
      </tp>
      <tp t="e">
        <v>#N/A</v>
        <stp/>
        <stp>BDH|2420247721587701396</stp>
        <tr r="M103" s="10"/>
      </tp>
      <tp t="e">
        <v>#N/A</v>
        <stp/>
        <stp>BDH|5290126541722648485</stp>
        <tr r="AJ11" s="10"/>
      </tp>
      <tp t="e">
        <v>#N/A</v>
        <stp/>
        <stp>BDH|1978753305102482225</stp>
        <tr r="AK151" s="10"/>
      </tp>
      <tp t="e">
        <v>#N/A</v>
        <stp/>
        <stp>BDH|1763797720122723069</stp>
        <tr r="AS146" s="10"/>
      </tp>
      <tp t="e">
        <v>#N/A</v>
        <stp/>
        <stp>BDH|5728388437253054070</stp>
        <tr r="F181" s="10"/>
      </tp>
      <tp t="e">
        <v>#N/A</v>
        <stp/>
        <stp>BDH|1107740341042840638</stp>
        <tr r="AE147" s="10"/>
      </tp>
      <tp t="e">
        <v>#N/A</v>
        <stp/>
        <stp>BDH|7697025472983869520</stp>
        <tr r="AA129" s="10"/>
      </tp>
      <tp t="e">
        <v>#N/A</v>
        <stp/>
        <stp>BDH|2853019287794294801</stp>
        <tr r="K4" s="10"/>
      </tp>
      <tp t="e">
        <v>#N/A</v>
        <stp/>
        <stp>BDH|2387730255432080491</stp>
        <tr r="E115" s="10"/>
      </tp>
      <tp t="e">
        <v>#N/A</v>
        <stp/>
        <stp>BDH|4697179356660962624</stp>
        <tr r="AP162" s="10"/>
      </tp>
      <tp t="e">
        <v>#N/A</v>
        <stp/>
        <stp>BDH|7032769925437839379</stp>
        <tr r="N86" s="10"/>
      </tp>
      <tp t="e">
        <v>#N/A</v>
        <stp/>
        <stp>BDH|5621905681191270395</stp>
        <tr r="S91" s="10"/>
      </tp>
      <tp t="e">
        <v>#N/A</v>
        <stp/>
        <stp>BDH|2190287229511469589</stp>
        <tr r="AV107" s="10"/>
      </tp>
      <tp t="e">
        <v>#N/A</v>
        <stp/>
        <stp>BDH|2423914204269449497</stp>
        <tr r="AB32" s="10"/>
      </tp>
      <tp t="e">
        <v>#N/A</v>
        <stp/>
        <stp>BDH|6392289095703089828</stp>
        <tr r="AE163" s="10"/>
      </tp>
      <tp t="e">
        <v>#N/A</v>
        <stp/>
        <stp>BDH|2990145743371627044</stp>
        <tr r="C78" s="10"/>
      </tp>
      <tp t="e">
        <v>#N/A</v>
        <stp/>
        <stp>BDH|7894320112693470003</stp>
        <tr r="W17" s="10"/>
      </tp>
      <tp t="e">
        <v>#N/A</v>
        <stp/>
        <stp>BDH|5976152694619397270</stp>
        <tr r="S23" s="10"/>
      </tp>
      <tp t="e">
        <v>#N/A</v>
        <stp/>
        <stp>BDH|4013459069224738473</stp>
        <tr r="AE120" s="10"/>
      </tp>
      <tp t="e">
        <v>#N/A</v>
        <stp/>
        <stp>BDH|8367820322987876372</stp>
        <tr r="AM123" s="10"/>
      </tp>
      <tp t="e">
        <v>#N/A</v>
        <stp/>
        <stp>BDH|2816109963761459237</stp>
        <tr r="C150" s="10"/>
      </tp>
      <tp t="e">
        <v>#N/A</v>
        <stp/>
        <stp>BDH|4965201916494265519</stp>
        <tr r="D118" s="10"/>
      </tp>
      <tp t="e">
        <v>#N/A</v>
        <stp/>
        <stp>BDH|1892109603780431638</stp>
        <tr r="E5" s="10"/>
      </tp>
      <tp t="e">
        <v>#N/A</v>
        <stp/>
        <stp>BDH|3566811018878065406</stp>
        <tr r="AC93" s="10"/>
      </tp>
      <tp t="s">
        <v>#N/A Requesting Data...3981525555</v>
        <stp/>
        <stp>BDP|7865699041275882651</stp>
        <tr r="D48" s="6"/>
        <tr r="H37" s="1"/>
      </tp>
      <tp t="e">
        <v>#N/A</v>
        <stp/>
        <stp>BDH|2160455602012853237</stp>
        <tr r="AQ156" s="10"/>
      </tp>
      <tp t="e">
        <v>#N/A</v>
        <stp/>
        <stp>BDH|6626502219884698040</stp>
        <tr r="O109" s="10"/>
      </tp>
      <tp t="e">
        <v>#N/A</v>
        <stp/>
        <stp>BDH|8968019376900400976</stp>
        <tr r="AH190" s="10"/>
      </tp>
      <tp t="e">
        <v>#N/A</v>
        <stp/>
        <stp>BDH|9751401206949969259</stp>
        <tr r="J69" s="10"/>
      </tp>
      <tp t="e">
        <v>#N/A</v>
        <stp/>
        <stp>BDH|9177387187813488772</stp>
        <tr r="AT123" s="10"/>
      </tp>
      <tp t="e">
        <v>#N/A</v>
        <stp/>
        <stp>BDH|7159496001405064046</stp>
        <tr r="AA23" s="10"/>
      </tp>
      <tp t="e">
        <v>#N/A</v>
        <stp/>
        <stp>BDH|6876757979609168989</stp>
        <tr r="AL8" s="10"/>
      </tp>
      <tp t="e">
        <v>#N/A</v>
        <stp/>
        <stp>BDH|3953379929221360593</stp>
        <tr r="AR40" s="10"/>
      </tp>
      <tp t="e">
        <v>#N/A</v>
        <stp/>
        <stp>BDH|4751056316871114285</stp>
        <tr r="M31" s="10"/>
      </tp>
      <tp t="e">
        <v>#N/A</v>
        <stp/>
        <stp>BDH|2121791738944579483</stp>
        <tr r="T5" s="10"/>
      </tp>
      <tp t="e">
        <v>#N/A</v>
        <stp/>
        <stp>BDH|6165022276716520121</stp>
        <tr r="M145" s="10"/>
      </tp>
      <tp t="e">
        <v>#N/A</v>
        <stp/>
        <stp>BDH|1221527926123600324</stp>
        <tr r="X110" s="10"/>
      </tp>
      <tp t="e">
        <v>#N/A</v>
        <stp/>
        <stp>BDH|9854074249848435309</stp>
        <tr r="AR184" s="10"/>
      </tp>
      <tp t="e">
        <v>#N/A</v>
        <stp/>
        <stp>BDH|4817069856331896621</stp>
        <tr r="Z73" s="10"/>
      </tp>
      <tp t="e">
        <v>#N/A</v>
        <stp/>
        <stp>BDH|4082783500935921032</stp>
        <tr r="AK100" s="10"/>
      </tp>
      <tp t="e">
        <v>#N/A</v>
        <stp/>
        <stp>BDH|3339161954712158324</stp>
        <tr r="AM148" s="10"/>
      </tp>
      <tp t="e">
        <v>#N/A</v>
        <stp/>
        <stp>BDH|4136468576903608256</stp>
        <tr r="T73" s="10"/>
      </tp>
      <tp t="e">
        <v>#N/A</v>
        <stp/>
        <stp>BDH|5643899393802759097</stp>
        <tr r="R127" s="10"/>
      </tp>
      <tp t="e">
        <v>#N/A</v>
        <stp/>
        <stp>BDH|9521930244161427348</stp>
        <tr r="AH162" s="10"/>
      </tp>
      <tp t="e">
        <v>#N/A</v>
        <stp/>
        <stp>BDH|6745903343838266541</stp>
        <tr r="J134" s="10"/>
      </tp>
      <tp t="e">
        <v>#N/A</v>
        <stp/>
        <stp>BDH|7266146245971122501</stp>
        <tr r="Y95" s="10"/>
      </tp>
      <tp t="e">
        <v>#N/A</v>
        <stp/>
        <stp>BDH|1371179671205766407</stp>
        <tr r="X72" s="10"/>
      </tp>
      <tp t="e">
        <v>#N/A</v>
        <stp/>
        <stp>BDH|3927774338240126158</stp>
        <tr r="AL111" s="10"/>
      </tp>
      <tp t="e">
        <v>#N/A</v>
        <stp/>
        <stp>BDH|2598916156428239026</stp>
        <tr r="AR50" s="10"/>
      </tp>
      <tp t="e">
        <v>#N/A</v>
        <stp/>
        <stp>BDH|2357049146553386311</stp>
        <tr r="Y108" s="10"/>
      </tp>
      <tp t="e">
        <v>#N/A</v>
        <stp/>
        <stp>BDH|7660419574804906692</stp>
        <tr r="AO146" s="10"/>
      </tp>
      <tp t="e">
        <v>#N/A</v>
        <stp/>
        <stp>BDH|2914224249085881798</stp>
        <tr r="N6" s="10"/>
      </tp>
      <tp t="e">
        <v>#N/A</v>
        <stp/>
        <stp>BDH|9896982071931470061</stp>
        <tr r="P170" s="10"/>
      </tp>
      <tp t="e">
        <v>#N/A</v>
        <stp/>
        <stp>BDH|3319040004945346038</stp>
        <tr r="G119" s="10"/>
      </tp>
      <tp t="e">
        <v>#N/A</v>
        <stp/>
        <stp>BDH|8942866124204008084</stp>
        <tr r="AB3" s="10"/>
      </tp>
      <tp t="e">
        <v>#N/A</v>
        <stp/>
        <stp>BDH|5835601818572455675</stp>
        <tr r="AF115" s="10"/>
      </tp>
      <tp t="e">
        <v>#N/A</v>
        <stp/>
        <stp>BDH|9643222999022812660</stp>
        <tr r="AR27" s="10"/>
      </tp>
      <tp t="e">
        <v>#N/A</v>
        <stp/>
        <stp>BDH|1912198376943730225</stp>
        <tr r="N171" s="10"/>
      </tp>
      <tp t="e">
        <v>#N/A</v>
        <stp/>
        <stp>BDH|3068044807120422547</stp>
        <tr r="O137" s="10"/>
      </tp>
      <tp t="e">
        <v>#N/A</v>
        <stp/>
        <stp>BDH|3315375334700059530</stp>
        <tr r="AR73" s="10"/>
      </tp>
      <tp t="e">
        <v>#N/A</v>
        <stp/>
        <stp>BDH|3083267884826053914</stp>
        <tr r="L96" s="10"/>
      </tp>
      <tp t="e">
        <v>#N/A</v>
        <stp/>
        <stp>BDH|7528262290332099803</stp>
        <tr r="M50" s="10"/>
      </tp>
      <tp t="e">
        <v>#N/A</v>
        <stp/>
        <stp>BDH|5504583570466965778</stp>
        <tr r="P43" s="10"/>
      </tp>
      <tp t="e">
        <v>#N/A</v>
        <stp/>
        <stp>BDH|5558632506084797145</stp>
        <tr r="C60" s="10"/>
      </tp>
      <tp t="e">
        <v>#N/A</v>
        <stp/>
        <stp>BDH|1330247255212833298</stp>
        <tr r="C159" s="10"/>
      </tp>
      <tp t="e">
        <v>#N/A</v>
        <stp/>
        <stp>BDH|1876197503064396224</stp>
        <tr r="Z78" s="10"/>
      </tp>
      <tp t="e">
        <v>#N/A</v>
        <stp/>
        <stp>BDH|3801920585002946658</stp>
        <tr r="AV118" s="10"/>
      </tp>
      <tp t="e">
        <v>#N/A</v>
        <stp/>
        <stp>BDH|7444529772305430632</stp>
        <tr r="R99" s="10"/>
      </tp>
      <tp t="e">
        <v>#N/A</v>
        <stp/>
        <stp>BDH|8353959823755135076</stp>
        <tr r="AA140" s="10"/>
      </tp>
      <tp t="e">
        <v>#N/A</v>
        <stp/>
        <stp>BDH|6432583959770618037</stp>
        <tr r="M83" s="10"/>
      </tp>
      <tp t="e">
        <v>#N/A</v>
        <stp/>
        <stp>BDH|6572966828449965223</stp>
        <tr r="AO76" s="10"/>
      </tp>
      <tp t="e">
        <v>#N/A</v>
        <stp/>
        <stp>BDH|3700645419105978730</stp>
        <tr r="N90" s="10"/>
      </tp>
      <tp t="e">
        <v>#N/A</v>
        <stp/>
        <stp>BDH|4451242638255118697</stp>
        <tr r="N18" s="10"/>
      </tp>
      <tp t="e">
        <v>#N/A</v>
        <stp/>
        <stp>BDH|9195960673892678322</stp>
        <tr r="L85" s="10"/>
      </tp>
      <tp t="e">
        <v>#N/A</v>
        <stp/>
        <stp>BDH|7075443512916284242</stp>
        <tr r="AR187" s="10"/>
      </tp>
      <tp t="e">
        <v>#N/A</v>
        <stp/>
        <stp>BDH|8938882733063007626</stp>
        <tr r="AF106" s="10"/>
      </tp>
      <tp t="e">
        <v>#N/A</v>
        <stp/>
        <stp>BDH|5407126634740255102</stp>
        <tr r="AT124" s="10"/>
      </tp>
      <tp t="e">
        <v>#N/A</v>
        <stp/>
        <stp>BDH|4005856026240132821</stp>
        <tr r="K170" s="10"/>
      </tp>
      <tp t="e">
        <v>#N/A</v>
        <stp/>
        <stp>BDH|3187564776280405758</stp>
        <tr r="Z174" s="10"/>
      </tp>
      <tp t="e">
        <v>#N/A</v>
        <stp/>
        <stp>BDH|4343728669033850000</stp>
        <tr r="R100" s="10"/>
      </tp>
      <tp t="e">
        <v>#N/A</v>
        <stp/>
        <stp>BDH|1327275998919528595</stp>
        <tr r="AD119" s="10"/>
      </tp>
      <tp t="e">
        <v>#N/A</v>
        <stp/>
        <stp>BDH|6583030361324130260</stp>
        <tr r="AR130" s="10"/>
      </tp>
      <tp t="e">
        <v>#N/A</v>
        <stp/>
        <stp>BDH|5818594141967713570</stp>
        <tr r="X54" s="10"/>
      </tp>
      <tp t="e">
        <v>#N/A</v>
        <stp/>
        <stp>BDH|7589745322704132024</stp>
        <tr r="AK118" s="10"/>
      </tp>
      <tp t="e">
        <v>#N/A</v>
        <stp/>
        <stp>BDH|5508719141523412310</stp>
        <tr r="AB98" s="10"/>
      </tp>
      <tp t="e">
        <v>#N/A</v>
        <stp/>
        <stp>BDH|7144558228557821147</stp>
        <tr r="M54" s="10"/>
      </tp>
      <tp t="s">
        <v>#N/A Requesting Data...4250771565</v>
        <stp/>
        <stp>BDP|6423296536999330894</stp>
        <tr r="O26" s="1"/>
      </tp>
      <tp t="e">
        <v>#N/A</v>
        <stp/>
        <stp>BDH|8311865330714436101</stp>
        <tr r="AC138" s="10"/>
      </tp>
      <tp t="e">
        <v>#N/A</v>
        <stp/>
        <stp>BDH|2853290637024733106</stp>
        <tr r="AU158" s="10"/>
      </tp>
      <tp t="e">
        <v>#N/A</v>
        <stp/>
        <stp>BDH|1490122431913108672</stp>
        <tr r="V72" s="10"/>
      </tp>
      <tp t="e">
        <v>#N/A</v>
        <stp/>
        <stp>BDH|1160813281805492247</stp>
        <tr r="AQ27" s="10"/>
      </tp>
      <tp t="e">
        <v>#N/A</v>
        <stp/>
        <stp>BDH|9010721473828895784</stp>
        <tr r="AV39" s="10"/>
      </tp>
      <tp t="e">
        <v>#N/A</v>
        <stp/>
        <stp>BDH|1430364202402309627</stp>
        <tr r="S112" s="10"/>
      </tp>
      <tp t="e">
        <v>#N/A</v>
        <stp/>
        <stp>BDH|9351101882496836084</stp>
        <tr r="F120" s="10"/>
      </tp>
      <tp t="e">
        <v>#N/A</v>
        <stp/>
        <stp>BDH|6541066407344553402</stp>
        <tr r="AI15" s="10"/>
      </tp>
      <tp t="e">
        <v>#N/A</v>
        <stp/>
        <stp>BDH|6309644013622175543</stp>
        <tr r="AS82" s="10"/>
      </tp>
      <tp t="e">
        <v>#N/A</v>
        <stp/>
        <stp>BDH|5284232823706639555</stp>
        <tr r="AW133" s="10"/>
      </tp>
      <tp t="e">
        <v>#N/A</v>
        <stp/>
        <stp>BDH|3631714276231396436</stp>
        <tr r="AO25" s="10"/>
      </tp>
      <tp t="e">
        <v>#N/A</v>
        <stp/>
        <stp>BDH|8360973997699503779</stp>
        <tr r="O106" s="10"/>
      </tp>
      <tp t="e">
        <v>#N/A</v>
        <stp/>
        <stp>BDH|5413649192389624553</stp>
        <tr r="AQ17" s="10"/>
      </tp>
      <tp t="e">
        <v>#N/A</v>
        <stp/>
        <stp>BDH|4597244819896193781</stp>
        <tr r="I129" s="10"/>
      </tp>
      <tp t="e">
        <v>#N/A</v>
        <stp/>
        <stp>BDH|2826144955026184693</stp>
        <tr r="AP65" s="10"/>
      </tp>
      <tp t="e">
        <v>#N/A</v>
        <stp/>
        <stp>BDH|2479548901345050405</stp>
        <tr r="AS7" s="10"/>
      </tp>
      <tp t="e">
        <v>#N/A</v>
        <stp/>
        <stp>BDH|8422938662677333673</stp>
        <tr r="T77" s="10"/>
      </tp>
      <tp t="e">
        <v>#N/A</v>
        <stp/>
        <stp>BDH|7613125307910380019</stp>
        <tr r="AI182" s="10"/>
      </tp>
      <tp t="e">
        <v>#N/A</v>
        <stp/>
        <stp>BDH|4871285642677689353</stp>
        <tr r="AM52" s="10"/>
      </tp>
      <tp t="e">
        <v>#N/A</v>
        <stp/>
        <stp>BDH|3198500930380744370</stp>
        <tr r="AC6" s="10"/>
      </tp>
      <tp t="e">
        <v>#N/A</v>
        <stp/>
        <stp>BDH|7299941476398129707</stp>
        <tr r="D143" s="10"/>
      </tp>
      <tp t="e">
        <v>#N/A</v>
        <stp/>
        <stp>BDH|3638627116596075447</stp>
        <tr r="J10" s="10"/>
      </tp>
      <tp t="e">
        <v>#N/A</v>
        <stp/>
        <stp>BDH|5690926793185369628</stp>
        <tr r="AK33" s="10"/>
      </tp>
      <tp t="e">
        <v>#N/A</v>
        <stp/>
        <stp>BDH|1842112899159350652</stp>
        <tr r="AQ164" s="10"/>
      </tp>
      <tp t="e">
        <v>#N/A</v>
        <stp/>
        <stp>BDH|1335618451812354664</stp>
        <tr r="I36" s="10"/>
      </tp>
      <tp t="e">
        <v>#N/A</v>
        <stp/>
        <stp>BDH|6042133072426607011</stp>
        <tr r="AO14" s="10"/>
      </tp>
      <tp t="e">
        <v>#N/A</v>
        <stp/>
        <stp>BDH|7738923587857798733</stp>
        <tr r="T107" s="10"/>
      </tp>
      <tp t="e">
        <v>#N/A</v>
        <stp/>
        <stp>BDH|6643144272385185379</stp>
        <tr r="AA46" s="10"/>
      </tp>
      <tp t="e">
        <v>#N/A</v>
        <stp/>
        <stp>BDH|6557020396448259156</stp>
        <tr r="R94" s="10"/>
      </tp>
      <tp t="e">
        <v>#N/A</v>
        <stp/>
        <stp>BDH|2615497197178935171</stp>
        <tr r="L94" s="10"/>
      </tp>
      <tp t="e">
        <v>#N/A</v>
        <stp/>
        <stp>BDH|9807110809609168775</stp>
        <tr r="AE135" s="10"/>
      </tp>
      <tp t="e">
        <v>#N/A</v>
        <stp/>
        <stp>BDH|7501277211752011055</stp>
        <tr r="AA34" s="10"/>
      </tp>
      <tp t="e">
        <v>#N/A</v>
        <stp/>
        <stp>BDH|4541685230345830236</stp>
        <tr r="I128" s="10"/>
      </tp>
      <tp t="e">
        <v>#N/A</v>
        <stp/>
        <stp>BDH|2551728863603255609</stp>
        <tr r="AQ92" s="10"/>
      </tp>
      <tp t="e">
        <v>#N/A</v>
        <stp/>
        <stp>BDH|4862780622844198350</stp>
        <tr r="Z29" s="10"/>
      </tp>
      <tp t="e">
        <v>#N/A</v>
        <stp/>
        <stp>BDH|2502267656450574362</stp>
        <tr r="AF166" s="10"/>
      </tp>
      <tp t="e">
        <v>#N/A</v>
        <stp/>
        <stp>BDH|8467948075190408079</stp>
        <tr r="AC152" s="10"/>
      </tp>
      <tp t="e">
        <v>#N/A</v>
        <stp/>
        <stp>BDH|6514342721258574930</stp>
        <tr r="R12" s="10"/>
      </tp>
      <tp t="e">
        <v>#N/A</v>
        <stp/>
        <stp>BDH|5328715304165035103</stp>
        <tr r="AF47" s="10"/>
      </tp>
      <tp t="e">
        <v>#N/A</v>
        <stp/>
        <stp>BDH|4063125601166629538</stp>
        <tr r="AN6" s="10"/>
      </tp>
      <tp t="e">
        <v>#N/A</v>
        <stp/>
        <stp>BDH|2497909477633287973</stp>
        <tr r="AU84" s="10"/>
      </tp>
      <tp t="e">
        <v>#N/A</v>
        <stp/>
        <stp>BDH|2794241371455162457</stp>
        <tr r="AI38" s="10"/>
      </tp>
      <tp t="e">
        <v>#N/A</v>
        <stp/>
        <stp>BDH|4040249363433812595</stp>
        <tr r="J124" s="10"/>
      </tp>
      <tp t="e">
        <v>#N/A</v>
        <stp/>
        <stp>BDH|3007950620719185723</stp>
        <tr r="AJ121" s="10"/>
      </tp>
      <tp t="e">
        <v>#N/A</v>
        <stp/>
        <stp>BDH|3712566060802351446</stp>
        <tr r="I69" s="10"/>
      </tp>
      <tp t="e">
        <v>#N/A</v>
        <stp/>
        <stp>BDH|6738402478524104788</stp>
        <tr r="AA189" s="10"/>
      </tp>
      <tp t="e">
        <v>#N/A</v>
        <stp/>
        <stp>BDH|7453226026406781710</stp>
        <tr r="AC103" s="10"/>
      </tp>
      <tp t="e">
        <v>#N/A</v>
        <stp/>
        <stp>BDH|2346025645164081426</stp>
        <tr r="F123" s="10"/>
      </tp>
      <tp t="e">
        <v>#N/A</v>
        <stp/>
        <stp>BDH|1139610481901775803</stp>
        <tr r="AM37" s="10"/>
      </tp>
      <tp t="e">
        <v>#N/A</v>
        <stp/>
        <stp>BDH|5608960097013053004</stp>
        <tr r="AN53" s="10"/>
      </tp>
      <tp t="e">
        <v>#N/A</v>
        <stp/>
        <stp>BDH|7430344726206424657</stp>
        <tr r="AW97" s="10"/>
      </tp>
      <tp t="e">
        <v>#N/A</v>
        <stp/>
        <stp>BDH|7339387381522854854</stp>
        <tr r="AV32" s="10"/>
      </tp>
      <tp t="e">
        <v>#N/A</v>
        <stp/>
        <stp>BDH|8900890756334138700</stp>
        <tr r="AO62" s="10"/>
      </tp>
      <tp t="e">
        <v>#N/A</v>
        <stp/>
        <stp>BDH|9812902332515921047</stp>
        <tr r="Y85" s="10"/>
      </tp>
      <tp t="e">
        <v>#N/A</v>
        <stp/>
        <stp>BDH|5392844146367057868</stp>
        <tr r="AH67" s="10"/>
      </tp>
      <tp t="e">
        <v>#N/A</v>
        <stp/>
        <stp>BDH|5257247828631061290</stp>
        <tr r="W74" s="10"/>
      </tp>
      <tp t="e">
        <v>#N/A</v>
        <stp/>
        <stp>BDH|2901090963621014342</stp>
        <tr r="AT47" s="10"/>
      </tp>
      <tp t="e">
        <v>#N/A</v>
        <stp/>
        <stp>BDH|8046596136289103194</stp>
        <tr r="Q70" s="10"/>
      </tp>
      <tp t="e">
        <v>#N/A</v>
        <stp/>
        <stp>BDH|6340772032453765763</stp>
        <tr r="V103" s="10"/>
      </tp>
      <tp t="e">
        <v>#N/A</v>
        <stp/>
        <stp>BDH|7263803574327111901</stp>
        <tr r="I31" s="10"/>
      </tp>
      <tp t="e">
        <v>#N/A</v>
        <stp/>
        <stp>BDH|4221060931639526870</stp>
        <tr r="O126" s="10"/>
      </tp>
      <tp t="e">
        <v>#N/A</v>
        <stp/>
        <stp>BDH|7129191752887412293</stp>
        <tr r="AP89" s="10"/>
      </tp>
      <tp t="e">
        <v>#N/A</v>
        <stp/>
        <stp>BDH|4548656351691244049</stp>
        <tr r="AE118" s="10"/>
      </tp>
      <tp t="e">
        <v>#N/A</v>
        <stp/>
        <stp>BDH|4654613652962607346</stp>
        <tr r="G63" s="10"/>
      </tp>
      <tp t="e">
        <v>#N/A</v>
        <stp/>
        <stp>BDH|6852692293019650639</stp>
        <tr r="P96" s="10"/>
      </tp>
      <tp t="e">
        <v>#N/A</v>
        <stp/>
        <stp>BDH|8121391798360227458</stp>
        <tr r="N116" s="10"/>
      </tp>
      <tp t="e">
        <v>#N/A</v>
        <stp/>
        <stp>BDH|4599453587196539852</stp>
        <tr r="AO144" s="10"/>
      </tp>
      <tp t="e">
        <v>#N/A</v>
        <stp/>
        <stp>BDH|5950581133930343564</stp>
        <tr r="X163" s="10"/>
      </tp>
      <tp t="e">
        <v>#N/A</v>
        <stp/>
        <stp>BDH|7296254907407108458</stp>
        <tr r="N56" s="10"/>
      </tp>
      <tp t="e">
        <v>#N/A</v>
        <stp/>
        <stp>BDH|5278463351454052614</stp>
        <tr r="Y139" s="10"/>
      </tp>
      <tp t="e">
        <v>#N/A</v>
        <stp/>
        <stp>BDH|9410001176401501934</stp>
        <tr r="O158" s="10"/>
      </tp>
      <tp t="e">
        <v>#N/A</v>
        <stp/>
        <stp>BDH|6611632685248102651</stp>
        <tr r="AG8" s="10"/>
      </tp>
      <tp t="e">
        <v>#N/A</v>
        <stp/>
        <stp>BDH|9737771716510107934</stp>
        <tr r="G24" s="10"/>
      </tp>
      <tp t="e">
        <v>#N/A</v>
        <stp/>
        <stp>BDH|5545373627111837392</stp>
        <tr r="AB164" s="10"/>
      </tp>
      <tp t="e">
        <v>#N/A</v>
        <stp/>
        <stp>BDH|3564874993341339565</stp>
        <tr r="AC172" s="10"/>
      </tp>
      <tp t="e">
        <v>#N/A</v>
        <stp/>
        <stp>BDH|7468691361686032785</stp>
        <tr r="M115" s="10"/>
      </tp>
      <tp t="e">
        <v>#N/A</v>
        <stp/>
        <stp>BDH|6522943388667465696</stp>
        <tr r="AP94" s="10"/>
      </tp>
      <tp t="e">
        <v>#N/A</v>
        <stp/>
        <stp>BDH|1640594974033937664</stp>
        <tr r="X39" s="10"/>
      </tp>
      <tp t="e">
        <v>#N/A</v>
        <stp/>
        <stp>BDH|3125975933069517640</stp>
        <tr r="P185" s="10"/>
      </tp>
      <tp t="e">
        <v>#N/A</v>
        <stp/>
        <stp>BDH|6586978790864423423</stp>
        <tr r="AQ103" s="10"/>
      </tp>
      <tp t="e">
        <v>#N/A</v>
        <stp/>
        <stp>BDH|8666815615665692205</stp>
        <tr r="F12" s="10"/>
      </tp>
      <tp t="e">
        <v>#N/A</v>
        <stp/>
        <stp>BDH|8409708991733711367</stp>
        <tr r="AG9" s="10"/>
      </tp>
      <tp t="e">
        <v>#N/A</v>
        <stp/>
        <stp>BDH|1831746824391456389</stp>
        <tr r="W49" s="10"/>
      </tp>
      <tp t="e">
        <v>#N/A</v>
        <stp/>
        <stp>BDH|7862551673821906235</stp>
        <tr r="N192" s="10"/>
      </tp>
      <tp t="e">
        <v>#N/A</v>
        <stp/>
        <stp>BDH|8294341039398947625</stp>
        <tr r="N67" s="10"/>
      </tp>
      <tp t="e">
        <v>#N/A</v>
        <stp/>
        <stp>BDH|6408564600360616508</stp>
        <tr r="AM41" s="10"/>
      </tp>
      <tp t="e">
        <v>#N/A</v>
        <stp/>
        <stp>BDH|4648837910239285228</stp>
        <tr r="X75" s="10"/>
      </tp>
      <tp t="e">
        <v>#N/A</v>
        <stp/>
        <stp>BDH|3558657536365062536</stp>
        <tr r="AW189" s="10"/>
      </tp>
      <tp t="e">
        <v>#N/A</v>
        <stp/>
        <stp>BDH|7422750156274348717</stp>
        <tr r="U37" s="10"/>
      </tp>
      <tp t="e">
        <v>#N/A</v>
        <stp/>
        <stp>BDH|1942181835562003712</stp>
        <tr r="T152" s="10"/>
      </tp>
      <tp t="e">
        <v>#N/A</v>
        <stp/>
        <stp>BDH|6396842585069261959</stp>
        <tr r="F61" s="10"/>
      </tp>
      <tp t="e">
        <v>#N/A</v>
        <stp/>
        <stp>BDH|4379639116127393202</stp>
        <tr r="I102" s="10"/>
      </tp>
      <tp t="e">
        <v>#N/A</v>
        <stp/>
        <stp>BDH|6299911591343758309</stp>
        <tr r="AG87" s="10"/>
      </tp>
      <tp t="e">
        <v>#N/A</v>
        <stp/>
        <stp>BDH|8750316739519967737</stp>
        <tr r="D100" s="10"/>
      </tp>
      <tp t="e">
        <v>#N/A</v>
        <stp/>
        <stp>BDH|3258733330214613522</stp>
        <tr r="S26" s="10"/>
      </tp>
      <tp t="e">
        <v>#N/A</v>
        <stp/>
        <stp>BDH|9204263659300046882</stp>
        <tr r="Q23" s="10"/>
      </tp>
      <tp t="e">
        <v>#N/A</v>
        <stp/>
        <stp>BDH|9984539569918686406</stp>
        <tr r="AQ26" s="10"/>
      </tp>
      <tp t="e">
        <v>#N/A</v>
        <stp/>
        <stp>BDH|6024121432454439612</stp>
        <tr r="AV92" s="10"/>
      </tp>
      <tp t="e">
        <v>#N/A</v>
        <stp/>
        <stp>BDH|2768334527146316354</stp>
        <tr r="O96" s="10"/>
      </tp>
      <tp t="e">
        <v>#N/A</v>
        <stp/>
        <stp>BDH|4798701380514762952</stp>
        <tr r="X16" s="10"/>
      </tp>
      <tp t="e">
        <v>#N/A</v>
        <stp/>
        <stp>BDH|5351447373820913083</stp>
        <tr r="AL192" s="10"/>
      </tp>
      <tp t="e">
        <v>#N/A</v>
        <stp/>
        <stp>BDH|2254458260825160339</stp>
        <tr r="AW66" s="10"/>
      </tp>
      <tp t="e">
        <v>#N/A</v>
        <stp/>
        <stp>BDH|2708663470884240165</stp>
        <tr r="AO123" s="10"/>
      </tp>
      <tp t="e">
        <v>#N/A</v>
        <stp/>
        <stp>BDH|6728938438302823811</stp>
        <tr r="AQ116" s="10"/>
      </tp>
      <tp t="e">
        <v>#N/A</v>
        <stp/>
        <stp>BDH|4006311617820063033</stp>
        <tr r="AI142" s="10"/>
      </tp>
      <tp t="e">
        <v>#N/A</v>
        <stp/>
        <stp>BDH|3553066181599536429</stp>
        <tr r="F91" s="10"/>
      </tp>
    </main>
    <main first="bofaddin.rtdserver">
      <tp t="e">
        <v>#N/A</v>
        <stp/>
        <stp>BDH|62371642944945898</stp>
        <tr r="R122" s="10"/>
      </tp>
      <tp t="e">
        <v>#N/A</v>
        <stp/>
        <stp>BDH|24810831880305036</stp>
        <tr r="AM115" s="10"/>
      </tp>
      <tp t="e">
        <v>#N/A</v>
        <stp/>
        <stp>BDH|66053793280408223</stp>
        <tr r="X164" s="10"/>
      </tp>
      <tp t="e">
        <v>#N/A</v>
        <stp/>
        <stp>BDH|99418256378811203</stp>
        <tr r="O8" s="10"/>
      </tp>
      <tp t="e">
        <v>#N/A</v>
        <stp/>
        <stp>BDH|98393024829621309</stp>
        <tr r="AO35" s="10"/>
      </tp>
      <tp t="e">
        <v>#N/A</v>
        <stp/>
        <stp>BDH|83799229586835805</stp>
        <tr r="AK95" s="10"/>
      </tp>
      <tp t="s">
        <v>#N/A Requesting Data...3809937408</v>
        <stp/>
        <stp>BDP|6183724575201498087</stp>
        <tr r="F25" s="2"/>
        <tr r="F26" s="2"/>
        <tr r="F35" s="2"/>
        <tr r="F40" s="2"/>
        <tr r="F49" s="2"/>
        <tr r="F50" s="2"/>
      </tp>
      <tp t="s">
        <v>#N/A Requesting Data...4188432409</v>
        <stp/>
        <stp>BDP|8561266881530002586</stp>
        <tr r="G12" s="3"/>
        <tr r="B2" s="6"/>
        <tr r="H2" s="2"/>
      </tp>
      <tp t="e">
        <v>#N/A</v>
        <stp/>
        <stp>BDH|8244662098141304157</stp>
        <tr r="AQ102" s="10"/>
      </tp>
      <tp t="e">
        <v>#N/A</v>
        <stp/>
        <stp>BDH|9813311280084783148</stp>
        <tr r="J93" s="10"/>
      </tp>
      <tp t="e">
        <v>#N/A</v>
        <stp/>
        <stp>BDH|7502756470652835220</stp>
        <tr r="Y103" s="10"/>
      </tp>
      <tp t="e">
        <v>#N/A</v>
        <stp/>
        <stp>BDH|4474714978387047477</stp>
        <tr r="AD145" s="10"/>
      </tp>
      <tp t="e">
        <v>#N/A</v>
        <stp/>
        <stp>BDH|2605686832514472426</stp>
        <tr r="J70" s="10"/>
      </tp>
      <tp t="e">
        <v>#N/A</v>
        <stp/>
        <stp>BDH|4417387626620374232</stp>
        <tr r="AU12" s="10"/>
      </tp>
      <tp t="e">
        <v>#N/A</v>
        <stp/>
        <stp>BDH|5049380111481031137</stp>
        <tr r="E36" s="10"/>
      </tp>
      <tp t="e">
        <v>#N/A</v>
        <stp/>
        <stp>BDH|5529621159683109251</stp>
        <tr r="Y34" s="10"/>
      </tp>
      <tp t="e">
        <v>#N/A</v>
        <stp/>
        <stp>BDH|5132813994166740593</stp>
        <tr r="AA9" s="10"/>
      </tp>
      <tp t="e">
        <v>#N/A</v>
        <stp/>
        <stp>BDH|8338822548653191028</stp>
        <tr r="AI160" s="10"/>
      </tp>
      <tp t="e">
        <v>#N/A</v>
        <stp/>
        <stp>BDH|6267718608271363722</stp>
        <tr r="M171" s="10"/>
      </tp>
      <tp t="e">
        <v>#N/A</v>
        <stp/>
        <stp>BDH|6010788445975684710</stp>
        <tr r="AG36" s="10"/>
      </tp>
      <tp t="e">
        <v>#N/A</v>
        <stp/>
        <stp>BDH|6361341387363294986</stp>
        <tr r="AI186" s="10"/>
      </tp>
      <tp t="e">
        <v>#N/A</v>
        <stp/>
        <stp>BDH|3460334447911916230</stp>
        <tr r="O184" s="10"/>
      </tp>
      <tp t="e">
        <v>#N/A</v>
        <stp/>
        <stp>BDH|5622461512181175699</stp>
        <tr r="AO7" s="10"/>
      </tp>
      <tp t="s">
        <v>#N/A Requesting Data...3899444025</v>
        <stp/>
        <stp>BDP|3704959051059111190</stp>
        <tr r="O24" s="1"/>
      </tp>
      <tp t="e">
        <v>#N/A</v>
        <stp/>
        <stp>BDH|6976233959644833200</stp>
        <tr r="R91" s="10"/>
      </tp>
      <tp t="e">
        <v>#N/A</v>
        <stp/>
        <stp>BDH|4607370918841301019</stp>
        <tr r="AE157" s="10"/>
      </tp>
      <tp t="e">
        <v>#N/A</v>
        <stp/>
        <stp>BDH|6329534402133948703</stp>
        <tr r="AN23" s="10"/>
      </tp>
      <tp t="e">
        <v>#N/A</v>
        <stp/>
        <stp>BDH|6288369769147411321</stp>
        <tr r="AP96" s="10"/>
      </tp>
      <tp t="e">
        <v>#N/A</v>
        <stp/>
        <stp>BDH|2533861168229846280</stp>
        <tr r="R5" s="10"/>
      </tp>
      <tp t="e">
        <v>#N/A</v>
        <stp/>
        <stp>BDH|4265289533004381611</stp>
        <tr r="AL185" s="10"/>
      </tp>
      <tp t="e">
        <v>#N/A</v>
        <stp/>
        <stp>BDH|7168645312765553297</stp>
        <tr r="O10" s="10"/>
      </tp>
      <tp t="e">
        <v>#N/A</v>
        <stp/>
        <stp>BDH|6053262870704884050</stp>
        <tr r="AN141" s="10"/>
      </tp>
      <tp t="e">
        <v>#N/A</v>
        <stp/>
        <stp>BDH|7874331226503486220</stp>
        <tr r="O94" s="10"/>
      </tp>
      <tp t="e">
        <v>#N/A</v>
        <stp/>
        <stp>BDH|1932556430321786105</stp>
        <tr r="L31" s="10"/>
      </tp>
      <tp t="s">
        <v>#N/A Requesting Data...3996691261</v>
        <stp/>
        <stp>BDP|7747451648809485966</stp>
        <tr r="G6" s="3"/>
        <tr r="G7" s="3"/>
        <tr r="G33" s="3"/>
        <tr r="G38" s="3"/>
        <tr r="G40" s="3"/>
        <tr r="B19" s="6"/>
        <tr r="E43" s="1"/>
        <tr r="H21" s="2"/>
        <tr r="H23" s="2"/>
        <tr r="H93" s="2"/>
        <tr r="H135" s="2"/>
        <tr r="H140" s="2"/>
        <tr r="H145" s="2"/>
      </tp>
      <tp t="s">
        <v>#N/A Requesting Data...3844215829</v>
        <stp/>
        <stp>BDP|6472344027443604394</stp>
        <tr r="B3" s="6"/>
        <tr r="E2" s="1"/>
        <tr r="H3" s="2"/>
        <tr r="H17" s="2"/>
        <tr r="H54" s="2"/>
      </tp>
      <tp t="e">
        <v>#N/A</v>
        <stp/>
        <stp>BDH|1844607511163033211</stp>
        <tr r="J190" s="10"/>
      </tp>
      <tp t="e">
        <v>#N/A</v>
        <stp/>
        <stp>BDH|2355475374822106498</stp>
        <tr r="J147" s="10"/>
      </tp>
      <tp t="e">
        <v>#N/A</v>
        <stp/>
        <stp>BDH|6479217574436147283</stp>
        <tr r="E51" s="10"/>
      </tp>
      <tp t="e">
        <v>#N/A</v>
        <stp/>
        <stp>BDH|4128006969121130413</stp>
        <tr r="Y54" s="10"/>
      </tp>
      <tp t="e">
        <v>#N/A</v>
        <stp/>
        <stp>BDH|2538048402071295497</stp>
        <tr r="K9" s="10"/>
      </tp>
      <tp t="e">
        <v>#N/A</v>
        <stp/>
        <stp>BDH|3540452038870495341</stp>
        <tr r="AI74" s="10"/>
      </tp>
      <tp t="e">
        <v>#N/A</v>
        <stp/>
        <stp>BDH|6299360336024875527</stp>
        <tr r="Z42" s="10"/>
      </tp>
      <tp t="e">
        <v>#N/A</v>
        <stp/>
        <stp>BDH|1765729248735220071</stp>
        <tr r="O117" s="10"/>
      </tp>
      <tp t="e">
        <v>#N/A</v>
        <stp/>
        <stp>BDH|6890354111213470002</stp>
        <tr r="P77" s="10"/>
      </tp>
      <tp t="e">
        <v>#N/A</v>
        <stp/>
        <stp>BDH|9928230464869538333</stp>
        <tr r="E43" s="10"/>
      </tp>
      <tp t="e">
        <v>#N/A</v>
        <stp/>
        <stp>BDH|6912564377750097306</stp>
        <tr r="X113" s="10"/>
      </tp>
      <tp t="e">
        <v>#N/A</v>
        <stp/>
        <stp>BDH|4395520219162343533</stp>
        <tr r="U131" s="10"/>
      </tp>
      <tp t="e">
        <v>#N/A</v>
        <stp/>
        <stp>BDH|6305181735866776510</stp>
        <tr r="AA32" s="10"/>
      </tp>
      <tp t="e">
        <v>#N/A</v>
        <stp/>
        <stp>BDH|7829494834372455580</stp>
        <tr r="N59" s="10"/>
      </tp>
      <tp t="e">
        <v>#N/A</v>
        <stp/>
        <stp>BDH|1082245945016862608</stp>
        <tr r="U111" s="10"/>
      </tp>
      <tp t="e">
        <v>#N/A</v>
        <stp/>
        <stp>BDH|3301222005657931145</stp>
        <tr r="AH111" s="10"/>
      </tp>
      <tp t="e">
        <v>#N/A</v>
        <stp/>
        <stp>BDH|8892558019473520885</stp>
        <tr r="G83" s="10"/>
      </tp>
      <tp t="e">
        <v>#N/A</v>
        <stp/>
        <stp>BDH|8757290052619310160</stp>
        <tr r="R16" s="10"/>
      </tp>
      <tp t="e">
        <v>#N/A</v>
        <stp/>
        <stp>BDH|5259739481855129884</stp>
        <tr r="S103" s="10"/>
      </tp>
      <tp t="e">
        <v>#N/A</v>
        <stp/>
        <stp>BDH|4595508305796117085</stp>
        <tr r="AO69" s="10"/>
      </tp>
      <tp t="e">
        <v>#N/A</v>
        <stp/>
        <stp>BDH|3911134517097066346</stp>
        <tr r="H129" s="10"/>
      </tp>
      <tp t="e">
        <v>#N/A</v>
        <stp/>
        <stp>BDH|2137608005963470091</stp>
        <tr r="AO103" s="10"/>
      </tp>
      <tp t="e">
        <v>#N/A</v>
        <stp/>
        <stp>BDH|9128884399649851611</stp>
        <tr r="Z47" s="10"/>
      </tp>
      <tp t="e">
        <v>#N/A</v>
        <stp/>
        <stp>BDH|2868201782376000930</stp>
        <tr r="Z107" s="10"/>
      </tp>
      <tp t="e">
        <v>#N/A</v>
        <stp/>
        <stp>BDH|1409130694096206887</stp>
        <tr r="X85" s="10"/>
      </tp>
      <tp t="e">
        <v>#N/A</v>
        <stp/>
        <stp>BDH|2285438008245904494</stp>
        <tr r="D121" s="10"/>
      </tp>
      <tp t="e">
        <v>#N/A</v>
        <stp/>
        <stp>BDH|2175749468644470004</stp>
        <tr r="AQ90" s="10"/>
      </tp>
      <tp t="e">
        <v>#N/A</v>
        <stp/>
        <stp>BDH|7473726478973467335</stp>
        <tr r="E30" s="10"/>
      </tp>
      <tp t="e">
        <v>#N/A</v>
        <stp/>
        <stp>BDH|6997609722301071429</stp>
        <tr r="AJ7" s="10"/>
      </tp>
      <tp t="e">
        <v>#N/A</v>
        <stp/>
        <stp>BDH|5158243405692991207</stp>
        <tr r="Z28" s="10"/>
      </tp>
      <tp t="e">
        <v>#N/A</v>
        <stp/>
        <stp>BDH|4389030734796446695</stp>
        <tr r="AU162" s="10"/>
      </tp>
      <tp t="e">
        <v>#N/A</v>
        <stp/>
        <stp>BDH|2212320263666809629</stp>
        <tr r="AL140" s="10"/>
      </tp>
      <tp t="e">
        <v>#N/A</v>
        <stp/>
        <stp>BDH|2813263071999331956</stp>
        <tr r="AA63" s="10"/>
      </tp>
      <tp t="e">
        <v>#N/A</v>
        <stp/>
        <stp>BDH|7940287758345781209</stp>
        <tr r="Q37" s="10"/>
      </tp>
      <tp t="e">
        <v>#N/A</v>
        <stp/>
        <stp>BDH|7107430458052116351</stp>
        <tr r="J110" s="10"/>
      </tp>
      <tp t="e">
        <v>#N/A</v>
        <stp/>
        <stp>BDH|8718431559367676954</stp>
        <tr r="AK92" s="10"/>
      </tp>
      <tp t="e">
        <v>#N/A</v>
        <stp/>
        <stp>BDH|9487575026500895933</stp>
        <tr r="AA90" s="10"/>
      </tp>
      <tp t="e">
        <v>#N/A</v>
        <stp/>
        <stp>BDH|6173639779888523806</stp>
        <tr r="F176" s="10"/>
      </tp>
      <tp t="e">
        <v>#N/A</v>
        <stp/>
        <stp>BDH|1835676863771680748</stp>
        <tr r="P76" s="10"/>
      </tp>
      <tp t="e">
        <v>#N/A</v>
        <stp/>
        <stp>BDH|3130199843647290670</stp>
        <tr r="AO51" s="10"/>
      </tp>
      <tp t="e">
        <v>#N/A</v>
        <stp/>
        <stp>BDH|6063767131382118787</stp>
        <tr r="AN26" s="10"/>
      </tp>
      <tp t="e">
        <v>#N/A</v>
        <stp/>
        <stp>BDH|3939427021596210467</stp>
        <tr r="P29" s="10"/>
      </tp>
      <tp t="e">
        <v>#N/A</v>
        <stp/>
        <stp>BDH|8680366597842863716</stp>
        <tr r="AF38" s="10"/>
      </tp>
      <tp t="e">
        <v>#N/A</v>
        <stp/>
        <stp>BDH|2215590478546980145</stp>
        <tr r="AM168" s="10"/>
      </tp>
      <tp t="e">
        <v>#N/A</v>
        <stp/>
        <stp>BDH|7329764319824551273</stp>
        <tr r="AU181" s="10"/>
      </tp>
      <tp t="e">
        <v>#N/A</v>
        <stp/>
        <stp>BDH|6291661572215963517</stp>
        <tr r="F101" s="10"/>
      </tp>
      <tp t="e">
        <v>#N/A</v>
        <stp/>
        <stp>BDH|3142461781000875809</stp>
        <tr r="AJ31" s="10"/>
      </tp>
      <tp t="e">
        <v>#N/A</v>
        <stp/>
        <stp>BDH|5079516770463881376</stp>
        <tr r="Z140" s="10"/>
      </tp>
      <tp t="e">
        <v>#N/A</v>
        <stp/>
        <stp>BDH|6245028539427529521</stp>
        <tr r="Z118" s="10"/>
      </tp>
      <tp t="e">
        <v>#N/A</v>
        <stp/>
        <stp>BDH|3947586615188911838</stp>
        <tr r="L157" s="10"/>
      </tp>
      <tp t="e">
        <v>#N/A</v>
        <stp/>
        <stp>BDH|8809612783776190756</stp>
        <tr r="M81" s="10"/>
      </tp>
      <tp t="e">
        <v>#N/A</v>
        <stp/>
        <stp>BDH|2397886732246062877</stp>
        <tr r="AJ162" s="10"/>
      </tp>
      <tp t="e">
        <v>#N/A</v>
        <stp/>
        <stp>BDH|4306508452643883079</stp>
        <tr r="V135" s="10"/>
      </tp>
      <tp t="e">
        <v>#N/A</v>
        <stp/>
        <stp>BDH|8051770300869043196</stp>
        <tr r="AF92" s="10"/>
      </tp>
      <tp t="e">
        <v>#N/A</v>
        <stp/>
        <stp>BDH|8942676958988074483</stp>
        <tr r="O170" s="10"/>
      </tp>
      <tp t="e">
        <v>#N/A</v>
        <stp/>
        <stp>BDH|6214629398598343657</stp>
        <tr r="AV122" s="10"/>
      </tp>
      <tp t="s">
        <v>#N/A Requesting Data...4159030551</v>
        <stp/>
        <stp>BDP|5797179929950054169</stp>
        <tr r="F60" s="2"/>
      </tp>
      <tp t="s">
        <v>#N/A Requesting Data...4210055186</v>
        <stp/>
        <stp>BDP|5080380656587307329</stp>
        <tr r="O37" s="1"/>
      </tp>
      <tp t="e">
        <v>#N/A</v>
        <stp/>
        <stp>BDH|6872546333544663363</stp>
        <tr r="U34" s="10"/>
      </tp>
      <tp t="e">
        <v>#N/A</v>
        <stp/>
        <stp>BDH|2727962160182618880</stp>
        <tr r="C140" s="10"/>
      </tp>
      <tp t="e">
        <v>#N/A</v>
        <stp/>
        <stp>BDH|6998269101894495752</stp>
        <tr r="F165" s="10"/>
      </tp>
      <tp t="e">
        <v>#N/A</v>
        <stp/>
        <stp>BDH|9150659249888619446</stp>
        <tr r="AS132" s="10"/>
      </tp>
      <tp t="e">
        <v>#N/A</v>
        <stp/>
        <stp>BDH|3765531304192929366</stp>
        <tr r="AB93" s="10"/>
      </tp>
      <tp t="e">
        <v>#N/A</v>
        <stp/>
        <stp>BDH|2719953104108074491</stp>
        <tr r="U121" s="10"/>
      </tp>
      <tp t="e">
        <v>#N/A</v>
        <stp/>
        <stp>BDH|6931032848156532386</stp>
        <tr r="R117" s="10"/>
      </tp>
      <tp t="e">
        <v>#N/A</v>
        <stp/>
        <stp>BDH|1263420962526822255</stp>
        <tr r="C49" s="10"/>
      </tp>
      <tp t="e">
        <v>#N/A</v>
        <stp/>
        <stp>BDH|4014417358480619204</stp>
        <tr r="AD14" s="10"/>
      </tp>
      <tp t="e">
        <v>#N/A</v>
        <stp/>
        <stp>BDH|4397688519761924542</stp>
        <tr r="P99" s="10"/>
      </tp>
      <tp t="e">
        <v>#N/A</v>
        <stp/>
        <stp>BDH|1380957698710437652</stp>
        <tr r="H184" s="10"/>
      </tp>
      <tp t="e">
        <v>#N/A</v>
        <stp/>
        <stp>BDH|6133528785045800912</stp>
        <tr r="AW140" s="10"/>
      </tp>
      <tp t="e">
        <v>#N/A</v>
        <stp/>
        <stp>BDH|9303659038402463952</stp>
        <tr r="AU146" s="10"/>
      </tp>
      <tp t="e">
        <v>#N/A</v>
        <stp/>
        <stp>BDH|5694659078375730638</stp>
        <tr r="AE107" s="10"/>
      </tp>
      <tp t="e">
        <v>#N/A</v>
        <stp/>
        <stp>BDH|2622059702426845361</stp>
        <tr r="AQ140" s="10"/>
      </tp>
      <tp t="e">
        <v>#N/A</v>
        <stp/>
        <stp>BDH|5360189599383520984</stp>
        <tr r="AP74" s="10"/>
      </tp>
      <tp t="e">
        <v>#N/A</v>
        <stp/>
        <stp>BDH|8245959808071913796</stp>
        <tr r="AP59" s="10"/>
      </tp>
      <tp t="e">
        <v>#N/A</v>
        <stp/>
        <stp>BDH|6580555261477820567</stp>
        <tr r="AE78" s="10"/>
      </tp>
      <tp t="e">
        <v>#N/A</v>
        <stp/>
        <stp>BDH|1671530809696095537</stp>
        <tr r="H181" s="10"/>
      </tp>
      <tp t="e">
        <v>#N/A</v>
        <stp/>
        <stp>BDH|9533244796811915410</stp>
        <tr r="R14" s="10"/>
      </tp>
      <tp t="s">
        <v>#N/A Requesting Data...3905877842</v>
        <stp/>
        <stp>BDP|4923479169312239394</stp>
        <tr r="D32" s="6"/>
        <tr r="H36" s="1"/>
      </tp>
      <tp t="e">
        <v>#N/A</v>
        <stp/>
        <stp>BDH|7989445300483910789</stp>
        <tr r="AB92" s="10"/>
      </tp>
      <tp t="e">
        <v>#N/A</v>
        <stp/>
        <stp>BDH|6713676408411275666</stp>
        <tr r="Z179" s="10"/>
      </tp>
      <tp t="e">
        <v>#N/A</v>
        <stp/>
        <stp>BDH|8889672160817048833</stp>
        <tr r="AQ60" s="10"/>
      </tp>
      <tp t="e">
        <v>#N/A</v>
        <stp/>
        <stp>BDH|6301862421802996914</stp>
        <tr r="H54" s="10"/>
      </tp>
      <tp t="e">
        <v>#N/A</v>
        <stp/>
        <stp>BDH|3785602255033942478</stp>
        <tr r="Y132" s="10"/>
      </tp>
      <tp t="e">
        <v>#N/A</v>
        <stp/>
        <stp>BDH|8044078195457720193</stp>
        <tr r="R131" s="10"/>
      </tp>
      <tp t="e">
        <v>#N/A</v>
        <stp/>
        <stp>BDH|8246911914336261199</stp>
        <tr r="R22" s="10"/>
      </tp>
      <tp t="e">
        <v>#N/A</v>
        <stp/>
        <stp>BDH|4280415896476931803</stp>
        <tr r="G70" s="10"/>
      </tp>
      <tp t="e">
        <v>#N/A</v>
        <stp/>
        <stp>BDH|5532751458303506319</stp>
        <tr r="U91" s="10"/>
      </tp>
      <tp t="e">
        <v>#N/A</v>
        <stp/>
        <stp>BDH|1814922743648773328</stp>
        <tr r="Z184" s="10"/>
      </tp>
      <tp t="e">
        <v>#N/A</v>
        <stp/>
        <stp>BDH|8883023524015641845</stp>
        <tr r="J64" s="10"/>
      </tp>
      <tp t="e">
        <v>#N/A</v>
        <stp/>
        <stp>BDH|7620100218202683244</stp>
        <tr r="AB41" s="10"/>
      </tp>
      <tp t="e">
        <v>#N/A</v>
        <stp/>
        <stp>BDH|8750981320700094435</stp>
        <tr r="AS178" s="10"/>
      </tp>
      <tp t="e">
        <v>#N/A</v>
        <stp/>
        <stp>BDH|5775426866760955072</stp>
        <tr r="O132" s="10"/>
      </tp>
      <tp t="e">
        <v>#N/A</v>
        <stp/>
        <stp>BDH|4152412578676397668</stp>
        <tr r="AO112" s="10"/>
      </tp>
      <tp t="e">
        <v>#N/A</v>
        <stp/>
        <stp>BDH|5989073472445041018</stp>
        <tr r="AC135" s="10"/>
      </tp>
      <tp t="e">
        <v>#N/A</v>
        <stp/>
        <stp>BDH|8649345692491929443</stp>
        <tr r="O18" s="10"/>
      </tp>
      <tp t="e">
        <v>#N/A</v>
        <stp/>
        <stp>BDH|6945502342221255147</stp>
        <tr r="AM77" s="10"/>
      </tp>
      <tp t="e">
        <v>#N/A</v>
        <stp/>
        <stp>BDH|1132158407790625788</stp>
        <tr r="V84" s="10"/>
      </tp>
      <tp t="e">
        <v>#N/A</v>
        <stp/>
        <stp>BDH|3285870978842507959</stp>
        <tr r="AK180" s="10"/>
      </tp>
      <tp t="e">
        <v>#N/A</v>
        <stp/>
        <stp>BDH|3561593720902873193</stp>
        <tr r="AP68" s="10"/>
      </tp>
      <tp t="e">
        <v>#N/A</v>
        <stp/>
        <stp>BDH|6407718561565144582</stp>
        <tr r="P85" s="10"/>
      </tp>
      <tp t="e">
        <v>#N/A</v>
        <stp/>
        <stp>BDH|6118713963971745194</stp>
        <tr r="AL73" s="10"/>
      </tp>
      <tp t="e">
        <v>#N/A</v>
        <stp/>
        <stp>BDH|9936770558768812438</stp>
        <tr r="AM44" s="10"/>
      </tp>
      <tp t="e">
        <v>#N/A</v>
        <stp/>
        <stp>BDH|6600289634049661912</stp>
        <tr r="AL155" s="10"/>
      </tp>
      <tp t="e">
        <v>#N/A</v>
        <stp/>
        <stp>BDH|3925518011443173355</stp>
        <tr r="AO74" s="10"/>
      </tp>
      <tp t="e">
        <v>#N/A</v>
        <stp/>
        <stp>BDH|8686593412953995897</stp>
        <tr r="AD133" s="10"/>
      </tp>
      <tp t="e">
        <v>#N/A</v>
        <stp/>
        <stp>BDH|5914749735677147146</stp>
        <tr r="Z65" s="10"/>
      </tp>
      <tp t="e">
        <v>#N/A</v>
        <stp/>
        <stp>BDH|5621088803207943592</stp>
        <tr r="Q151" s="10"/>
      </tp>
      <tp t="s">
        <v>#N/A Requesting Data...3886817947</v>
        <stp/>
        <stp>BDP|7398429924570703609</stp>
        <tr r="F15" s="2"/>
        <tr r="F20" s="2"/>
        <tr r="F59" s="2"/>
      </tp>
      <tp t="e">
        <v>#N/A</v>
        <stp/>
        <stp>BDH|5620423882218214663</stp>
        <tr r="AD114" s="10"/>
      </tp>
      <tp t="e">
        <v>#N/A</v>
        <stp/>
        <stp>BDH|4363194738236844784</stp>
        <tr r="X139" s="10"/>
      </tp>
      <tp t="e">
        <v>#N/A</v>
        <stp/>
        <stp>BDH|8577471021879673079</stp>
        <tr r="AI86" s="10"/>
      </tp>
      <tp t="e">
        <v>#N/A</v>
        <stp/>
        <stp>BDH|5633082471605836057</stp>
        <tr r="AQ137" s="10"/>
      </tp>
      <tp t="e">
        <v>#N/A</v>
        <stp/>
        <stp>BDH|1637720501373746207</stp>
        <tr r="AS189" s="10"/>
      </tp>
      <tp t="e">
        <v>#N/A</v>
        <stp/>
        <stp>BDH|9520377953328566063</stp>
        <tr r="AR185" s="10"/>
      </tp>
      <tp t="e">
        <v>#N/A</v>
        <stp/>
        <stp>BDH|5252762229355919267</stp>
        <tr r="Z61" s="10"/>
      </tp>
      <tp t="e">
        <v>#N/A</v>
        <stp/>
        <stp>BDH|3647477106131404117</stp>
        <tr r="AJ15" s="10"/>
      </tp>
      <tp t="e">
        <v>#N/A</v>
        <stp/>
        <stp>BDH|8134174246789263303</stp>
        <tr r="AW132" s="10"/>
      </tp>
      <tp t="e">
        <v>#N/A</v>
        <stp/>
        <stp>BDH|2729666617014541617</stp>
        <tr r="AL153" s="10"/>
      </tp>
      <tp t="e">
        <v>#N/A</v>
        <stp/>
        <stp>BDH|9329476894063011023</stp>
        <tr r="AC123" s="10"/>
      </tp>
      <tp t="e">
        <v>#N/A</v>
        <stp/>
        <stp>BDH|7815260131226824757</stp>
        <tr r="AF112" s="10"/>
      </tp>
      <tp t="e">
        <v>#N/A</v>
        <stp/>
        <stp>BDH|5908644031262733593</stp>
        <tr r="AE49" s="10"/>
      </tp>
      <tp t="e">
        <v>#N/A</v>
        <stp/>
        <stp>BDH|6723283062792934763</stp>
        <tr r="Z70" s="10"/>
      </tp>
      <tp t="e">
        <v>#N/A</v>
        <stp/>
        <stp>BDH|4714640766690052374</stp>
        <tr r="AI52" s="10"/>
      </tp>
      <tp t="e">
        <v>#N/A</v>
        <stp/>
        <stp>BDH|9614825071292735303</stp>
        <tr r="M27" s="10"/>
      </tp>
      <tp t="e">
        <v>#N/A</v>
        <stp/>
        <stp>BDH|8236321085170118464</stp>
        <tr r="AM62" s="10"/>
      </tp>
      <tp t="e">
        <v>#N/A</v>
        <stp/>
        <stp>BDH|2116949191590049561</stp>
        <tr r="AF107" s="10"/>
      </tp>
      <tp t="e">
        <v>#N/A</v>
        <stp/>
        <stp>BDH|5187737993515371905</stp>
        <tr r="E95" s="10"/>
      </tp>
      <tp t="e">
        <v>#N/A</v>
        <stp/>
        <stp>BDH|7116700904881571625</stp>
        <tr r="AC128" s="10"/>
      </tp>
      <tp t="e">
        <v>#N/A</v>
        <stp/>
        <stp>BDH|9974989316656632030</stp>
        <tr r="N170" s="10"/>
      </tp>
      <tp t="e">
        <v>#N/A</v>
        <stp/>
        <stp>BDH|7296454879787476481</stp>
        <tr r="AR88" s="10"/>
      </tp>
      <tp t="e">
        <v>#N/A</v>
        <stp/>
        <stp>BDH|6370358774100505552</stp>
        <tr r="AD98" s="10"/>
      </tp>
      <tp t="e">
        <v>#N/A</v>
        <stp/>
        <stp>BDH|4654393457252908738</stp>
        <tr r="O33" s="10"/>
      </tp>
      <tp t="e">
        <v>#N/A</v>
        <stp/>
        <stp>BDH|6363063523296688521</stp>
        <tr r="AU45" s="10"/>
      </tp>
      <tp t="e">
        <v>#N/A</v>
        <stp/>
        <stp>BDH|8426501833571279860</stp>
        <tr r="AE57" s="10"/>
      </tp>
      <tp t="e">
        <v>#N/A</v>
        <stp/>
        <stp>BDH|6367042257136628256</stp>
        <tr r="AR48" s="10"/>
      </tp>
      <tp t="e">
        <v>#N/A</v>
        <stp/>
        <stp>BDH|5951890786720200272</stp>
        <tr r="AB28" s="10"/>
      </tp>
      <tp t="e">
        <v>#N/A</v>
        <stp/>
        <stp>BDH|2503484920063762092</stp>
        <tr r="AH84" s="10"/>
      </tp>
      <tp t="e">
        <v>#N/A</v>
        <stp/>
        <stp>BDH|5491229907696628644</stp>
        <tr r="C181" s="10"/>
      </tp>
      <tp t="e">
        <v>#N/A</v>
        <stp/>
        <stp>BDH|4484969706538677210</stp>
        <tr r="AB80" s="10"/>
      </tp>
      <tp t="e">
        <v>#N/A</v>
        <stp/>
        <stp>BDH|8162244176353658967</stp>
        <tr r="AS84" s="10"/>
      </tp>
      <tp t="e">
        <v>#N/A</v>
        <stp/>
        <stp>BDH|6221749756827047435</stp>
        <tr r="Z16" s="10"/>
      </tp>
      <tp t="e">
        <v>#N/A</v>
        <stp/>
        <stp>BDH|5601238882829225165</stp>
        <tr r="AG16" s="10"/>
      </tp>
      <tp t="e">
        <v>#N/A</v>
        <stp/>
        <stp>BDH|6332482173442307083</stp>
        <tr r="AE116" s="10"/>
      </tp>
      <tp t="e">
        <v>#N/A</v>
        <stp/>
        <stp>BDH|1439916244948225308</stp>
        <tr r="AT165" s="10"/>
      </tp>
      <tp t="e">
        <v>#N/A</v>
        <stp/>
        <stp>BDH|5042360742937313244</stp>
        <tr r="AC167" s="10"/>
      </tp>
      <tp t="e">
        <v>#N/A</v>
        <stp/>
        <stp>BDH|9094252064002564875</stp>
        <tr r="AD26" s="10"/>
      </tp>
      <tp t="e">
        <v>#N/A</v>
        <stp/>
        <stp>BDH|3644507914772960289</stp>
        <tr r="AK152" s="10"/>
      </tp>
      <tp t="e">
        <v>#N/A</v>
        <stp/>
        <stp>BDH|3233368182969611639</stp>
        <tr r="T147" s="10"/>
      </tp>
      <tp t="e">
        <v>#N/A</v>
        <stp/>
        <stp>BDH|7444253237801557000</stp>
        <tr r="P36" s="10"/>
      </tp>
      <tp t="e">
        <v>#N/A</v>
        <stp/>
        <stp>BDH|9619139233204248872</stp>
        <tr r="M39" s="10"/>
      </tp>
      <tp t="e">
        <v>#N/A</v>
        <stp/>
        <stp>BDH|2443256365458384940</stp>
        <tr r="AD80" s="10"/>
      </tp>
      <tp t="e">
        <v>#N/A</v>
        <stp/>
        <stp>BDH|7434673100445982392</stp>
        <tr r="AI26" s="10"/>
      </tp>
      <tp t="e">
        <v>#N/A</v>
        <stp/>
        <stp>BDH|8460395928127348958</stp>
        <tr r="AE40" s="10"/>
      </tp>
      <tp t="s">
        <v>#N/A Requesting Data...4009073724</v>
        <stp/>
        <stp>BDP|4946773989924171860</stp>
        <tr r="O34" s="1"/>
      </tp>
      <tp t="s">
        <v>#N/A Requesting Data...3939956478</v>
        <stp/>
        <stp>BDP|4938188994193193847</stp>
        <tr r="B54" s="6"/>
        <tr r="E45" s="1"/>
        <tr r="H137" s="2"/>
        <tr r="H138" s="2"/>
      </tp>
      <tp t="e">
        <v>#N/A</v>
        <stp/>
        <stp>BDH|6216265846247004027</stp>
        <tr r="AM132" s="10"/>
      </tp>
      <tp t="e">
        <v>#N/A</v>
        <stp/>
        <stp>BDH|7795699728484351051</stp>
        <tr r="Z135" s="10"/>
      </tp>
      <tp t="e">
        <v>#N/A</v>
        <stp/>
        <stp>BDH|1254562160457624222</stp>
        <tr r="I61" s="10"/>
      </tp>
      <tp t="e">
        <v>#N/A</v>
        <stp/>
        <stp>BDH|5293299679463539474</stp>
        <tr r="N78" s="10"/>
      </tp>
      <tp t="e">
        <v>#N/A</v>
        <stp/>
        <stp>BDH|9726425866895214919</stp>
        <tr r="AR120" s="10"/>
      </tp>
      <tp t="e">
        <v>#N/A</v>
        <stp/>
        <stp>BDH|6422502756271023026</stp>
        <tr r="E185" s="10"/>
      </tp>
      <tp t="e">
        <v>#N/A</v>
        <stp/>
        <stp>BDH|7424719542114316742</stp>
        <tr r="Y91" s="10"/>
      </tp>
      <tp t="e">
        <v>#N/A</v>
        <stp/>
        <stp>BDH|3451662950631402668</stp>
        <tr r="AK5" s="10"/>
      </tp>
      <tp t="e">
        <v>#N/A</v>
        <stp/>
        <stp>BDH|7191237796479145256</stp>
        <tr r="U168" s="10"/>
      </tp>
      <tp t="e">
        <v>#N/A</v>
        <stp/>
        <stp>BDH|7595820926599403354</stp>
        <tr r="AJ55" s="10"/>
      </tp>
      <tp t="e">
        <v>#N/A</v>
        <stp/>
        <stp>BDH|5480614380869494517</stp>
        <tr r="AL62" s="10"/>
      </tp>
      <tp t="e">
        <v>#N/A</v>
        <stp/>
        <stp>BDH|5022381158030373439</stp>
        <tr r="AH163" s="10"/>
      </tp>
      <tp t="e">
        <v>#N/A</v>
        <stp/>
        <stp>BDH|5861196633400781052</stp>
        <tr r="C41" s="10"/>
      </tp>
      <tp t="s">
        <v>#N/A Requesting Data...3977640166</v>
        <stp/>
        <stp>BDP|9017385951010146898</stp>
        <tr r="I16" s="1"/>
      </tp>
      <tp t="s">
        <v>#N/A Requesting Data...4014442642</v>
        <stp/>
        <stp>BDP|4504730546686426651</stp>
        <tr r="B43" s="1"/>
      </tp>
      <tp t="e">
        <v>#N/A</v>
        <stp/>
        <stp>BDH|1829601495408836144</stp>
        <tr r="AK3" s="10"/>
      </tp>
      <tp t="e">
        <v>#N/A</v>
        <stp/>
        <stp>BDH|1928557378037169340</stp>
        <tr r="F9" s="10"/>
      </tp>
      <tp t="e">
        <v>#N/A</v>
        <stp/>
        <stp>BDH|3693734761555639038</stp>
        <tr r="F185" s="10"/>
      </tp>
      <tp t="e">
        <v>#N/A</v>
        <stp/>
        <stp>BDH|2256586271752923534</stp>
        <tr r="AQ154" s="10"/>
      </tp>
      <tp t="e">
        <v>#N/A</v>
        <stp/>
        <stp>BDH|7601960377706000865</stp>
        <tr r="AS172" s="10"/>
      </tp>
      <tp t="e">
        <v>#N/A</v>
        <stp/>
        <stp>BDH|6135463437345661371</stp>
        <tr r="C14" s="10"/>
      </tp>
      <tp t="e">
        <v>#N/A</v>
        <stp/>
        <stp>BDH|8854287322536445977</stp>
        <tr r="AM130" s="10"/>
      </tp>
      <tp t="e">
        <v>#N/A</v>
        <stp/>
        <stp>BDH|6222674347756360500</stp>
        <tr r="L79" s="10"/>
      </tp>
      <tp t="e">
        <v>#N/A</v>
        <stp/>
        <stp>BDH|4611112466601695565</stp>
        <tr r="AW116" s="10"/>
      </tp>
      <tp t="e">
        <v>#N/A</v>
        <stp/>
        <stp>BDH|9702864501741228738</stp>
        <tr r="H10" s="10"/>
      </tp>
      <tp t="e">
        <v>#N/A</v>
        <stp/>
        <stp>BDH|7185030242703547743</stp>
        <tr r="AF84" s="10"/>
      </tp>
      <tp t="e">
        <v>#N/A</v>
        <stp/>
        <stp>BDH|7984109251270999401</stp>
        <tr r="AI7" s="10"/>
      </tp>
      <tp t="e">
        <v>#N/A</v>
        <stp/>
        <stp>BDH|6173935597881303070</stp>
        <tr r="AI19" s="10"/>
      </tp>
      <tp t="e">
        <v>#N/A</v>
        <stp/>
        <stp>BDH|1206045417391594655</stp>
        <tr r="J80" s="10"/>
      </tp>
      <tp t="e">
        <v>#N/A</v>
        <stp/>
        <stp>BDH|8321165622809550536</stp>
        <tr r="AU105" s="10"/>
      </tp>
      <tp t="e">
        <v>#N/A</v>
        <stp/>
        <stp>BDH|3781350961223715257</stp>
        <tr r="AI157" s="10"/>
      </tp>
      <tp t="e">
        <v>#N/A</v>
        <stp/>
        <stp>BDH|2001951490442625728</stp>
        <tr r="X32" s="10"/>
      </tp>
      <tp t="e">
        <v>#N/A</v>
        <stp/>
        <stp>BDH|5135443539861850452</stp>
        <tr r="AD108" s="10"/>
      </tp>
      <tp t="e">
        <v>#N/A</v>
        <stp/>
        <stp>BDH|6414948503200713854</stp>
        <tr r="AP53" s="10"/>
      </tp>
      <tp t="e">
        <v>#N/A</v>
        <stp/>
        <stp>BDH|4681638794529510525</stp>
        <tr r="AW186" s="10"/>
      </tp>
      <tp t="e">
        <v>#N/A</v>
        <stp/>
        <stp>BDH|5504613266675202764</stp>
        <tr r="AU124" s="10"/>
      </tp>
      <tp t="e">
        <v>#N/A</v>
        <stp/>
        <stp>BDH|3403581357566869253</stp>
        <tr r="Q170" s="10"/>
      </tp>
      <tp t="e">
        <v>#N/A</v>
        <stp/>
        <stp>BDH|8451545722250067844</stp>
        <tr r="Q25" s="10"/>
      </tp>
      <tp t="e">
        <v>#N/A</v>
        <stp/>
        <stp>BDH|9674700997865578528</stp>
        <tr r="AK175" s="10"/>
      </tp>
      <tp t="e">
        <v>#N/A</v>
        <stp/>
        <stp>BDH|3461754863763642621</stp>
        <tr r="AL166" s="10"/>
      </tp>
      <tp t="e">
        <v>#N/A</v>
        <stp/>
        <stp>BDH|1314587734204106487</stp>
        <tr r="T19" s="10"/>
      </tp>
      <tp t="e">
        <v>#N/A</v>
        <stp/>
        <stp>BDH|7735339592608071208</stp>
        <tr r="Z159" s="10"/>
      </tp>
      <tp t="e">
        <v>#N/A</v>
        <stp/>
        <stp>BDH|8612936418614926320</stp>
        <tr r="C171" s="10"/>
      </tp>
      <tp t="e">
        <v>#N/A</v>
        <stp/>
        <stp>BDH|7964795770307416723</stp>
        <tr r="V141" s="10"/>
      </tp>
      <tp t="e">
        <v>#N/A</v>
        <stp/>
        <stp>BDH|1513301592395761967</stp>
        <tr r="AW89" s="10"/>
      </tp>
      <tp t="e">
        <v>#N/A</v>
        <stp/>
        <stp>BDH|5225316345684994199</stp>
        <tr r="AW146" s="10"/>
      </tp>
      <tp t="e">
        <v>#N/A</v>
        <stp/>
        <stp>BDH|3145077702662482668</stp>
        <tr r="AO126" s="10"/>
      </tp>
      <tp t="e">
        <v>#N/A</v>
        <stp/>
        <stp>BDH|7088107891051133969</stp>
        <tr r="AK49" s="10"/>
      </tp>
      <tp t="e">
        <v>#N/A</v>
        <stp/>
        <stp>BDH|6033774462715539566</stp>
        <tr r="N159" s="10"/>
      </tp>
      <tp t="e">
        <v>#N/A</v>
        <stp/>
        <stp>BDH|8448509885071713308</stp>
        <tr r="O35" s="10"/>
      </tp>
      <tp t="e">
        <v>#N/A</v>
        <stp/>
        <stp>BDH|3970411213429872851</stp>
        <tr r="Z7" s="10"/>
      </tp>
      <tp t="e">
        <v>#N/A</v>
        <stp/>
        <stp>BDH|3671760506716119519</stp>
        <tr r="U54" s="10"/>
      </tp>
      <tp t="e">
        <v>#N/A</v>
        <stp/>
        <stp>BDH|3069551850504529068</stp>
        <tr r="AN190" s="10"/>
      </tp>
      <tp t="e">
        <v>#N/A</v>
        <stp/>
        <stp>BDH|4178414253891472316</stp>
        <tr r="AB22" s="10"/>
      </tp>
      <tp t="e">
        <v>#N/A</v>
        <stp/>
        <stp>BDH|3887175111267100390</stp>
        <tr r="AT111" s="10"/>
      </tp>
      <tp t="e">
        <v>#N/A</v>
        <stp/>
        <stp>BDH|8507806601843172437</stp>
        <tr r="D168" s="10"/>
      </tp>
      <tp t="e">
        <v>#N/A</v>
        <stp/>
        <stp>BDH|3057892448039019178</stp>
        <tr r="T164" s="10"/>
      </tp>
      <tp t="e">
        <v>#N/A</v>
        <stp/>
        <stp>BDH|4250702686568737441</stp>
        <tr r="AG106" s="10"/>
      </tp>
      <tp t="e">
        <v>#N/A</v>
        <stp/>
        <stp>BDH|4587271881300583912</stp>
        <tr r="Q133" s="10"/>
      </tp>
      <tp t="e">
        <v>#N/A</v>
        <stp/>
        <stp>BDH|1484415086323398977</stp>
        <tr r="AW7" s="10"/>
      </tp>
      <tp t="e">
        <v>#N/A</v>
        <stp/>
        <stp>BDH|5664302588708942104</stp>
        <tr r="AA17" s="10"/>
      </tp>
      <tp t="e">
        <v>#N/A</v>
        <stp/>
        <stp>BDH|5556959100788299357</stp>
        <tr r="R33" s="10"/>
      </tp>
      <tp t="e">
        <v>#N/A</v>
        <stp/>
        <stp>BDH|8477096200127310894</stp>
        <tr r="AA31" s="10"/>
      </tp>
      <tp t="e">
        <v>#N/A</v>
        <stp/>
        <stp>BDH|1723434532123966284</stp>
        <tr r="AC8" s="10"/>
      </tp>
      <tp t="e">
        <v>#N/A</v>
        <stp/>
        <stp>BDH|7548611945502318055</stp>
        <tr r="AU190" s="10"/>
      </tp>
      <tp t="e">
        <v>#N/A</v>
        <stp/>
        <stp>BDH|3596744205810408372</stp>
        <tr r="D38" s="10"/>
      </tp>
      <tp t="e">
        <v>#N/A</v>
        <stp/>
        <stp>BDH|2771086823571953628</stp>
        <tr r="P18" s="10"/>
      </tp>
      <tp t="e">
        <v>#N/A</v>
        <stp/>
        <stp>BDH|4436529431164459146</stp>
        <tr r="AB66" s="10"/>
      </tp>
      <tp t="e">
        <v>#N/A</v>
        <stp/>
        <stp>BDH|5029053338365382490</stp>
        <tr r="AR181" s="10"/>
      </tp>
      <tp t="e">
        <v>#N/A</v>
        <stp/>
        <stp>BDH|7162524126022186537</stp>
        <tr r="G30" s="10"/>
      </tp>
      <tp t="e">
        <v>#N/A</v>
        <stp/>
        <stp>BDH|9362643823552391804</stp>
        <tr r="AF95" s="10"/>
      </tp>
      <tp t="e">
        <v>#N/A</v>
        <stp/>
        <stp>BDH|5488764007513351611</stp>
        <tr r="AL41" s="10"/>
      </tp>
      <tp t="e">
        <v>#N/A</v>
        <stp/>
        <stp>BDH|5888131233059737987</stp>
        <tr r="AM74" s="10"/>
      </tp>
      <tp t="e">
        <v>#N/A</v>
        <stp/>
        <stp>BDH|2146301262108302878</stp>
        <tr r="AS90" s="10"/>
      </tp>
      <tp t="e">
        <v>#N/A</v>
        <stp/>
        <stp>BDH|2570749654771619644</stp>
        <tr r="S47" s="10"/>
      </tp>
      <tp t="e">
        <v>#N/A</v>
        <stp/>
        <stp>BDH|1680583829535399439</stp>
        <tr r="AH46" s="10"/>
      </tp>
      <tp t="s">
        <v>#N/A Requesting Data...4218798258</v>
        <stp/>
        <stp>BDP|5510657660813434107</stp>
        <tr r="H39" s="1"/>
      </tp>
      <tp t="s">
        <v>#N/A Requesting Data...4080207608</v>
        <stp/>
        <stp>BDP|1891492345481117711</stp>
        <tr r="F117" s="2"/>
      </tp>
      <tp t="s">
        <v>#N/A Requesting Data...4023845107</v>
        <stp/>
        <stp>BDP|3139403542601412533</stp>
        <tr r="B28" s="1"/>
      </tp>
      <tp t="e">
        <v>#N/A</v>
        <stp/>
        <stp>BDH|9427950716706130027</stp>
        <tr r="K48" s="10"/>
      </tp>
      <tp t="e">
        <v>#N/A</v>
        <stp/>
        <stp>BDH|8849604721568933347</stp>
        <tr r="AS186" s="10"/>
      </tp>
      <tp t="e">
        <v>#N/A</v>
        <stp/>
        <stp>BDH|1704588512754096696</stp>
        <tr r="C124" s="10"/>
      </tp>
      <tp t="e">
        <v>#N/A</v>
        <stp/>
        <stp>BDH|6481969780006658607</stp>
        <tr r="F169" s="10"/>
      </tp>
      <tp t="e">
        <v>#N/A</v>
        <stp/>
        <stp>BDH|1034266285274422837</stp>
        <tr r="AK156" s="10"/>
      </tp>
      <tp t="e">
        <v>#N/A</v>
        <stp/>
        <stp>BDH|3241091084609805537</stp>
        <tr r="AU82" s="10"/>
      </tp>
      <tp t="e">
        <v>#N/A</v>
        <stp/>
        <stp>BDH|3435399828487495253</stp>
        <tr r="AE119" s="10"/>
      </tp>
      <tp t="e">
        <v>#N/A</v>
        <stp/>
        <stp>BDH|5752710125253612411</stp>
        <tr r="AP28" s="10"/>
      </tp>
      <tp t="e">
        <v>#N/A</v>
        <stp/>
        <stp>BDH|8215210353618291069</stp>
        <tr r="AI56" s="10"/>
      </tp>
      <tp t="e">
        <v>#N/A</v>
        <stp/>
        <stp>BDH|3790083673023156099</stp>
        <tr r="AD75" s="10"/>
      </tp>
      <tp t="e">
        <v>#N/A</v>
        <stp/>
        <stp>BDH|6404423554943540337</stp>
        <tr r="AF59" s="10"/>
      </tp>
      <tp t="e">
        <v>#N/A</v>
        <stp/>
        <stp>BDH|2374785983373596991</stp>
        <tr r="AV90" s="10"/>
      </tp>
      <tp t="e">
        <v>#N/A</v>
        <stp/>
        <stp>BDH|6996219950223427589</stp>
        <tr r="S156" s="10"/>
      </tp>
      <tp t="e">
        <v>#N/A</v>
        <stp/>
        <stp>BDH|5782012131407043632</stp>
        <tr r="AP105" s="10"/>
      </tp>
      <tp t="e">
        <v>#N/A</v>
        <stp/>
        <stp>BDH|6208157709523309399</stp>
        <tr r="R42" s="10"/>
      </tp>
      <tp t="e">
        <v>#N/A</v>
        <stp/>
        <stp>BDH|2929690421824330562</stp>
        <tr r="V116" s="10"/>
      </tp>
      <tp t="e">
        <v>#N/A</v>
        <stp/>
        <stp>BDH|2155678505642472136</stp>
        <tr r="AC115" s="10"/>
      </tp>
      <tp t="e">
        <v>#N/A</v>
        <stp/>
        <stp>BDH|8753188145429802365</stp>
        <tr r="AQ82" s="10"/>
      </tp>
      <tp t="e">
        <v>#N/A</v>
        <stp/>
        <stp>BDH|9199801967401431161</stp>
        <tr r="AF52" s="10"/>
      </tp>
      <tp t="e">
        <v>#N/A</v>
        <stp/>
        <stp>BDH|8555126857478608329</stp>
        <tr r="AG19" s="10"/>
      </tp>
      <tp t="s">
        <v>#N/A Requesting Data...4170232213</v>
        <stp/>
        <stp>BDP|8772376784380297438</stp>
        <tr r="I38" s="1"/>
      </tp>
      <tp t="e">
        <v>#N/A</v>
        <stp/>
        <stp>BDH|2306732635899498842</stp>
        <tr r="H141" s="10"/>
      </tp>
      <tp t="e">
        <v>#N/A</v>
        <stp/>
        <stp>BDH|7892689813162558534</stp>
        <tr r="H131" s="10"/>
      </tp>
      <tp t="e">
        <v>#N/A</v>
        <stp/>
        <stp>BDH|2744621502075410664</stp>
        <tr r="AM155" s="10"/>
      </tp>
      <tp t="e">
        <v>#N/A</v>
        <stp/>
        <stp>BDH|6104562331907026039</stp>
        <tr r="N93" s="10"/>
      </tp>
      <tp t="e">
        <v>#N/A</v>
        <stp/>
        <stp>BDH|2374912901674772814</stp>
        <tr r="X101" s="10"/>
      </tp>
      <tp t="e">
        <v>#N/A</v>
        <stp/>
        <stp>BDH|7792322218165896700</stp>
        <tr r="I84" s="10"/>
      </tp>
      <tp t="e">
        <v>#N/A</v>
        <stp/>
        <stp>BDH|8046242185303532614</stp>
        <tr r="V51" s="10"/>
      </tp>
      <tp t="e">
        <v>#N/A</v>
        <stp/>
        <stp>BDH|2805489941775659029</stp>
        <tr r="AR29" s="10"/>
      </tp>
      <tp t="e">
        <v>#N/A</v>
        <stp/>
        <stp>BDH|5754098178984651153</stp>
        <tr r="AC73" s="10"/>
      </tp>
      <tp t="e">
        <v>#N/A</v>
        <stp/>
        <stp>BDH|4628206107011645025</stp>
        <tr r="U159" s="10"/>
      </tp>
      <tp t="e">
        <v>#N/A</v>
        <stp/>
        <stp>BDH|5365833393285077664</stp>
        <tr r="S29" s="10"/>
      </tp>
      <tp t="e">
        <v>#N/A</v>
        <stp/>
        <stp>BDH|6881645140071024298</stp>
        <tr r="AM14" s="10"/>
      </tp>
      <tp t="e">
        <v>#N/A</v>
        <stp/>
        <stp>BDH|5219210025877580566</stp>
        <tr r="D153" s="10"/>
      </tp>
      <tp t="e">
        <v>#N/A</v>
        <stp/>
        <stp>BDH|4369006498138664280</stp>
        <tr r="AA30" s="10"/>
      </tp>
      <tp t="e">
        <v>#N/A</v>
        <stp/>
        <stp>BDH|6343426979667871555</stp>
        <tr r="Z113" s="10"/>
      </tp>
      <tp t="e">
        <v>#N/A</v>
        <stp/>
        <stp>BDH|1877188081808388777</stp>
        <tr r="AU46" s="10"/>
      </tp>
      <tp t="e">
        <v>#N/A</v>
        <stp/>
        <stp>BDH|9702712085960023163</stp>
        <tr r="Y188" s="10"/>
      </tp>
      <tp t="e">
        <v>#N/A</v>
        <stp/>
        <stp>BDH|6940498140653569201</stp>
        <tr r="R143" s="10"/>
      </tp>
      <tp t="e">
        <v>#N/A</v>
        <stp/>
        <stp>BDH|4739411530926431277</stp>
        <tr r="AG96" s="10"/>
      </tp>
      <tp t="e">
        <v>#N/A</v>
        <stp/>
        <stp>BDH|2999426311432742280</stp>
        <tr r="J129" s="10"/>
      </tp>
    </main>
    <main first="bofaddin.rtdserver">
      <tp t="e">
        <v>#N/A</v>
        <stp/>
        <stp>BDH|23203115619639075</stp>
        <tr r="AF7" s="10"/>
      </tp>
      <tp t="e">
        <v>#N/A</v>
        <stp/>
        <stp>BDH|63756045058796152</stp>
        <tr r="X5" s="10"/>
      </tp>
      <tp t="e">
        <v>#N/A</v>
        <stp/>
        <stp>BDH|29387847885414884</stp>
        <tr r="AD52" s="10"/>
      </tp>
      <tp t="s">
        <v>#N/A Requesting Data...4204350773</v>
        <stp/>
        <stp>BDP|3963779985644861893</stp>
        <tr r="F112" s="2"/>
        <tr r="F113" s="2"/>
      </tp>
      <tp t="s">
        <v>#N/A Requesting Data...4294577219</v>
        <stp/>
        <stp>BDP|7287230515971909573</stp>
        <tr r="D18" s="1"/>
      </tp>
      <tp t="e">
        <v>#N/A</v>
        <stp/>
        <stp>BDH|4120062736221918622</stp>
        <tr r="AI180" s="10"/>
      </tp>
      <tp t="e">
        <v>#N/A</v>
        <stp/>
        <stp>BDH|1300619184807474886</stp>
        <tr r="AT183" s="10"/>
      </tp>
      <tp t="e">
        <v>#N/A</v>
        <stp/>
        <stp>BDH|2086682269945309780</stp>
        <tr r="AJ107" s="10"/>
      </tp>
      <tp t="e">
        <v>#N/A</v>
        <stp/>
        <stp>BDH|1861315876532654736</stp>
        <tr r="AN114" s="10"/>
      </tp>
      <tp t="e">
        <v>#N/A</v>
        <stp/>
        <stp>BDH|6375453122529933976</stp>
        <tr r="J86" s="10"/>
      </tp>
      <tp t="e">
        <v>#N/A</v>
        <stp/>
        <stp>BDH|6754594841600365765</stp>
        <tr r="R123" s="10"/>
      </tp>
      <tp t="e">
        <v>#N/A</v>
        <stp/>
        <stp>BDH|7927230690664920891</stp>
        <tr r="AJ85" s="10"/>
      </tp>
      <tp t="e">
        <v>#N/A</v>
        <stp/>
        <stp>BDH|6752514014750064286</stp>
        <tr r="K60" s="10"/>
      </tp>
      <tp t="e">
        <v>#N/A</v>
        <stp/>
        <stp>BDH|6151208934466972168</stp>
        <tr r="AB67" s="10"/>
      </tp>
      <tp t="e">
        <v>#N/A</v>
        <stp/>
        <stp>BDH|1436392195788667346</stp>
        <tr r="I79" s="10"/>
      </tp>
      <tp t="e">
        <v>#N/A</v>
        <stp/>
        <stp>BDH|4788798108066511599</stp>
        <tr r="AP9" s="10"/>
      </tp>
      <tp t="e">
        <v>#N/A</v>
        <stp/>
        <stp>BDH|7423663018954823481</stp>
        <tr r="J53" s="10"/>
      </tp>
      <tp t="e">
        <v>#N/A</v>
        <stp/>
        <stp>BDH|1095460026362964536</stp>
        <tr r="X178" s="10"/>
      </tp>
      <tp t="e">
        <v>#N/A</v>
        <stp/>
        <stp>BDH|6010165247131399286</stp>
        <tr r="O4" s="10"/>
      </tp>
      <tp t="e">
        <v>#N/A</v>
        <stp/>
        <stp>BDH|4024569319730285079</stp>
        <tr r="E32" s="10"/>
      </tp>
      <tp t="e">
        <v>#N/A</v>
        <stp/>
        <stp>BDH|4997892425398851671</stp>
        <tr r="H74" s="10"/>
      </tp>
      <tp t="e">
        <v>#N/A</v>
        <stp/>
        <stp>BDH|3081823505263967840</stp>
        <tr r="AH58" s="10"/>
      </tp>
      <tp t="e">
        <v>#N/A</v>
        <stp/>
        <stp>BDH|7576657754304880064</stp>
        <tr r="E183" s="10"/>
      </tp>
      <tp t="s">
        <v>#N/A Requesting Data...4094169723</v>
        <stp/>
        <stp>BDP|4937108543031471055</stp>
        <tr r="B3" s="1"/>
      </tp>
      <tp t="s">
        <v>#N/A Requesting Data...4116509384</v>
        <stp/>
        <stp>BDP|1565560950585008489</stp>
        <tr r="I17" s="1"/>
      </tp>
      <tp t="e">
        <v>#N/A</v>
        <stp/>
        <stp>BDH|9246998054211583417</stp>
        <tr r="AW109" s="10"/>
      </tp>
      <tp t="e">
        <v>#N/A</v>
        <stp/>
        <stp>BDH|5863113953792354325</stp>
        <tr r="AU15" s="10"/>
      </tp>
      <tp t="e">
        <v>#N/A</v>
        <stp/>
        <stp>BDH|1950501333573637470</stp>
        <tr r="AW173" s="10"/>
      </tp>
      <tp t="e">
        <v>#N/A</v>
        <stp/>
        <stp>BDH|3434190266262748677</stp>
        <tr r="T135" s="10"/>
      </tp>
      <tp t="e">
        <v>#N/A</v>
        <stp/>
        <stp>BDH|7239221628433126426</stp>
        <tr r="K168" s="10"/>
      </tp>
      <tp t="e">
        <v>#N/A</v>
        <stp/>
        <stp>BDH|9560652178549041130</stp>
        <tr r="Q179" s="10"/>
      </tp>
      <tp t="e">
        <v>#N/A</v>
        <stp/>
        <stp>BDH|7864474069642880758</stp>
        <tr r="V184" s="10"/>
      </tp>
      <tp t="e">
        <v>#N/A</v>
        <stp/>
        <stp>BDH|4835214460398349816</stp>
        <tr r="AR193" s="10"/>
      </tp>
      <tp t="e">
        <v>#N/A</v>
        <stp/>
        <stp>BDH|1197775433251963470</stp>
        <tr r="AK34" s="10"/>
      </tp>
      <tp t="e">
        <v>#N/A</v>
        <stp/>
        <stp>BDH|3066660864876868510</stp>
        <tr r="AL124" s="10"/>
      </tp>
      <tp t="e">
        <v>#N/A</v>
        <stp/>
        <stp>BDH|1893230949737127084</stp>
        <tr r="S144" s="10"/>
      </tp>
      <tp t="e">
        <v>#N/A</v>
        <stp/>
        <stp>BDH|7726382023575187366</stp>
        <tr r="AL114" s="10"/>
      </tp>
      <tp t="e">
        <v>#N/A</v>
        <stp/>
        <stp>BDH|8393362580901763299</stp>
        <tr r="I60" s="10"/>
      </tp>
      <tp t="e">
        <v>#N/A</v>
        <stp/>
        <stp>BDH|1997006967050364764</stp>
        <tr r="J43" s="10"/>
      </tp>
      <tp t="e">
        <v>#N/A</v>
        <stp/>
        <stp>BDH|6928515460742080735</stp>
        <tr r="Q35" s="10"/>
      </tp>
      <tp t="e">
        <v>#N/A</v>
        <stp/>
        <stp>BDH|7215833545369666298</stp>
        <tr r="W127" s="10"/>
      </tp>
      <tp t="e">
        <v>#N/A</v>
        <stp/>
        <stp>BDH|5565020025693902431</stp>
        <tr r="Y27" s="10"/>
      </tp>
      <tp t="e">
        <v>#N/A</v>
        <stp/>
        <stp>BDH|7110497068312977717</stp>
        <tr r="G166" s="10"/>
      </tp>
      <tp t="e">
        <v>#N/A</v>
        <stp/>
        <stp>BDH|3699927011712457999</stp>
        <tr r="Y35" s="10"/>
      </tp>
      <tp t="e">
        <v>#N/A</v>
        <stp/>
        <stp>BDH|7662778748246496251</stp>
        <tr r="AP125" s="10"/>
      </tp>
      <tp t="e">
        <v>#N/A</v>
        <stp/>
        <stp>BDH|6966770187701869893</stp>
        <tr r="AD117" s="10"/>
      </tp>
      <tp t="e">
        <v>#N/A</v>
        <stp/>
        <stp>BDH|4790339103526664195</stp>
        <tr r="AA192" s="10"/>
      </tp>
      <tp t="e">
        <v>#N/A</v>
        <stp/>
        <stp>BDH|8063904811465051595</stp>
        <tr r="AA5" s="10"/>
      </tp>
      <tp t="e">
        <v>#N/A</v>
        <stp/>
        <stp>BDH|3118488010230443657</stp>
        <tr r="AC89" s="10"/>
      </tp>
      <tp t="e">
        <v>#N/A</v>
        <stp/>
        <stp>BDH|7127832389910460770</stp>
        <tr r="AV61" s="10"/>
      </tp>
      <tp t="e">
        <v>#N/A</v>
        <stp/>
        <stp>BDH|3093579965908814838</stp>
        <tr r="Z41" s="10"/>
      </tp>
      <tp t="e">
        <v>#N/A</v>
        <stp/>
        <stp>BDH|9060954918399689829</stp>
        <tr r="AB35" s="10"/>
      </tp>
      <tp t="e">
        <v>#N/A</v>
        <stp/>
        <stp>BDH|6889134024994614101</stp>
        <tr r="E155" s="10"/>
      </tp>
      <tp t="e">
        <v>#N/A</v>
        <stp/>
        <stp>BDH|2790056818690089335</stp>
        <tr r="AM134" s="10"/>
      </tp>
      <tp t="e">
        <v>#N/A</v>
        <stp/>
        <stp>BDH|2152233469103342514</stp>
        <tr r="L126" s="10"/>
      </tp>
      <tp t="e">
        <v>#N/A</v>
        <stp/>
        <stp>BDH|1799941036183866849</stp>
        <tr r="AS100" s="10"/>
      </tp>
      <tp t="e">
        <v>#N/A</v>
        <stp/>
        <stp>BDH|7706333009286546213</stp>
        <tr r="D105" s="10"/>
      </tp>
      <tp t="e">
        <v>#N/A</v>
        <stp/>
        <stp>BDH|9033098558655832907</stp>
        <tr r="AS21" s="10"/>
      </tp>
      <tp t="e">
        <v>#N/A</v>
        <stp/>
        <stp>BDH|4551706658267003148</stp>
        <tr r="K76" s="10"/>
      </tp>
      <tp t="e">
        <v>#N/A</v>
        <stp/>
        <stp>BDH|3393634706733937662</stp>
        <tr r="AP69" s="10"/>
      </tp>
      <tp t="e">
        <v>#N/A</v>
        <stp/>
        <stp>BDH|6752092547227366538</stp>
        <tr r="T30" s="10"/>
      </tp>
      <tp t="e">
        <v>#N/A</v>
        <stp/>
        <stp>BDH|8325351863235433889</stp>
        <tr r="Q64" s="10"/>
      </tp>
      <tp t="e">
        <v>#N/A</v>
        <stp/>
        <stp>BDH|4630511015704811439</stp>
        <tr r="Z155" s="10"/>
      </tp>
      <tp t="e">
        <v>#N/A</v>
        <stp/>
        <stp>BDH|5802607575962606621</stp>
        <tr r="S172" s="10"/>
      </tp>
      <tp t="e">
        <v>#N/A</v>
        <stp/>
        <stp>BDH|5324619447084938357</stp>
        <tr r="G130" s="10"/>
      </tp>
      <tp t="e">
        <v>#N/A</v>
        <stp/>
        <stp>BDH|2011740478820708226</stp>
        <tr r="AC99" s="10"/>
      </tp>
      <tp t="e">
        <v>#N/A</v>
        <stp/>
        <stp>BDH|8544946858501983590</stp>
        <tr r="AJ109" s="10"/>
      </tp>
      <tp t="e">
        <v>#N/A</v>
        <stp/>
        <stp>BDH|1204719692207925817</stp>
        <tr r="AW156" s="10"/>
      </tp>
      <tp t="s">
        <v>#N/A Requesting Data...4092129839</v>
        <stp/>
        <stp>BDP|9326625062588523182</stp>
        <tr r="D27" s="1"/>
      </tp>
      <tp t="e">
        <v>#N/A</v>
        <stp/>
        <stp>BDH|4422975347921296886</stp>
        <tr r="T177" s="10"/>
      </tp>
      <tp t="e">
        <v>#N/A</v>
        <stp/>
        <stp>BDH|7964568036807071670</stp>
        <tr r="AE52" s="10"/>
      </tp>
      <tp t="e">
        <v>#N/A</v>
        <stp/>
        <stp>BDH|8675708457992835874</stp>
        <tr r="AK31" s="10"/>
      </tp>
      <tp t="e">
        <v>#N/A</v>
        <stp/>
        <stp>BDH|7880294245991310095</stp>
        <tr r="AQ20" s="10"/>
      </tp>
      <tp t="e">
        <v>#N/A</v>
        <stp/>
        <stp>BDH|5057766289999291333</stp>
        <tr r="Q66" s="10"/>
      </tp>
      <tp t="e">
        <v>#N/A</v>
        <stp/>
        <stp>BDH|4859186965711872230</stp>
        <tr r="U17" s="10"/>
      </tp>
      <tp t="e">
        <v>#N/A</v>
        <stp/>
        <stp>BDH|5858127625857809198</stp>
        <tr r="AR152" s="10"/>
      </tp>
      <tp t="e">
        <v>#N/A</v>
        <stp/>
        <stp>BDH|9321991133696011576</stp>
        <tr r="AS159" s="10"/>
      </tp>
      <tp t="e">
        <v>#N/A</v>
        <stp/>
        <stp>BDH|5874339162725383544</stp>
        <tr r="AM180" s="10"/>
      </tp>
      <tp t="e">
        <v>#N/A</v>
        <stp/>
        <stp>BDH|5199957688986010222</stp>
        <tr r="AR159" s="10"/>
      </tp>
      <tp t="e">
        <v>#N/A</v>
        <stp/>
        <stp>BDH|4841118112816001250</stp>
        <tr r="I145" s="10"/>
      </tp>
      <tp t="e">
        <v>#N/A</v>
        <stp/>
        <stp>BDH|4471273913385956274</stp>
        <tr r="AV160" s="10"/>
      </tp>
      <tp t="e">
        <v>#N/A</v>
        <stp/>
        <stp>BDH|2943454351772099137</stp>
        <tr r="E99" s="10"/>
      </tp>
      <tp t="e">
        <v>#N/A</v>
        <stp/>
        <stp>BDH|4218822293250406598</stp>
        <tr r="G74" s="10"/>
      </tp>
      <tp t="e">
        <v>#N/A</v>
        <stp/>
        <stp>BDH|8811698160908989061</stp>
        <tr r="AM131" s="10"/>
      </tp>
      <tp t="e">
        <v>#N/A</v>
        <stp/>
        <stp>BDH|9882314809322978872</stp>
        <tr r="AV163" s="10"/>
      </tp>
      <tp t="e">
        <v>#N/A</v>
        <stp/>
        <stp>BDH|5204538366553151582</stp>
        <tr r="X18" s="10"/>
      </tp>
      <tp t="e">
        <v>#N/A</v>
        <stp/>
        <stp>BDH|4951665027602290243</stp>
        <tr r="AE82" s="10"/>
      </tp>
      <tp t="e">
        <v>#N/A</v>
        <stp/>
        <stp>BDH|7059662509747049618</stp>
        <tr r="AF134" s="10"/>
      </tp>
      <tp t="e">
        <v>#N/A</v>
        <stp/>
        <stp>BDH|1407024920887044484</stp>
        <tr r="AG5" s="10"/>
      </tp>
      <tp t="e">
        <v>#N/A</v>
        <stp/>
        <stp>BDH|2461348828315048666</stp>
        <tr r="N133" s="10"/>
      </tp>
      <tp t="e">
        <v>#N/A</v>
        <stp/>
        <stp>BDH|5863529858213476685</stp>
        <tr r="AK15" s="10"/>
      </tp>
      <tp t="e">
        <v>#N/A</v>
        <stp/>
        <stp>BDH|6915549035566436620</stp>
        <tr r="AC109" s="10"/>
      </tp>
      <tp t="e">
        <v>#N/A</v>
        <stp/>
        <stp>BDH|8481882552616132311</stp>
        <tr r="AW77" s="10"/>
      </tp>
      <tp t="e">
        <v>#N/A</v>
        <stp/>
        <stp>BDH|2283424266063093394</stp>
        <tr r="P38" s="10"/>
      </tp>
      <tp t="e">
        <v>#N/A</v>
        <stp/>
        <stp>BDH|6423489351382022528</stp>
        <tr r="AW130" s="10"/>
      </tp>
      <tp t="e">
        <v>#N/A</v>
        <stp/>
        <stp>BDH|5951413222700506304</stp>
        <tr r="K87" s="10"/>
      </tp>
      <tp t="e">
        <v>#N/A</v>
        <stp/>
        <stp>BDH|2823714110890099463</stp>
        <tr r="L5" s="10"/>
      </tp>
      <tp t="e">
        <v>#N/A</v>
        <stp/>
        <stp>BDH|5499380122046294234</stp>
        <tr r="AD94" s="10"/>
      </tp>
      <tp t="e">
        <v>#N/A</v>
        <stp/>
        <stp>BDH|3446230174666954050</stp>
        <tr r="F152" s="10"/>
      </tp>
      <tp t="e">
        <v>#N/A</v>
        <stp/>
        <stp>BDH|7065398043367037758</stp>
        <tr r="AN143" s="10"/>
      </tp>
      <tp t="e">
        <v>#N/A</v>
        <stp/>
        <stp>BDH|8910727880464567312</stp>
        <tr r="K26" s="10"/>
      </tp>
      <tp t="e">
        <v>#N/A</v>
        <stp/>
        <stp>BDH|5155161569927748562</stp>
        <tr r="AD97" s="10"/>
      </tp>
      <tp t="e">
        <v>#N/A</v>
        <stp/>
        <stp>BDH|5776099562613230011</stp>
        <tr r="AF161" s="10"/>
      </tp>
      <tp t="e">
        <v>#N/A</v>
        <stp/>
        <stp>BDH|3569561260151981153</stp>
        <tr r="AD42" s="10"/>
      </tp>
      <tp t="e">
        <v>#N/A</v>
        <stp/>
        <stp>BDH|9817964147806299249</stp>
        <tr r="O93" s="10"/>
      </tp>
      <tp t="e">
        <v>#N/A</v>
        <stp/>
        <stp>BDH|4450878075059129280</stp>
        <tr r="S131" s="10"/>
      </tp>
      <tp t="s">
        <v>#N/A Requesting Data...4210329500</v>
        <stp/>
        <stp>BDP|2309793551290128067</stp>
        <tr r="B15" s="1"/>
      </tp>
      <tp t="s">
        <v>#N/A Requesting Data...4071766626</v>
        <stp/>
        <stp>BDP|3195162837949448880</stp>
        <tr r="O33" s="1"/>
      </tp>
      <tp t="e">
        <v>#N/A</v>
        <stp/>
        <stp>BDH|2963355544472618727</stp>
        <tr r="Q192" s="10"/>
      </tp>
      <tp t="e">
        <v>#N/A</v>
        <stp/>
        <stp>BDH|1656543238197713016</stp>
        <tr r="AG33" s="10"/>
      </tp>
      <tp t="e">
        <v>#N/A</v>
        <stp/>
        <stp>BDH|5645374970048838951</stp>
        <tr r="AD58" s="10"/>
      </tp>
      <tp t="e">
        <v>#N/A</v>
        <stp/>
        <stp>BDH|4001127568377154474</stp>
        <tr r="AI101" s="10"/>
      </tp>
      <tp t="e">
        <v>#N/A</v>
        <stp/>
        <stp>BDH|5877310204090417653</stp>
        <tr r="T58" s="10"/>
      </tp>
      <tp t="e">
        <v>#N/A</v>
        <stp/>
        <stp>BDH|5791838491787870315</stp>
        <tr r="AH26" s="10"/>
      </tp>
      <tp t="e">
        <v>#N/A</v>
        <stp/>
        <stp>BDH|9655586676709239263</stp>
        <tr r="AE152" s="10"/>
      </tp>
      <tp t="e">
        <v>#N/A</v>
        <stp/>
        <stp>BDH|2480542028652381773</stp>
        <tr r="V163" s="10"/>
      </tp>
      <tp t="e">
        <v>#N/A</v>
        <stp/>
        <stp>BDH|6850441524624653420</stp>
        <tr r="K101" s="10"/>
      </tp>
      <tp t="e">
        <v>#N/A</v>
        <stp/>
        <stp>BDH|5345284885716026923</stp>
        <tr r="AG49" s="10"/>
      </tp>
      <tp t="e">
        <v>#N/A</v>
        <stp/>
        <stp>BDH|4111377050472330098</stp>
        <tr r="M176" s="10"/>
      </tp>
      <tp t="e">
        <v>#N/A</v>
        <stp/>
        <stp>BDH|6407388174310059245</stp>
        <tr r="AI166" s="10"/>
      </tp>
      <tp t="e">
        <v>#N/A</v>
        <stp/>
        <stp>BDH|9198720879991596832</stp>
        <tr r="AN56" s="10"/>
      </tp>
      <tp t="e">
        <v>#N/A</v>
        <stp/>
        <stp>BDH|1581775928387042365</stp>
        <tr r="D50" s="10"/>
      </tp>
      <tp t="e">
        <v>#N/A</v>
        <stp/>
        <stp>BDH|6298703918824500422</stp>
        <tr r="AD89" s="10"/>
      </tp>
      <tp t="e">
        <v>#N/A</v>
        <stp/>
        <stp>BDH|3176026099599305344</stp>
        <tr r="D58" s="10"/>
      </tp>
      <tp t="e">
        <v>#N/A</v>
        <stp/>
        <stp>BDH|4852119971897307566</stp>
        <tr r="AT46" s="10"/>
      </tp>
      <tp t="e">
        <v>#N/A</v>
        <stp/>
        <stp>BDH|4488199911532203636</stp>
        <tr r="P61" s="10"/>
      </tp>
      <tp t="e">
        <v>#N/A</v>
        <stp/>
        <stp>BDH|3966206671387214170</stp>
        <tr r="AP191" s="10"/>
      </tp>
      <tp t="e">
        <v>#N/A</v>
        <stp/>
        <stp>BDH|2200231710692804345</stp>
        <tr r="AS184" s="10"/>
      </tp>
      <tp t="e">
        <v>#N/A</v>
        <stp/>
        <stp>BDH|5677081575533649102</stp>
        <tr r="M78" s="10"/>
      </tp>
      <tp t="e">
        <v>#N/A</v>
        <stp/>
        <stp>BDH|3546361951577624296</stp>
        <tr r="T119" s="10"/>
      </tp>
      <tp t="e">
        <v>#N/A</v>
        <stp/>
        <stp>BDH|3553033579074579076</stp>
        <tr r="AH136" s="10"/>
      </tp>
      <tp t="e">
        <v>#N/A</v>
        <stp/>
        <stp>BDH|7944306184125461943</stp>
        <tr r="AH143" s="10"/>
      </tp>
      <tp t="e">
        <v>#N/A</v>
        <stp/>
        <stp>BDH|6897716002985092469</stp>
        <tr r="AS173" s="10"/>
      </tp>
      <tp t="e">
        <v>#N/A</v>
        <stp/>
        <stp>BDH|4293874288314389030</stp>
        <tr r="AL40" s="10"/>
      </tp>
      <tp t="e">
        <v>#N/A</v>
        <stp/>
        <stp>BDH|7213798255422569762</stp>
        <tr r="S181" s="10"/>
      </tp>
      <tp t="e">
        <v>#N/A</v>
        <stp/>
        <stp>BDH|3497088126320684111</stp>
        <tr r="J90" s="10"/>
      </tp>
      <tp t="e">
        <v>#N/A</v>
        <stp/>
        <stp>BDH|2836025752932367563</stp>
        <tr r="AQ187" s="10"/>
      </tp>
      <tp t="e">
        <v>#N/A</v>
        <stp/>
        <stp>BDH|5995094974517970505</stp>
        <tr r="O135" s="10"/>
      </tp>
      <tp t="e">
        <v>#N/A</v>
        <stp/>
        <stp>BDH|6330913516579088791</stp>
        <tr r="Z56" s="10"/>
      </tp>
      <tp t="e">
        <v>#N/A</v>
        <stp/>
        <stp>BDH|5832139955900197125</stp>
        <tr r="Z165" s="10"/>
      </tp>
      <tp t="e">
        <v>#N/A</v>
        <stp/>
        <stp>BDH|6759684845547586322</stp>
        <tr r="R54" s="10"/>
      </tp>
      <tp t="e">
        <v>#N/A</v>
        <stp/>
        <stp>BDH|6736083628263444715</stp>
        <tr r="C128" s="10"/>
      </tp>
      <tp t="e">
        <v>#N/A</v>
        <stp/>
        <stp>BDH|8409171177398422623</stp>
        <tr r="AA38" s="10"/>
      </tp>
      <tp t="e">
        <v>#N/A</v>
        <stp/>
        <stp>BDH|1011618875462380256</stp>
        <tr r="E60" s="10"/>
      </tp>
      <tp t="e">
        <v>#N/A</v>
        <stp/>
        <stp>BDH|8840646460240744896</stp>
        <tr r="AK36" s="10"/>
      </tp>
      <tp t="e">
        <v>#N/A</v>
        <stp/>
        <stp>BDH|5097559746672031617</stp>
        <tr r="X162" s="10"/>
      </tp>
      <tp t="e">
        <v>#N/A</v>
        <stp/>
        <stp>BDH|9527620015397802983</stp>
        <tr r="M184" s="10"/>
      </tp>
      <tp t="e">
        <v>#N/A</v>
        <stp/>
        <stp>BDH|4578276607514629213</stp>
        <tr r="AM103" s="10"/>
      </tp>
      <tp t="e">
        <v>#N/A</v>
        <stp/>
        <stp>BDH|7476425474371223527</stp>
        <tr r="G75" s="10"/>
      </tp>
      <tp t="e">
        <v>#N/A</v>
        <stp/>
        <stp>BDH|5022736397149421220</stp>
        <tr r="P46" s="10"/>
      </tp>
      <tp t="e">
        <v>#N/A</v>
        <stp/>
        <stp>BDH|3487389306956861609</stp>
        <tr r="N38" s="10"/>
      </tp>
      <tp t="e">
        <v>#N/A</v>
        <stp/>
        <stp>BDH|4116354236404249022</stp>
        <tr r="AL31" s="10"/>
      </tp>
      <tp t="e">
        <v>#N/A</v>
        <stp/>
        <stp>BDH|7694868554312358851</stp>
        <tr r="T82" s="10"/>
      </tp>
      <tp t="e">
        <v>#N/A</v>
        <stp/>
        <stp>BDH|5736894647820319987</stp>
        <tr r="R64" s="10"/>
      </tp>
      <tp t="e">
        <v>#N/A</v>
        <stp/>
        <stp>BDH|5738950851930061916</stp>
        <tr r="AD3" s="10"/>
      </tp>
      <tp t="e">
        <v>#N/A</v>
        <stp/>
        <stp>BDH|4678430242957164342</stp>
        <tr r="L115" s="10"/>
      </tp>
      <tp t="e">
        <v>#N/A</v>
        <stp/>
        <stp>BDH|4949409869654611247</stp>
        <tr r="S4" s="10"/>
      </tp>
      <tp t="e">
        <v>#N/A</v>
        <stp/>
        <stp>BDH|1553166123875655743</stp>
        <tr r="H188" s="10"/>
      </tp>
      <tp t="e">
        <v>#N/A</v>
        <stp/>
        <stp>BDH|2204547052434587636</stp>
        <tr r="AH177" s="10"/>
      </tp>
      <tp t="e">
        <v>#N/A</v>
        <stp/>
        <stp>BDH|9936329564515400992</stp>
        <tr r="AL137" s="10"/>
      </tp>
      <tp t="e">
        <v>#N/A</v>
        <stp/>
        <stp>BDH|4363165736431498753</stp>
        <tr r="C68" s="10"/>
      </tp>
      <tp t="e">
        <v>#N/A</v>
        <stp/>
        <stp>BDH|9175071185195029419</stp>
        <tr r="AR164" s="10"/>
      </tp>
      <tp t="e">
        <v>#N/A</v>
        <stp/>
        <stp>BDH|5193300258924955729</stp>
        <tr r="D157" s="10"/>
      </tp>
      <tp t="e">
        <v>#N/A</v>
        <stp/>
        <stp>BDH|2066273511120531119</stp>
        <tr r="AA168" s="10"/>
      </tp>
      <tp t="e">
        <v>#N/A</v>
        <stp/>
        <stp>BDH|1228261551130452639</stp>
        <tr r="AM63" s="10"/>
      </tp>
      <tp t="s">
        <v>#N/A Requesting Data...4101767041</v>
        <stp/>
        <stp>BDP|1463223834671707164</stp>
        <tr r="D41" s="6"/>
        <tr r="H30" s="1"/>
      </tp>
      <tp t="e">
        <v>#N/A</v>
        <stp/>
        <stp>BDH|6786643755800257577</stp>
        <tr r="N70" s="10"/>
      </tp>
      <tp t="e">
        <v>#N/A</v>
        <stp/>
        <stp>BDH|3159762064016979491</stp>
        <tr r="AR53" s="10"/>
      </tp>
      <tp t="e">
        <v>#N/A</v>
        <stp/>
        <stp>BDH|8859053036622012980</stp>
        <tr r="AU117" s="10"/>
      </tp>
      <tp t="e">
        <v>#N/A</v>
        <stp/>
        <stp>BDH|2401420684037327922</stp>
        <tr r="AA81" s="10"/>
      </tp>
      <tp t="e">
        <v>#N/A</v>
        <stp/>
        <stp>BDH|5639121151366418723</stp>
        <tr r="AA19" s="10"/>
      </tp>
      <tp t="e">
        <v>#N/A</v>
        <stp/>
        <stp>BDH|4699311856974435661</stp>
        <tr r="K117" s="10"/>
      </tp>
      <tp t="e">
        <v>#N/A</v>
        <stp/>
        <stp>BDH|4766061976292322175</stp>
        <tr r="AI27" s="10"/>
      </tp>
      <tp t="e">
        <v>#N/A</v>
        <stp/>
        <stp>BDH|2490067600837540540</stp>
        <tr r="AD76" s="10"/>
      </tp>
      <tp t="e">
        <v>#N/A</v>
        <stp/>
        <stp>BDH|5587711141866465025</stp>
        <tr r="AT130" s="10"/>
      </tp>
      <tp t="e">
        <v>#N/A</v>
        <stp/>
        <stp>BDH|2920625737064822377</stp>
        <tr r="AA22" s="10"/>
      </tp>
      <tp t="e">
        <v>#N/A</v>
        <stp/>
        <stp>BDH|9428753946172372873</stp>
        <tr r="F39" s="10"/>
      </tp>
      <tp t="e">
        <v>#N/A</v>
        <stp/>
        <stp>BDH|7524526239984883551</stp>
        <tr r="AL183" s="10"/>
      </tp>
      <tp t="e">
        <v>#N/A</v>
        <stp/>
        <stp>BDH|2909146081058972365</stp>
        <tr r="Q139" s="10"/>
      </tp>
      <tp t="e">
        <v>#N/A</v>
        <stp/>
        <stp>BDH|6011289454976809775</stp>
        <tr r="AD139" s="10"/>
      </tp>
      <tp t="e">
        <v>#N/A</v>
        <stp/>
        <stp>BDH|8582126490552680224</stp>
        <tr r="AL63" s="10"/>
      </tp>
      <tp t="e">
        <v>#N/A</v>
        <stp/>
        <stp>BDH|7251307073552562178</stp>
        <tr r="AM171" s="10"/>
      </tp>
      <tp t="e">
        <v>#N/A</v>
        <stp/>
        <stp>BDH|7422754969604201299</stp>
        <tr r="V162" s="10"/>
      </tp>
      <tp t="e">
        <v>#N/A</v>
        <stp/>
        <stp>BDH|8171863254826223325</stp>
        <tr r="AH174" s="10"/>
      </tp>
      <tp t="e">
        <v>#N/A</v>
        <stp/>
        <stp>BDH|6419765851837401346</stp>
        <tr r="AB76" s="10"/>
      </tp>
      <tp t="e">
        <v>#N/A</v>
        <stp/>
        <stp>BDH|5774360883568495651</stp>
        <tr r="F186" s="10"/>
      </tp>
      <tp t="e">
        <v>#N/A</v>
        <stp/>
        <stp>BDH|8167013900610770849</stp>
        <tr r="AG26" s="10"/>
      </tp>
      <tp t="e">
        <v>#N/A</v>
        <stp/>
        <stp>BDH|8684055992450239105</stp>
        <tr r="AG126" s="10"/>
      </tp>
      <tp t="e">
        <v>#N/A</v>
        <stp/>
        <stp>BDH|5871590967865406311</stp>
        <tr r="AL7" s="10"/>
      </tp>
      <tp t="e">
        <v>#N/A</v>
        <stp/>
        <stp>BDH|6012958242388025379</stp>
        <tr r="V5" s="10"/>
      </tp>
      <tp t="e">
        <v>#N/A</v>
        <stp/>
        <stp>BDH|4338000305276695208</stp>
        <tr r="F29" s="10"/>
      </tp>
      <tp t="e">
        <v>#N/A</v>
        <stp/>
        <stp>BDH|6146232673190471353</stp>
        <tr r="G90" s="10"/>
      </tp>
      <tp t="e">
        <v>#N/A</v>
        <stp/>
        <stp>BDH|6660070763868154839</stp>
        <tr r="AW131" s="10"/>
      </tp>
      <tp t="e">
        <v>#N/A</v>
        <stp/>
        <stp>BDH|9940805408012845397</stp>
        <tr r="H161" s="10"/>
      </tp>
      <tp t="e">
        <v>#N/A</v>
        <stp/>
        <stp>BDH|2544534991787037976</stp>
        <tr r="AS129" s="10"/>
      </tp>
      <tp t="e">
        <v>#N/A</v>
        <stp/>
        <stp>BDH|8302732014247734931</stp>
        <tr r="AP134" s="10"/>
      </tp>
      <tp t="e">
        <v>#N/A</v>
        <stp/>
        <stp>BDH|4562732741726262150</stp>
        <tr r="AB86" s="10"/>
      </tp>
      <tp t="e">
        <v>#N/A</v>
        <stp/>
        <stp>BDH|2106365277315615362</stp>
        <tr r="S44" s="10"/>
      </tp>
      <tp t="e">
        <v>#N/A</v>
        <stp/>
        <stp>BDH|9126838679573337589</stp>
        <tr r="AJ102" s="10"/>
      </tp>
      <tp t="e">
        <v>#N/A</v>
        <stp/>
        <stp>BDH|7558940006636209856</stp>
        <tr r="D32" s="10"/>
      </tp>
      <tp t="e">
        <v>#N/A</v>
        <stp/>
        <stp>BDH|4508605375566313334</stp>
        <tr r="V127" s="10"/>
      </tp>
      <tp t="e">
        <v>#N/A</v>
        <stp/>
        <stp>BDH|3526359184760501818</stp>
        <tr r="AS191" s="10"/>
      </tp>
      <tp t="e">
        <v>#N/A</v>
        <stp/>
        <stp>BDH|2371165447092466560</stp>
        <tr r="S16" s="10"/>
      </tp>
      <tp t="e">
        <v>#N/A</v>
        <stp/>
        <stp>BDH|5955327111901951639</stp>
        <tr r="AB190" s="10"/>
      </tp>
      <tp t="e">
        <v>#N/A</v>
        <stp/>
        <stp>BDH|4152012446748330855</stp>
        <tr r="AV173" s="10"/>
      </tp>
      <tp t="e">
        <v>#N/A</v>
        <stp/>
        <stp>BDH|7591757863143549563</stp>
        <tr r="T151" s="10"/>
      </tp>
      <tp t="e">
        <v>#N/A</v>
        <stp/>
        <stp>BDH|7965627393811073986</stp>
        <tr r="AS97" s="10"/>
      </tp>
      <tp t="e">
        <v>#N/A</v>
        <stp/>
        <stp>BDH|5975257291816501883</stp>
        <tr r="AD81" s="10"/>
      </tp>
      <tp t="e">
        <v>#N/A</v>
        <stp/>
        <stp>BDH|1316289673641013585</stp>
        <tr r="AB59" s="10"/>
      </tp>
      <tp t="e">
        <v>#N/A</v>
        <stp/>
        <stp>BDH|8324249966135726962</stp>
        <tr r="G151" s="10"/>
      </tp>
      <tp t="e">
        <v>#N/A</v>
        <stp/>
        <stp>BDH|4279696062960964404</stp>
        <tr r="AE98" s="10"/>
      </tp>
      <tp t="e">
        <v>#N/A</v>
        <stp/>
        <stp>BDH|8150989005154571597</stp>
        <tr r="AR56" s="10"/>
      </tp>
      <tp t="e">
        <v>#N/A</v>
        <stp/>
        <stp>BDH|3317570929101459598</stp>
        <tr r="AI77" s="10"/>
      </tp>
      <tp t="e">
        <v>#N/A</v>
        <stp/>
        <stp>BDH|9587593329899190746</stp>
        <tr r="AO36" s="10"/>
      </tp>
      <tp t="e">
        <v>#N/A</v>
        <stp/>
        <stp>BDH|7694786653575820057</stp>
        <tr r="AT39" s="10"/>
      </tp>
      <tp t="e">
        <v>#N/A</v>
        <stp/>
        <stp>BDH|2090303185339045052</stp>
        <tr r="W41" s="10"/>
      </tp>
      <tp t="e">
        <v>#N/A</v>
        <stp/>
        <stp>BDH|9499032196663579344</stp>
        <tr r="AB57" s="10"/>
      </tp>
      <tp t="s">
        <v>#N/A Requesting Data...4209831654</v>
        <stp/>
        <stp>BDP|3651070763493037638</stp>
        <tr r="G5" s="3"/>
        <tr r="G16" s="3"/>
        <tr r="G17" s="3"/>
        <tr r="B8" s="6"/>
        <tr r="H8" s="2"/>
        <tr r="H65" s="2"/>
        <tr r="H76" s="2"/>
      </tp>
      <tp t="e">
        <v>#N/A</v>
        <stp/>
        <stp>BDH|5426794222526847666</stp>
        <tr r="AV86" s="10"/>
      </tp>
      <tp t="e">
        <v>#N/A</v>
        <stp/>
        <stp>BDH|8441628100759039779</stp>
        <tr r="AP127" s="10"/>
      </tp>
      <tp t="e">
        <v>#N/A</v>
        <stp/>
        <stp>BDH|5723952390611709447</stp>
        <tr r="AH133" s="10"/>
      </tp>
      <tp t="e">
        <v>#N/A</v>
        <stp/>
        <stp>BDH|9450676371918486072</stp>
        <tr r="Y45" s="10"/>
      </tp>
      <tp t="e">
        <v>#N/A</v>
        <stp/>
        <stp>BDH|6402059907796181066</stp>
        <tr r="AU53" s="10"/>
      </tp>
      <tp t="e">
        <v>#N/A</v>
        <stp/>
        <stp>BDH|8125865960276411024</stp>
        <tr r="N183" s="10"/>
      </tp>
      <tp t="e">
        <v>#N/A</v>
        <stp/>
        <stp>BDH|6072955874728058003</stp>
        <tr r="V96" s="10"/>
      </tp>
      <tp t="e">
        <v>#N/A</v>
        <stp/>
        <stp>BDH|3486741077151087264</stp>
        <tr r="AD83" s="10"/>
      </tp>
      <tp t="e">
        <v>#N/A</v>
        <stp/>
        <stp>BDH|2263378861194319368</stp>
        <tr r="AB146" s="10"/>
      </tp>
      <tp t="e">
        <v>#N/A</v>
        <stp/>
        <stp>BDH|9900694447839727216</stp>
        <tr r="AV75" s="10"/>
      </tp>
      <tp t="e">
        <v>#N/A</v>
        <stp/>
        <stp>BDH|4473473617317169649</stp>
        <tr r="J58" s="10"/>
      </tp>
      <tp t="e">
        <v>#N/A</v>
        <stp/>
        <stp>BDH|3067449119697514193</stp>
        <tr r="G192" s="10"/>
      </tp>
      <tp t="e">
        <v>#N/A</v>
        <stp/>
        <stp>BDH|3346394352965148087</stp>
        <tr r="AG60" s="10"/>
      </tp>
      <tp t="e">
        <v>#N/A</v>
        <stp/>
        <stp>BDH|5285646436649827997</stp>
        <tr r="X151" s="10"/>
      </tp>
      <tp t="e">
        <v>#N/A</v>
        <stp/>
        <stp>BDH|2716255882078634006</stp>
        <tr r="J28" s="10"/>
      </tp>
      <tp t="e">
        <v>#N/A</v>
        <stp/>
        <stp>BDH|3814695587065378832</stp>
        <tr r="Q184" s="10"/>
      </tp>
      <tp t="e">
        <v>#N/A</v>
        <stp/>
        <stp>BDH|4673665144410707656</stp>
        <tr r="T144" s="10"/>
      </tp>
      <tp t="e">
        <v>#N/A</v>
        <stp/>
        <stp>BDH|7341604527585249601</stp>
        <tr r="N30" s="10"/>
      </tp>
      <tp t="e">
        <v>#N/A</v>
        <stp/>
        <stp>BDH|9926804648202092778</stp>
        <tr r="AO13" s="10"/>
      </tp>
      <tp t="e">
        <v>#N/A</v>
        <stp/>
        <stp>BDH|9113907374120159726</stp>
        <tr r="T52" s="10"/>
      </tp>
      <tp t="e">
        <v>#N/A</v>
        <stp/>
        <stp>BDH|3019132736124538566</stp>
        <tr r="H119" s="10"/>
      </tp>
      <tp t="e">
        <v>#N/A</v>
        <stp/>
        <stp>BDH|4705223405482474426</stp>
        <tr r="AP36" s="10"/>
      </tp>
      <tp t="e">
        <v>#N/A</v>
        <stp/>
        <stp>BDH|6593055144283102138</stp>
        <tr r="AV88" s="10"/>
      </tp>
      <tp t="e">
        <v>#N/A</v>
        <stp/>
        <stp>BDH|7099118832391295472</stp>
        <tr r="AB7" s="10"/>
      </tp>
      <tp t="e">
        <v>#N/A</v>
        <stp/>
        <stp>BDH|9824949718139295808</stp>
        <tr r="AI46" s="10"/>
      </tp>
      <tp t="e">
        <v>#N/A</v>
        <stp/>
        <stp>BDH|7636230876621662338</stp>
        <tr r="R73" s="10"/>
      </tp>
      <tp t="e">
        <v>#N/A</v>
        <stp/>
        <stp>BDH|6567716602637554659</stp>
        <tr r="AP179" s="10"/>
      </tp>
      <tp t="e">
        <v>#N/A</v>
        <stp/>
        <stp>BDH|5497553880318709003</stp>
        <tr r="P187" s="10"/>
      </tp>
      <tp t="e">
        <v>#N/A</v>
        <stp/>
        <stp>BDH|5392404804491543040</stp>
        <tr r="AC111" s="10"/>
      </tp>
      <tp t="e">
        <v>#N/A</v>
        <stp/>
        <stp>BDH|5733463285921412864</stp>
        <tr r="AH178" s="10"/>
      </tp>
      <tp t="e">
        <v>#N/A</v>
        <stp/>
        <stp>BDH|1277693116923873535</stp>
        <tr r="AJ144" s="10"/>
      </tp>
      <tp t="e">
        <v>#N/A</v>
        <stp/>
        <stp>BDH|1834912987897933715</stp>
        <tr r="AU123" s="10"/>
      </tp>
      <tp t="e">
        <v>#N/A</v>
        <stp/>
        <stp>BDH|7605461943330186745</stp>
        <tr r="AB148" s="10"/>
      </tp>
      <tp t="e">
        <v>#N/A</v>
        <stp/>
        <stp>BDH|3683472553463761136</stp>
        <tr r="AE181" s="10"/>
      </tp>
      <tp t="e">
        <v>#N/A</v>
        <stp/>
        <stp>BDH|3024052522663284230</stp>
        <tr r="AG168" s="10"/>
      </tp>
      <tp t="s">
        <v>#N/A Requesting Data...4217579147</v>
        <stp/>
        <stp>BDP|7932469358435650363</stp>
        <tr r="O40" s="1"/>
      </tp>
      <tp t="s">
        <v>#N/A Requesting Data...4203464107</v>
        <stp/>
        <stp>BDP|4803249602371865711</stp>
        <tr r="F129" s="2"/>
      </tp>
      <tp t="e">
        <v>#N/A</v>
        <stp/>
        <stp>BDH|1780668046337766474</stp>
        <tr r="AE84" s="10"/>
      </tp>
      <tp t="e">
        <v>#N/A</v>
        <stp/>
        <stp>BDH|3972636748313257276</stp>
        <tr r="AH66" s="10"/>
      </tp>
      <tp t="e">
        <v>#N/A</v>
        <stp/>
        <stp>BDH|9525472691145615122</stp>
        <tr r="AK53" s="10"/>
      </tp>
      <tp t="e">
        <v>#N/A</v>
        <stp/>
        <stp>BDH|9643642490080435617</stp>
        <tr r="AC71" s="10"/>
      </tp>
      <tp t="e">
        <v>#N/A</v>
        <stp/>
        <stp>BDH|9843438898593145759</stp>
        <tr r="AU128" s="10"/>
      </tp>
      <tp t="e">
        <v>#N/A</v>
        <stp/>
        <stp>BDH|1451821917561470922</stp>
        <tr r="AE109" s="10"/>
      </tp>
      <tp t="e">
        <v>#N/A</v>
        <stp/>
        <stp>BDH|1551314582468201232</stp>
        <tr r="AC22" s="10"/>
      </tp>
      <tp t="e">
        <v>#N/A</v>
        <stp/>
        <stp>BDH|7856658302489953815</stp>
        <tr r="AB38" s="10"/>
      </tp>
      <tp t="e">
        <v>#N/A</v>
        <stp/>
        <stp>BDH|6564743065651097632</stp>
        <tr r="AD6" s="10"/>
      </tp>
      <tp t="e">
        <v>#N/A</v>
        <stp/>
        <stp>BDH|5580373267233039322</stp>
        <tr r="AI110" s="10"/>
      </tp>
      <tp t="e">
        <v>#N/A</v>
        <stp/>
        <stp>BDH|6451222353441516079</stp>
        <tr r="C52" s="10"/>
      </tp>
      <tp t="e">
        <v>#N/A</v>
        <stp/>
        <stp>BDH|7245508281649654323</stp>
        <tr r="AU91" s="10"/>
      </tp>
      <tp t="e">
        <v>#N/A</v>
        <stp/>
        <stp>BDH|1761320322097085702</stp>
        <tr r="AA110" s="10"/>
      </tp>
      <tp t="e">
        <v>#N/A</v>
        <stp/>
        <stp>BDH|4890455725083894179</stp>
        <tr r="AD143" s="10"/>
      </tp>
      <tp t="e">
        <v>#N/A</v>
        <stp/>
        <stp>BDH|4139750115910719214</stp>
        <tr r="L15" s="10"/>
      </tp>
      <tp t="e">
        <v>#N/A</v>
        <stp/>
        <stp>BDH|2954698721276570009</stp>
        <tr r="J138" s="10"/>
      </tp>
      <tp t="e">
        <v>#N/A</v>
        <stp/>
        <stp>BDH|7714147311192372551</stp>
        <tr r="Q98" s="10"/>
      </tp>
      <tp t="e">
        <v>#N/A</v>
        <stp/>
        <stp>BDH|8297521574188786270</stp>
        <tr r="G47" s="10"/>
      </tp>
      <tp t="e">
        <v>#N/A</v>
        <stp/>
        <stp>BDH|5844067652818089883</stp>
        <tr r="N75" s="10"/>
      </tp>
      <tp t="e">
        <v>#N/A</v>
        <stp/>
        <stp>BDH|1384719312342296568</stp>
        <tr r="AD35" s="10"/>
      </tp>
      <tp t="e">
        <v>#N/A</v>
        <stp/>
        <stp>BDH|5144169628935354382</stp>
        <tr r="AK188" s="10"/>
      </tp>
      <tp t="e">
        <v>#N/A</v>
        <stp/>
        <stp>BDH|3681555071946116776</stp>
        <tr r="AW25" s="10"/>
      </tp>
      <tp t="e">
        <v>#N/A</v>
        <stp/>
        <stp>BDH|1229876382418307903</stp>
        <tr r="X46" s="10"/>
      </tp>
      <tp t="e">
        <v>#N/A</v>
        <stp/>
        <stp>BDH|6752341115560174434</stp>
        <tr r="I190" s="10"/>
      </tp>
      <tp t="e">
        <v>#N/A</v>
        <stp/>
        <stp>BDH|4848674481773877922</stp>
        <tr r="AD48" s="10"/>
      </tp>
      <tp t="e">
        <v>#N/A</v>
        <stp/>
        <stp>BDH|2615062432126524737</stp>
        <tr r="N52" s="10"/>
      </tp>
      <tp t="e">
        <v>#N/A</v>
        <stp/>
        <stp>BDH|6257670446084048077</stp>
        <tr r="AN113" s="10"/>
      </tp>
      <tp t="e">
        <v>#N/A</v>
        <stp/>
        <stp>BDH|7533333145597061775</stp>
        <tr r="AP189" s="10"/>
      </tp>
      <tp t="e">
        <v>#N/A</v>
        <stp/>
        <stp>BDH|6546117262877507673</stp>
        <tr r="H37" s="10"/>
      </tp>
      <tp t="e">
        <v>#N/A</v>
        <stp/>
        <stp>BDH|2068903970549585510</stp>
        <tr r="E128" s="10"/>
      </tp>
      <tp t="e">
        <v>#N/A</v>
        <stp/>
        <stp>BDH|9239047685790310149</stp>
        <tr r="O66" s="10"/>
      </tp>
      <tp t="e">
        <v>#N/A</v>
        <stp/>
        <stp>BDH|3291246734960592234</stp>
        <tr r="AJ169" s="10"/>
      </tp>
      <tp t="e">
        <v>#N/A</v>
        <stp/>
        <stp>BDH|6021433917020099303</stp>
        <tr r="H60" s="10"/>
      </tp>
      <tp t="e">
        <v>#N/A</v>
        <stp/>
        <stp>BDH|3381197918413436023</stp>
        <tr r="H59" s="10"/>
      </tp>
      <tp t="e">
        <v>#N/A</v>
        <stp/>
        <stp>BDH|5881020424183206482</stp>
        <tr r="AB99" s="10"/>
      </tp>
      <tp t="e">
        <v>#N/A</v>
        <stp/>
        <stp>BDH|6323871277998548123</stp>
        <tr r="AS144" s="10"/>
      </tp>
      <tp t="e">
        <v>#N/A</v>
        <stp/>
        <stp>BDH|4915006649791486104</stp>
        <tr r="W186" s="10"/>
      </tp>
      <tp t="e">
        <v>#N/A</v>
        <stp/>
        <stp>BDH|7786972162449326152</stp>
        <tr r="AC62" s="10"/>
      </tp>
      <tp t="s">
        <v>#N/A Requesting Data...4224831592</v>
        <stp/>
        <stp>BDP|6801688522142011072</stp>
        <tr r="D49" s="6"/>
        <tr r="H38" s="1"/>
      </tp>
      <tp t="e">
        <v>#N/A</v>
        <stp/>
        <stp>BDH|6402473769550671490</stp>
        <tr r="Z110" s="10"/>
      </tp>
      <tp t="e">
        <v>#N/A</v>
        <stp/>
        <stp>BDH|8178541890103962790</stp>
        <tr r="AU137" s="10"/>
      </tp>
      <tp t="e">
        <v>#N/A</v>
        <stp/>
        <stp>BDH|3798475608674824359</stp>
        <tr r="AL96" s="10"/>
      </tp>
      <tp t="e">
        <v>#N/A</v>
        <stp/>
        <stp>BDH|9117271661249137432</stp>
        <tr r="X17" s="10"/>
      </tp>
      <tp t="e">
        <v>#N/A</v>
        <stp/>
        <stp>BDH|4391709976601330537</stp>
        <tr r="AQ12" s="10"/>
      </tp>
      <tp t="e">
        <v>#N/A</v>
        <stp/>
        <stp>BDH|8823087905159769177</stp>
        <tr r="O91" s="10"/>
      </tp>
      <tp t="e">
        <v>#N/A</v>
        <stp/>
        <stp>BDH|7574201436991393753</stp>
        <tr r="AU112" s="10"/>
      </tp>
      <tp t="e">
        <v>#N/A</v>
        <stp/>
        <stp>BDH|9654048670996781808</stp>
        <tr r="D190" s="10"/>
      </tp>
      <tp t="e">
        <v>#N/A</v>
        <stp/>
        <stp>BDH|5759014124131118667</stp>
        <tr r="N173" s="10"/>
      </tp>
      <tp t="e">
        <v>#N/A</v>
        <stp/>
        <stp>BDH|6541402078914961111</stp>
        <tr r="E157" s="10"/>
      </tp>
      <tp t="e">
        <v>#N/A</v>
        <stp/>
        <stp>BDH|9337460832269308719</stp>
        <tr r="W159" s="10"/>
      </tp>
      <tp t="e">
        <v>#N/A</v>
        <stp/>
        <stp>BDH|9812036389393659219</stp>
        <tr r="AA119" s="10"/>
      </tp>
      <tp t="e">
        <v>#N/A</v>
        <stp/>
        <stp>BDH|6903368469620367300</stp>
        <tr r="AO137" s="10"/>
      </tp>
      <tp t="e">
        <v>#N/A</v>
        <stp/>
        <stp>BDH|7804006319450313678</stp>
        <tr r="I90" s="10"/>
      </tp>
      <tp t="e">
        <v>#N/A</v>
        <stp/>
        <stp>BDH|3688642944146597769</stp>
        <tr r="P175" s="10"/>
      </tp>
      <tp t="e">
        <v>#N/A</v>
        <stp/>
        <stp>BDH|6817018926291889528</stp>
        <tr r="AC137" s="10"/>
      </tp>
      <tp t="e">
        <v>#N/A</v>
        <stp/>
        <stp>BDH|9701922161391282732</stp>
        <tr r="AI92" s="10"/>
      </tp>
      <tp t="e">
        <v>#N/A</v>
        <stp/>
        <stp>BDH|1035571416562495702</stp>
        <tr r="S55" s="10"/>
      </tp>
    </main>
    <main first="bofaddin.rtdserver">
      <tp t="e">
        <v>#N/A</v>
        <stp/>
        <stp>BDH|82142406834379818</stp>
        <tr r="AC35" s="10"/>
      </tp>
      <tp t="e">
        <v>#N/A</v>
        <stp/>
        <stp>BDH|55959738356757160</stp>
        <tr r="R96" s="10"/>
      </tp>
      <tp t="s">
        <v>#N/A Requesting Data...4237226120</v>
        <stp/>
        <stp>BDP|8466286961075063879</stp>
        <tr r="O14" s="1"/>
      </tp>
      <tp t="e">
        <v>#N/A</v>
        <stp/>
        <stp>BDH|8690668125079820472</stp>
        <tr r="N104" s="10"/>
      </tp>
      <tp t="e">
        <v>#N/A</v>
        <stp/>
        <stp>BDH|5622970815704641880</stp>
        <tr r="Q24" s="10"/>
      </tp>
      <tp t="e">
        <v>#N/A</v>
        <stp/>
        <stp>BDH|9930910724294040765</stp>
        <tr r="AQ109" s="10"/>
      </tp>
      <tp t="e">
        <v>#N/A</v>
        <stp/>
        <stp>BDH|4765428665120984731</stp>
        <tr r="AU147" s="10"/>
      </tp>
      <tp t="e">
        <v>#N/A</v>
        <stp/>
        <stp>BDH|3582040708986074430</stp>
        <tr r="AR80" s="10"/>
      </tp>
      <tp t="e">
        <v>#N/A</v>
        <stp/>
        <stp>BDH|7244789377316434035</stp>
        <tr r="R80" s="10"/>
      </tp>
      <tp t="e">
        <v>#N/A</v>
        <stp/>
        <stp>BDH|7205775561445928278</stp>
        <tr r="E107" s="10"/>
      </tp>
      <tp t="e">
        <v>#N/A</v>
        <stp/>
        <stp>BDH|6388347010357959243</stp>
        <tr r="W77" s="10"/>
      </tp>
      <tp t="e">
        <v>#N/A</v>
        <stp/>
        <stp>BDH|1959029384658103040</stp>
        <tr r="M134" s="10"/>
      </tp>
      <tp t="e">
        <v>#N/A</v>
        <stp/>
        <stp>BDH|7758701376715316388</stp>
        <tr r="Z115" s="10"/>
      </tp>
      <tp t="e">
        <v>#N/A</v>
        <stp/>
        <stp>BDH|4447261378836671665</stp>
        <tr r="R15" s="10"/>
      </tp>
      <tp t="s">
        <v>#N/A Requesting Data...4282995323</v>
        <stp/>
        <stp>BDP|4887330884087346976</stp>
        <tr r="I24" s="1"/>
      </tp>
      <tp t="e">
        <v>#N/A</v>
        <stp/>
        <stp>BDH|5689595045834027116</stp>
        <tr r="S53" s="10"/>
      </tp>
      <tp t="e">
        <v>#N/A</v>
        <stp/>
        <stp>BDH|4105001460967830428</stp>
        <tr r="AU74" s="10"/>
      </tp>
      <tp t="e">
        <v>#N/A</v>
        <stp/>
        <stp>BDH|3950443377052912381</stp>
        <tr r="AW168" s="10"/>
      </tp>
      <tp t="e">
        <v>#N/A</v>
        <stp/>
        <stp>BDH|8135818239551482360</stp>
        <tr r="AP67" s="10"/>
      </tp>
      <tp t="e">
        <v>#N/A</v>
        <stp/>
        <stp>BDH|9664603989316235063</stp>
        <tr r="D156" s="10"/>
      </tp>
      <tp t="e">
        <v>#N/A</v>
        <stp/>
        <stp>BDH|8505190486446356629</stp>
        <tr r="AI54" s="10"/>
      </tp>
      <tp t="e">
        <v>#N/A</v>
        <stp/>
        <stp>BDH|9621402392880794589</stp>
        <tr r="AR61" s="10"/>
      </tp>
      <tp t="e">
        <v>#N/A</v>
        <stp/>
        <stp>BDH|4413262873689392997</stp>
        <tr r="AC182" s="10"/>
      </tp>
      <tp t="e">
        <v>#N/A</v>
        <stp/>
        <stp>BDH|4713639633365562596</stp>
        <tr r="AE148" s="10"/>
      </tp>
      <tp t="e">
        <v>#N/A</v>
        <stp/>
        <stp>BDH|2445306329297089562</stp>
        <tr r="AD128" s="10"/>
      </tp>
      <tp t="e">
        <v>#N/A</v>
        <stp/>
        <stp>BDH|6682328391868752590</stp>
        <tr r="X176" s="10"/>
      </tp>
      <tp t="e">
        <v>#N/A</v>
        <stp/>
        <stp>BDH|2691098736295678549</stp>
        <tr r="AK76" s="10"/>
      </tp>
      <tp t="e">
        <v>#N/A</v>
        <stp/>
        <stp>BDH|4852267505723312439</stp>
        <tr r="AK108" s="10"/>
      </tp>
      <tp t="e">
        <v>#N/A</v>
        <stp/>
        <stp>BDH|4866034450859757973</stp>
        <tr r="L133" s="10"/>
      </tp>
      <tp t="e">
        <v>#N/A</v>
        <stp/>
        <stp>BDH|2891708005025196176</stp>
        <tr r="N25" s="10"/>
      </tp>
      <tp t="e">
        <v>#N/A</v>
        <stp/>
        <stp>BDH|4943407663892831596</stp>
        <tr r="AV53" s="10"/>
      </tp>
      <tp t="s">
        <v>#N/A Requesting Data...4214508785</v>
        <stp/>
        <stp>BDP|3711746447630925150</stp>
        <tr r="D13" s="1"/>
      </tp>
      <tp t="s">
        <v>#N/A Requesting Data...4211525658</v>
        <stp/>
        <stp>BDP|3836508580707702878</stp>
        <tr r="D29" s="1"/>
      </tp>
      <tp t="s">
        <v>#N/A Requesting Data...4290274616</v>
        <stp/>
        <stp>BDP|1435415351509427887</stp>
        <tr r="I44" s="1"/>
      </tp>
      <tp t="e">
        <v>#N/A</v>
        <stp/>
        <stp>BDH|9806541036837509978</stp>
        <tr r="O27" s="10"/>
      </tp>
      <tp t="e">
        <v>#N/A</v>
        <stp/>
        <stp>BDH|1344475378707554413</stp>
        <tr r="AS46" s="10"/>
      </tp>
      <tp t="e">
        <v>#N/A</v>
        <stp/>
        <stp>BDH|4837373169628925876</stp>
        <tr r="AW107" s="10"/>
      </tp>
      <tp t="e">
        <v>#N/A</v>
        <stp/>
        <stp>BDH|9506474681756932225</stp>
        <tr r="S110" s="10"/>
      </tp>
      <tp t="e">
        <v>#N/A</v>
        <stp/>
        <stp>BDH|6793097268487988677</stp>
        <tr r="G13" s="10"/>
      </tp>
      <tp t="e">
        <v>#N/A</v>
        <stp/>
        <stp>BDH|4747216838487543336</stp>
        <tr r="X47" s="10"/>
      </tp>
      <tp t="e">
        <v>#N/A</v>
        <stp/>
        <stp>BDH|8971595520767955914</stp>
        <tr r="K7" s="10"/>
      </tp>
      <tp t="e">
        <v>#N/A</v>
        <stp/>
        <stp>BDH|3343433678167302632</stp>
        <tr r="AF180" s="10"/>
      </tp>
      <tp t="e">
        <v>#N/A</v>
        <stp/>
        <stp>BDH|3803080879561044415</stp>
        <tr r="AA87" s="10"/>
      </tp>
      <tp t="e">
        <v>#N/A</v>
        <stp/>
        <stp>BDH|4879774535300431165</stp>
        <tr r="AE62" s="10"/>
      </tp>
      <tp t="e">
        <v>#N/A</v>
        <stp/>
        <stp>BDH|4900131223511944788</stp>
        <tr r="AI43" s="10"/>
      </tp>
      <tp t="e">
        <v>#N/A</v>
        <stp/>
        <stp>BDH|2385133352610327797</stp>
        <tr r="V176" s="10"/>
      </tp>
      <tp t="e">
        <v>#N/A</v>
        <stp/>
        <stp>BDH|6647961643158957229</stp>
        <tr r="W42" s="10"/>
      </tp>
      <tp t="e">
        <v>#N/A</v>
        <stp/>
        <stp>BDH|4067477571155991372</stp>
        <tr r="F49" s="10"/>
      </tp>
      <tp t="e">
        <v>#N/A</v>
        <stp/>
        <stp>BDH|2606424638807354374</stp>
        <tr r="U104" s="10"/>
      </tp>
      <tp t="e">
        <v>#N/A</v>
        <stp/>
        <stp>BDH|4703918688212463620</stp>
        <tr r="K17" s="10"/>
      </tp>
      <tp t="e">
        <v>#N/A</v>
        <stp/>
        <stp>BDH|9391065009260547816</stp>
        <tr r="W153" s="10"/>
      </tp>
      <tp t="e">
        <v>#N/A</v>
        <stp/>
        <stp>BDH|1966940297842511270</stp>
        <tr r="AF54" s="10"/>
      </tp>
      <tp t="e">
        <v>#N/A</v>
        <stp/>
        <stp>BDH|8780817396150135892</stp>
        <tr r="Y156" s="10"/>
      </tp>
      <tp t="e">
        <v>#N/A</v>
        <stp/>
        <stp>BDH|2669187882682596811</stp>
        <tr r="T167" s="10"/>
      </tp>
      <tp t="e">
        <v>#N/A</v>
        <stp/>
        <stp>BDH|2719384539814775794</stp>
        <tr r="W39" s="10"/>
      </tp>
      <tp t="e">
        <v>#N/A</v>
        <stp/>
        <stp>BDH|4807695816753826161</stp>
        <tr r="AU3" s="10"/>
      </tp>
      <tp t="e">
        <v>#N/A</v>
        <stp/>
        <stp>BDH|5732781326070530155</stp>
        <tr r="H18" s="10"/>
      </tp>
      <tp t="e">
        <v>#N/A</v>
        <stp/>
        <stp>BDH|8168240458248634623</stp>
        <tr r="Z173" s="10"/>
      </tp>
      <tp t="e">
        <v>#N/A</v>
        <stp/>
        <stp>BDH|8743292783401001244</stp>
        <tr r="AG144" s="10"/>
      </tp>
      <tp t="e">
        <v>#N/A</v>
        <stp/>
        <stp>BDH|9759329782761709296</stp>
        <tr r="W10" s="10"/>
      </tp>
      <tp t="e">
        <v>#N/A</v>
        <stp/>
        <stp>BDH|1683657218621505676</stp>
        <tr r="AN67" s="10"/>
      </tp>
      <tp t="e">
        <v>#N/A</v>
        <stp/>
        <stp>BDH|7731771038447687570</stp>
        <tr r="AO169" s="10"/>
      </tp>
      <tp t="e">
        <v>#N/A</v>
        <stp/>
        <stp>BDH|1876654568797889742</stp>
        <tr r="F58" s="10"/>
      </tp>
      <tp t="e">
        <v>#N/A</v>
        <stp/>
        <stp>BDH|1125516150633059399</stp>
        <tr r="AD69" s="10"/>
      </tp>
      <tp t="s">
        <v>#N/A Requesting Data...4257108313</v>
        <stp/>
        <stp>BDP|6864114461210010063</stp>
        <tr r="D28" s="1"/>
      </tp>
      <tp t="s">
        <v>#N/A Requesting Data...4226122283</v>
        <stp/>
        <stp>BDP|2374221258072226650</stp>
        <tr r="O30" s="1"/>
      </tp>
      <tp t="e">
        <v>#N/A</v>
        <stp/>
        <stp>BDH|2173812592107479582</stp>
        <tr r="AS113" s="10"/>
      </tp>
      <tp t="e">
        <v>#N/A</v>
        <stp/>
        <stp>BDH|9247311781723922053</stp>
        <tr r="AM100" s="10"/>
      </tp>
      <tp t="e">
        <v>#N/A</v>
        <stp/>
        <stp>BDH|4383850695876512283</stp>
        <tr r="AS171" s="10"/>
      </tp>
      <tp t="e">
        <v>#N/A</v>
        <stp/>
        <stp>BDH|8948863641295688068</stp>
        <tr r="AR18" s="10"/>
      </tp>
      <tp t="e">
        <v>#N/A</v>
        <stp/>
        <stp>BDH|7797334125116966162</stp>
        <tr r="AW56" s="10"/>
      </tp>
      <tp t="e">
        <v>#N/A</v>
        <stp/>
        <stp>BDH|7701005838120192505</stp>
        <tr r="R23" s="10"/>
      </tp>
      <tp t="e">
        <v>#N/A</v>
        <stp/>
        <stp>BDH|5807559738266902420</stp>
        <tr r="P91" s="10"/>
      </tp>
      <tp t="e">
        <v>#N/A</v>
        <stp/>
        <stp>BDH|7987099346020830209</stp>
        <tr r="S99" s="10"/>
      </tp>
      <tp t="e">
        <v>#N/A</v>
        <stp/>
        <stp>BDH|4112249151003306197</stp>
        <tr r="L91" s="10"/>
      </tp>
      <tp t="e">
        <v>#N/A</v>
        <stp/>
        <stp>BDH|9944303623508283164</stp>
        <tr r="AQ162" s="10"/>
      </tp>
      <tp t="s">
        <v>#N/A Requesting Data...4283319029</v>
        <stp/>
        <stp>BDP|7354356415310514493</stp>
        <tr r="B2" s="1"/>
      </tp>
      <tp t="e">
        <v>#N/A</v>
        <stp/>
        <stp>BDH|4290332342652883045</stp>
        <tr r="AL77" s="10"/>
      </tp>
      <tp t="e">
        <v>#N/A</v>
        <stp/>
        <stp>BDH|3056643586914485897</stp>
        <tr r="AB52" s="10"/>
      </tp>
      <tp t="e">
        <v>#N/A</v>
        <stp/>
        <stp>BDH|4695814323148896737</stp>
        <tr r="W16" s="10"/>
      </tp>
      <tp t="e">
        <v>#N/A</v>
        <stp/>
        <stp>BDH|7556858267850846805</stp>
        <tr r="J23" s="10"/>
      </tp>
      <tp t="e">
        <v>#N/A</v>
        <stp/>
        <stp>BDH|9188307197722894015</stp>
        <tr r="S171" s="10"/>
      </tp>
      <tp t="e">
        <v>#N/A</v>
        <stp/>
        <stp>BDH|6231745234190932340</stp>
        <tr r="AJ44" s="10"/>
      </tp>
      <tp t="e">
        <v>#N/A</v>
        <stp/>
        <stp>BDH|6555500790332228980</stp>
        <tr r="AL170" s="10"/>
      </tp>
      <tp t="e">
        <v>#N/A</v>
        <stp/>
        <stp>BDH|7033696060814219248</stp>
        <tr r="AV117" s="10"/>
      </tp>
      <tp t="e">
        <v>#N/A</v>
        <stp/>
        <stp>BDH|2067732466400373290</stp>
        <tr r="R61" s="10"/>
      </tp>
      <tp t="e">
        <v>#N/A</v>
        <stp/>
        <stp>BDH|4079229638222501605</stp>
        <tr r="D133" s="10"/>
      </tp>
      <tp t="e">
        <v>#N/A</v>
        <stp/>
        <stp>BDH|8980902914695659441</stp>
        <tr r="I184" s="10"/>
      </tp>
      <tp t="e">
        <v>#N/A</v>
        <stp/>
        <stp>BDH|4092747390543309880</stp>
        <tr r="AO34" s="10"/>
      </tp>
      <tp t="e">
        <v>#N/A</v>
        <stp/>
        <stp>BDH|4833650007915252675</stp>
        <tr r="AA178" s="10"/>
      </tp>
      <tp t="e">
        <v>#N/A</v>
        <stp/>
        <stp>BDH|5194645719671510266</stp>
        <tr r="C148" s="10"/>
      </tp>
      <tp t="e">
        <v>#N/A</v>
        <stp/>
        <stp>BDH|6534750272971525684</stp>
        <tr r="M95" s="10"/>
      </tp>
      <tp t="e">
        <v>#N/A</v>
        <stp/>
        <stp>BDH|4507280114932643402</stp>
        <tr r="E7" s="10"/>
      </tp>
      <tp t="s">
        <v>#N/A Requesting Data...4250938371</v>
        <stp/>
        <stp>BDP|7963717910756268669</stp>
        <tr r="D20" s="1"/>
      </tp>
      <tp t="e">
        <v>#N/A</v>
        <stp/>
        <stp>BDH|7027923564111945837</stp>
        <tr r="G22" s="10"/>
      </tp>
      <tp t="e">
        <v>#N/A</v>
        <stp/>
        <stp>BDH|1144632202260827645</stp>
        <tr r="D160" s="10"/>
      </tp>
      <tp t="e">
        <v>#N/A</v>
        <stp/>
        <stp>BDH|8476600998770606665</stp>
        <tr r="L180" s="10"/>
      </tp>
      <tp t="e">
        <v>#N/A</v>
        <stp/>
        <stp>BDH|5636694431462417365</stp>
        <tr r="E176" s="10"/>
      </tp>
      <tp t="e">
        <v>#N/A</v>
        <stp/>
        <stp>BDH|1480216229383091303</stp>
        <tr r="G104" s="10"/>
      </tp>
      <tp t="e">
        <v>#N/A</v>
        <stp/>
        <stp>BDH|2628366907478941822</stp>
        <tr r="AW40" s="10"/>
      </tp>
      <tp t="e">
        <v>#N/A</v>
        <stp/>
        <stp>BDH|3460975382694547788</stp>
        <tr r="AI181" s="10"/>
      </tp>
      <tp t="e">
        <v>#N/A</v>
        <stp/>
        <stp>BDH|1879745653846776445</stp>
        <tr r="AA130" s="10"/>
      </tp>
      <tp t="e">
        <v>#N/A</v>
        <stp/>
        <stp>BDH|1329069523783972131</stp>
        <tr r="Y185" s="10"/>
      </tp>
      <tp t="e">
        <v>#N/A</v>
        <stp/>
        <stp>BDH|1692598938724947228</stp>
        <tr r="AW154" s="10"/>
      </tp>
      <tp t="e">
        <v>#N/A</v>
        <stp/>
        <stp>BDH|3821537330815419136</stp>
        <tr r="AH191" s="10"/>
      </tp>
      <tp t="e">
        <v>#N/A</v>
        <stp/>
        <stp>BDH|7031347236716909079</stp>
        <tr r="AT148" s="10"/>
      </tp>
      <tp t="e">
        <v>#N/A</v>
        <stp/>
        <stp>BDH|5093167032151182798</stp>
        <tr r="D3" s="10"/>
      </tp>
      <tp t="e">
        <v>#N/A</v>
        <stp/>
        <stp>BDH|2915313659886420397</stp>
        <tr r="AJ181" s="10"/>
      </tp>
      <tp t="e">
        <v>#N/A</v>
        <stp/>
        <stp>BDH|8469577807074851815</stp>
        <tr r="AI122" s="10"/>
      </tp>
      <tp t="e">
        <v>#N/A</v>
        <stp/>
        <stp>BDH|7899071905953328542</stp>
        <tr r="AW165" s="10"/>
      </tp>
      <tp t="e">
        <v>#N/A</v>
        <stp/>
        <stp>BDH|1707930049209374436</stp>
        <tr r="AP76" s="10"/>
      </tp>
      <tp t="e">
        <v>#N/A</v>
        <stp/>
        <stp>BDH|8296703471889673086</stp>
        <tr r="AR43" s="10"/>
      </tp>
      <tp t="e">
        <v>#N/A</v>
        <stp/>
        <stp>BDH|9565026483461072191</stp>
        <tr r="AJ141" s="10"/>
      </tp>
      <tp t="e">
        <v>#N/A</v>
        <stp/>
        <stp>BDH|4869933183486157240</stp>
        <tr r="Z89" s="10"/>
      </tp>
      <tp t="e">
        <v>#N/A</v>
        <stp/>
        <stp>BDH|3822156107515400635</stp>
        <tr r="AK48" s="10"/>
      </tp>
      <tp t="e">
        <v>#N/A</v>
        <stp/>
        <stp>BDH|3799132115852877043</stp>
        <tr r="AN91" s="10"/>
      </tp>
      <tp t="e">
        <v>#N/A</v>
        <stp/>
        <stp>BDH|5138802099286304365</stp>
        <tr r="L177" s="10"/>
      </tp>
      <tp t="e">
        <v>#N/A</v>
        <stp/>
        <stp>BDH|7933357571125861785</stp>
        <tr r="G16" s="10"/>
      </tp>
      <tp t="e">
        <v>#N/A</v>
        <stp/>
        <stp>BDH|4702092649916970734</stp>
        <tr r="AC124" s="10"/>
      </tp>
      <tp t="e">
        <v>#N/A</v>
        <stp/>
        <stp>BDH|7101923188230591730</stp>
        <tr r="AC149" s="10"/>
      </tp>
      <tp t="e">
        <v>#N/A</v>
        <stp/>
        <stp>BDH|5941305916130696642</stp>
        <tr r="AQ138" s="10"/>
      </tp>
      <tp t="e">
        <v>#N/A</v>
        <stp/>
        <stp>BDH|5101293705760897687</stp>
        <tr r="L52" s="10"/>
      </tp>
      <tp t="e">
        <v>#N/A</v>
        <stp/>
        <stp>BDH|4884237570550195079</stp>
        <tr r="E171" s="10"/>
      </tp>
      <tp t="e">
        <v>#N/A</v>
        <stp/>
        <stp>BDH|8175612913777693981</stp>
        <tr r="AF190" s="10"/>
      </tp>
      <tp t="e">
        <v>#N/A</v>
        <stp/>
        <stp>BDH|8412387705968119254</stp>
        <tr r="Q105" s="10"/>
      </tp>
      <tp t="e">
        <v>#N/A</v>
        <stp/>
        <stp>BDH|1149899635028303333</stp>
        <tr r="V16" s="10"/>
      </tp>
      <tp t="s">
        <v>#N/A Requesting Data...4275859675</v>
        <stp/>
        <stp>BDP|4811497542646498354</stp>
        <tr r="I34" s="1"/>
      </tp>
      <tp t="e">
        <v>#N/A</v>
        <stp/>
        <stp>BDH|4182705855886020166</stp>
        <tr r="I51" s="10"/>
      </tp>
      <tp t="e">
        <v>#N/A</v>
        <stp/>
        <stp>BDH|5235571953032612622</stp>
        <tr r="D83" s="10"/>
      </tp>
      <tp t="e">
        <v>#N/A</v>
        <stp/>
        <stp>BDH|9588561697962477626</stp>
        <tr r="AG119" s="10"/>
      </tp>
      <tp t="e">
        <v>#N/A</v>
        <stp/>
        <stp>BDH|9534325495533926192</stp>
        <tr r="AM113" s="10"/>
      </tp>
      <tp t="e">
        <v>#N/A</v>
        <stp/>
        <stp>BDH|5330414916405714411</stp>
        <tr r="H52" s="10"/>
      </tp>
      <tp t="e">
        <v>#N/A</v>
        <stp/>
        <stp>BDH|2788170159271869639</stp>
        <tr r="AQ87" s="10"/>
      </tp>
      <tp t="e">
        <v>#N/A</v>
        <stp/>
        <stp>BDH|9392158387520002130</stp>
        <tr r="AQ151" s="10"/>
      </tp>
      <tp t="e">
        <v>#N/A</v>
        <stp/>
        <stp>BDH|5292629845082300444</stp>
        <tr r="E45" s="10"/>
      </tp>
      <tp t="e">
        <v>#N/A</v>
        <stp/>
        <stp>BDH|9395816630222639168</stp>
        <tr r="X154" s="10"/>
      </tp>
      <tp t="e">
        <v>#N/A</v>
        <stp/>
        <stp>BDH|6593537438946898748</stp>
        <tr r="N87" s="10"/>
      </tp>
      <tp t="e">
        <v>#N/A</v>
        <stp/>
        <stp>BDH|3128760041890650126</stp>
        <tr r="AR177" s="10"/>
      </tp>
      <tp t="e">
        <v>#N/A</v>
        <stp/>
        <stp>BDH|3230753211840779436</stp>
        <tr r="N66" s="10"/>
      </tp>
      <tp t="e">
        <v>#N/A</v>
        <stp/>
        <stp>BDH|8096313586184666635</stp>
        <tr r="E141" s="10"/>
      </tp>
      <tp t="e">
        <v>#N/A</v>
        <stp/>
        <stp>BDH|4014489307875420499</stp>
        <tr r="Y83" s="10"/>
      </tp>
      <tp t="e">
        <v>#N/A</v>
        <stp/>
        <stp>BDH|1068272454521186603</stp>
        <tr r="C183" s="10"/>
      </tp>
      <tp t="e">
        <v>#N/A</v>
        <stp/>
        <stp>BDH|1437212178670889575</stp>
        <tr r="N163" s="10"/>
      </tp>
      <tp t="e">
        <v>#N/A</v>
        <stp/>
        <stp>BDH|5073975928877904847</stp>
        <tr r="V13" s="10"/>
      </tp>
      <tp t="e">
        <v>#N/A</v>
        <stp/>
        <stp>BDH|9119749188096856171</stp>
        <tr r="AT102" s="10"/>
      </tp>
      <tp t="e">
        <v>#N/A</v>
        <stp/>
        <stp>BDH|5212619510725379624</stp>
        <tr r="AK55" s="10"/>
      </tp>
      <tp t="e">
        <v>#N/A</v>
        <stp/>
        <stp>BDH|5535499900400901071</stp>
        <tr r="V161" s="10"/>
      </tp>
      <tp t="e">
        <v>#N/A</v>
        <stp/>
        <stp>BDH|3835271718350089157</stp>
        <tr r="Q159" s="10"/>
      </tp>
      <tp t="s">
        <v>#N/A Requesting Data...4279487511</v>
        <stp/>
        <stp>BDP|6349244382494683908</stp>
        <tr r="B21" s="6"/>
        <tr r="E14" s="1"/>
        <tr r="H25" s="2"/>
        <tr r="H26" s="2"/>
        <tr r="H35" s="2"/>
        <tr r="H40" s="2"/>
        <tr r="H49" s="2"/>
        <tr r="H50" s="2"/>
      </tp>
      <tp t="e">
        <v>#N/A</v>
        <stp/>
        <stp>BDH|6096268812097113361</stp>
        <tr r="AC178" s="10"/>
      </tp>
      <tp t="e">
        <v>#N/A</v>
        <stp/>
        <stp>BDH|8460871513019326904</stp>
        <tr r="AC30" s="10"/>
      </tp>
      <tp t="e">
        <v>#N/A</v>
        <stp/>
        <stp>BDH|7893019948144432661</stp>
        <tr r="AU57" s="10"/>
      </tp>
      <tp t="e">
        <v>#N/A</v>
        <stp/>
        <stp>BDH|5584733573731669509</stp>
        <tr r="O183" s="10"/>
      </tp>
      <tp t="e">
        <v>#N/A</v>
        <stp/>
        <stp>BDH|9893248258618665714</stp>
        <tr r="AB58" s="10"/>
      </tp>
      <tp t="e">
        <v>#N/A</v>
        <stp/>
        <stp>BDH|7650777656473563714</stp>
        <tr r="AQ35" s="10"/>
      </tp>
      <tp t="e">
        <v>#N/A</v>
        <stp/>
        <stp>BDH|7578616533500169355</stp>
        <tr r="I125" s="10"/>
      </tp>
      <tp t="e">
        <v>#N/A</v>
        <stp/>
        <stp>BDH|1187306931876496678</stp>
        <tr r="AK16" s="10"/>
      </tp>
      <tp t="e">
        <v>#N/A</v>
        <stp/>
        <stp>BDH|6266777876513016402</stp>
        <tr r="AN181" s="10"/>
      </tp>
      <tp t="e">
        <v>#N/A</v>
        <stp/>
        <stp>BDH|2307077358404652290</stp>
        <tr r="AQ63" s="10"/>
      </tp>
      <tp t="e">
        <v>#N/A</v>
        <stp/>
        <stp>BDH|5832076215346954305</stp>
        <tr r="AC39" s="10"/>
      </tp>
      <tp t="e">
        <v>#N/A</v>
        <stp/>
        <stp>BDH|9594459982701374529</stp>
        <tr r="K131" s="10"/>
      </tp>
      <tp t="e">
        <v>#N/A</v>
        <stp/>
        <stp>BDH|4639911921827317963</stp>
        <tr r="AS9" s="10"/>
      </tp>
      <tp t="e">
        <v>#N/A</v>
        <stp/>
        <stp>BDH|7560502412701723339</stp>
        <tr r="E173" s="10"/>
      </tp>
      <tp t="e">
        <v>#N/A</v>
        <stp/>
        <stp>BDH|6180471711733067140</stp>
        <tr r="D29" s="10"/>
      </tp>
      <tp t="e">
        <v>#N/A</v>
        <stp/>
        <stp>BDH|9191881368380033620</stp>
        <tr r="T54" s="10"/>
      </tp>
      <tp t="e">
        <v>#N/A</v>
        <stp/>
        <stp>BDH|6786252252422163223</stp>
        <tr r="AA16" s="10"/>
      </tp>
      <tp t="e">
        <v>#N/A</v>
        <stp/>
        <stp>BDH|6942762830415897640</stp>
        <tr r="J109" s="10"/>
      </tp>
      <tp t="e">
        <v>#N/A</v>
        <stp/>
        <stp>BDH|5503031425803836580</stp>
        <tr r="AO88" s="10"/>
      </tp>
      <tp t="e">
        <v>#N/A</v>
        <stp/>
        <stp>BDH|7791414470612524704</stp>
        <tr r="AI139" s="10"/>
      </tp>
      <tp t="e">
        <v>#N/A</v>
        <stp/>
        <stp>BDH|3776087281333471998</stp>
        <tr r="O34" s="10"/>
      </tp>
      <tp t="e">
        <v>#N/A</v>
        <stp/>
        <stp>BDH|8185373727289505175</stp>
        <tr r="AJ32" s="10"/>
      </tp>
      <tp t="e">
        <v>#N/A</v>
        <stp/>
        <stp>BDH|1982559448880409137</stp>
        <tr r="Q173" s="10"/>
      </tp>
      <tp t="e">
        <v>#N/A</v>
        <stp/>
        <stp>BDH|2581767030195945294</stp>
        <tr r="J188" s="10"/>
      </tp>
      <tp t="e">
        <v>#N/A</v>
        <stp/>
        <stp>BDH|8165837914724407418</stp>
        <tr r="AT155" s="10"/>
      </tp>
      <tp t="s">
        <v>#N/A Requesting Data...4294905826</v>
        <stp/>
        <stp>BDP|9679332708193832854</stp>
        <tr r="D5" s="1"/>
      </tp>
      <tp t="s">
        <v>#N/A Requesting Data...4294472334</v>
        <stp/>
        <stp>BDP|2562587795508080789</stp>
        <tr r="D14" s="1"/>
      </tp>
      <tp t="e">
        <v>#N/A</v>
        <stp/>
        <stp>BDH|2511165729347257783</stp>
        <tr r="AR149" s="10"/>
      </tp>
      <tp t="e">
        <v>#N/A</v>
        <stp/>
        <stp>BDH|4746146686355053955</stp>
        <tr r="Z12" s="10"/>
      </tp>
      <tp t="e">
        <v>#N/A</v>
        <stp/>
        <stp>BDH|3852111060793836611</stp>
        <tr r="Q15" s="10"/>
      </tp>
      <tp t="e">
        <v>#N/A</v>
        <stp/>
        <stp>BDH|4018643271254455014</stp>
        <tr r="E163" s="10"/>
      </tp>
      <tp t="e">
        <v>#N/A</v>
        <stp/>
        <stp>BDH|3667740533862780465</stp>
        <tr r="X138" s="10"/>
      </tp>
      <tp t="e">
        <v>#N/A</v>
        <stp/>
        <stp>BDH|7174124272090101000</stp>
        <tr r="T81" s="10"/>
      </tp>
      <tp t="e">
        <v>#N/A</v>
        <stp/>
        <stp>BDH|7636929391676365068</stp>
        <tr r="D138" s="10"/>
      </tp>
      <tp t="e">
        <v>#N/A</v>
        <stp/>
        <stp>BDH|2228294007310865144</stp>
        <tr r="O88" s="10"/>
      </tp>
      <tp t="e">
        <v>#N/A</v>
        <stp/>
        <stp>BDH|2476645135660414613</stp>
        <tr r="H98" s="10"/>
      </tp>
      <tp t="e">
        <v>#N/A</v>
        <stp/>
        <stp>BDH|3780200608030805070</stp>
        <tr r="AJ98" s="10"/>
      </tp>
      <tp t="e">
        <v>#N/A</v>
        <stp/>
        <stp>BDH|1488571775747141570</stp>
        <tr r="M87" s="10"/>
      </tp>
      <tp t="e">
        <v>#N/A</v>
        <stp/>
        <stp>BDH|4986647902524629794</stp>
        <tr r="X108" s="10"/>
      </tp>
      <tp t="e">
        <v>#N/A</v>
        <stp/>
        <stp>BDH|1288444656665518455</stp>
        <tr r="D22" s="10"/>
      </tp>
      <tp t="e">
        <v>#N/A</v>
        <stp/>
        <stp>BDH|8077106998521128086</stp>
        <tr r="H42" s="10"/>
      </tp>
      <tp t="e">
        <v>#N/A</v>
        <stp/>
        <stp>BDH|3872593537675686119</stp>
        <tr r="T24" s="10"/>
      </tp>
      <tp t="e">
        <v>#N/A</v>
        <stp/>
        <stp>BDH|6076624089998294180</stp>
        <tr r="R164" s="10"/>
      </tp>
      <tp t="e">
        <v>#N/A</v>
        <stp/>
        <stp>BDH|2123122553324760367</stp>
        <tr r="AE10" s="10"/>
      </tp>
      <tp t="e">
        <v>#N/A</v>
        <stp/>
        <stp>BDH|5149566103737634633</stp>
        <tr r="O129" s="10"/>
      </tp>
      <tp t="e">
        <v>#N/A</v>
        <stp/>
        <stp>BDH|9179350292202334043</stp>
        <tr r="T181" s="10"/>
      </tp>
      <tp t="e">
        <v>#N/A</v>
        <stp/>
        <stp>BDH|7895599811204618677</stp>
        <tr r="AG10" s="10"/>
      </tp>
      <tp t="e">
        <v>#N/A</v>
        <stp/>
        <stp>BDH|2718767831244165306</stp>
        <tr r="Q4" s="10"/>
      </tp>
      <tp t="e">
        <v>#N/A</v>
        <stp/>
        <stp>BDH|5228450606760221023</stp>
        <tr r="K96" s="10"/>
      </tp>
      <tp t="e">
        <v>#N/A</v>
        <stp/>
        <stp>BDH|5185304176262613208</stp>
        <tr r="L72" s="10"/>
      </tp>
      <tp t="e">
        <v>#N/A</v>
        <stp/>
        <stp>BDH|9281636590195717279</stp>
        <tr r="AB165" s="10"/>
      </tp>
      <tp t="e">
        <v>#N/A</v>
        <stp/>
        <stp>BDH|2431622022713360468</stp>
        <tr r="AM170" s="10"/>
      </tp>
      <tp t="e">
        <v>#N/A</v>
        <stp/>
        <stp>BDH|7617603816847863697</stp>
        <tr r="AA61" s="10"/>
      </tp>
      <tp t="e">
        <v>#N/A</v>
        <stp/>
        <stp>BDH|5906142078440797235</stp>
        <tr r="AJ142" s="10"/>
      </tp>
      <tp t="e">
        <v>#N/A</v>
        <stp/>
        <stp>BDH|5703459411265650444</stp>
        <tr r="W134" s="10"/>
      </tp>
      <tp t="e">
        <v>#N/A</v>
        <stp/>
        <stp>BDH|4448157859723190287</stp>
        <tr r="AW120" s="10"/>
      </tp>
      <tp t="e">
        <v>#N/A</v>
        <stp/>
        <stp>BDH|1884195842093630643</stp>
        <tr r="AE159" s="10"/>
      </tp>
      <tp t="e">
        <v>#N/A</v>
        <stp/>
        <stp>BDH|7057911391580745668</stp>
        <tr r="E127" s="10"/>
      </tp>
      <tp t="e">
        <v>#N/A</v>
        <stp/>
        <stp>BDH|2741242762220196713</stp>
        <tr r="AF183" s="10"/>
      </tp>
      <tp t="e">
        <v>#N/A</v>
        <stp/>
        <stp>BDH|9505830472841309666</stp>
        <tr r="O61" s="10"/>
      </tp>
      <tp t="s">
        <v>#N/A Requesting Data...3411007283</v>
        <stp/>
        <stp>BDP|9096725121569576405</stp>
        <tr r="B16" s="1"/>
      </tp>
      <tp t="e">
        <v>#N/A</v>
        <stp/>
        <stp>BDH|5038778704904727721</stp>
        <tr r="AR13" s="10"/>
      </tp>
      <tp t="e">
        <v>#N/A</v>
        <stp/>
        <stp>BDH|4835685952885699327</stp>
        <tr r="I141" s="10"/>
      </tp>
      <tp t="e">
        <v>#N/A</v>
        <stp/>
        <stp>BDH|6521236066627786419</stp>
        <tr r="V120" s="10"/>
      </tp>
      <tp t="e">
        <v>#N/A</v>
        <stp/>
        <stp>BDH|3147602555243053224</stp>
        <tr r="I14" s="10"/>
      </tp>
      <tp t="e">
        <v>#N/A</v>
        <stp/>
        <stp>BDH|4154028112101304549</stp>
        <tr r="AA27" s="10"/>
      </tp>
      <tp t="e">
        <v>#N/A</v>
        <stp/>
        <stp>BDH|9697301671878843490</stp>
        <tr r="H38" s="10"/>
      </tp>
      <tp t="e">
        <v>#N/A</v>
        <stp/>
        <stp>BDH|1270635933703300672</stp>
        <tr r="R68" s="10"/>
      </tp>
      <tp t="e">
        <v>#N/A</v>
        <stp/>
        <stp>BDH|4728350025543879796</stp>
        <tr r="H140" s="10"/>
      </tp>
      <tp t="e">
        <v>#N/A</v>
        <stp/>
        <stp>BDH|5175955785965585025</stp>
        <tr r="C125" s="10"/>
      </tp>
      <tp t="e">
        <v>#N/A</v>
        <stp/>
        <stp>BDH|5076039171761562219</stp>
        <tr r="AD57" s="10"/>
      </tp>
      <tp t="e">
        <v>#N/A</v>
        <stp/>
        <stp>BDH|1705477159179792887</stp>
        <tr r="AP25" s="10"/>
      </tp>
      <tp t="e">
        <v>#N/A</v>
        <stp/>
        <stp>BDH|4312879761962637959</stp>
        <tr r="C161" s="10"/>
      </tp>
      <tp t="e">
        <v>#N/A</v>
        <stp/>
        <stp>BDH|9081805347615865196</stp>
        <tr r="AI10" s="10"/>
      </tp>
      <tp t="e">
        <v>#N/A</v>
        <stp/>
        <stp>BDH|8189328174154991983</stp>
        <tr r="AN161" s="10"/>
      </tp>
      <tp t="e">
        <v>#N/A</v>
        <stp/>
        <stp>BDH|4324530257367039218</stp>
        <tr r="AB160" s="10"/>
      </tp>
      <tp t="e">
        <v>#N/A</v>
        <stp/>
        <stp>BDH|5396344770780721065</stp>
        <tr r="V128" s="10"/>
      </tp>
      <tp t="e">
        <v>#N/A</v>
        <stp/>
        <stp>BDH|6242471203523249029</stp>
        <tr r="AB172" s="10"/>
      </tp>
      <tp t="e">
        <v>#N/A</v>
        <stp/>
        <stp>BDH|2117594268562786214</stp>
        <tr r="AL117" s="10"/>
      </tp>
      <tp t="e">
        <v>#N/A</v>
        <stp/>
        <stp>BDH|5870938669479461202</stp>
        <tr r="T78" s="10"/>
      </tp>
      <tp t="e">
        <v>#N/A</v>
        <stp/>
        <stp>BDH|7273548800113053004</stp>
        <tr r="Q38" s="10"/>
      </tp>
      <tp t="e">
        <v>#N/A</v>
        <stp/>
        <stp>BDH|7885187015051596768</stp>
        <tr r="E34" s="10"/>
      </tp>
      <tp t="e">
        <v>#N/A</v>
        <stp/>
        <stp>BDH|2615142029130899055</stp>
        <tr r="E179" s="10"/>
      </tp>
      <tp t="e">
        <v>#N/A</v>
        <stp/>
        <stp>BDH|8610584259131870882</stp>
        <tr r="Y177" s="10"/>
      </tp>
      <tp t="e">
        <v>#N/A</v>
        <stp/>
        <stp>BDH|6198683267185131288</stp>
        <tr r="AN140" s="10"/>
      </tp>
      <tp t="e">
        <v>#N/A</v>
        <stp/>
        <stp>BDH|7137661393590041930</stp>
        <tr r="AM88" s="10"/>
      </tp>
      <tp t="e">
        <v>#N/A</v>
        <stp/>
        <stp>BDH|7961756359422731655</stp>
        <tr r="AK102" s="10"/>
      </tp>
      <tp t="e">
        <v>#N/A</v>
        <stp/>
        <stp>BDH|8704967730951347258</stp>
        <tr r="AO10" s="10"/>
      </tp>
      <tp t="e">
        <v>#N/A</v>
        <stp/>
        <stp>BDH|8317547085614606035</stp>
        <tr r="E61" s="10"/>
      </tp>
      <tp t="e">
        <v>#N/A</v>
        <stp/>
        <stp>BDH|7145794248135065072</stp>
        <tr r="AP170" s="10"/>
      </tp>
      <tp t="e">
        <v>#N/A</v>
        <stp/>
        <stp>BDH|5328708838841962150</stp>
        <tr r="AI164" s="10"/>
      </tp>
      <tp t="e">
        <v>#N/A</v>
        <stp/>
        <stp>BDH|4088734201690592207</stp>
        <tr r="L181" s="10"/>
      </tp>
      <tp t="e">
        <v>#N/A</v>
        <stp/>
        <stp>BDH|8792702843602680851</stp>
        <tr r="G109" s="10"/>
      </tp>
      <tp t="e">
        <v>#N/A</v>
        <stp/>
        <stp>BDH|1750958814950857896</stp>
        <tr r="AL141" s="10"/>
      </tp>
      <tp t="e">
        <v>#N/A</v>
        <stp/>
        <stp>BDH|7052041836246223372</stp>
        <tr r="AI114" s="10"/>
      </tp>
      <tp t="e">
        <v>#N/A</v>
        <stp/>
        <stp>BDH|3862129413402843066</stp>
        <tr r="AO159" s="10"/>
      </tp>
      <tp t="e">
        <v>#N/A</v>
        <stp/>
        <stp>BDH|3556339630625563747</stp>
        <tr r="R112" s="10"/>
      </tp>
      <tp t="e">
        <v>#N/A</v>
        <stp/>
        <stp>BDH|5841688364567365305</stp>
        <tr r="AE61" s="10"/>
      </tp>
      <tp t="e">
        <v>#N/A</v>
        <stp/>
        <stp>BDH|8810846586549500088</stp>
        <tr r="O38" s="10"/>
      </tp>
      <tp t="e">
        <v>#N/A</v>
        <stp/>
        <stp>BDH|1158673646040692210</stp>
        <tr r="AM26" s="10"/>
      </tp>
      <tp t="e">
        <v>#N/A</v>
        <stp/>
        <stp>BDH|4284422352460729423</stp>
        <tr r="H153" s="10"/>
      </tp>
      <tp t="e">
        <v>#N/A</v>
        <stp/>
        <stp>BDH|9708228416472737931</stp>
        <tr r="L32" s="10"/>
      </tp>
      <tp t="e">
        <v>#N/A</v>
        <stp/>
        <stp>BDH|5223378046606585525</stp>
        <tr r="AG161" s="10"/>
      </tp>
      <tp t="e">
        <v>#N/A</v>
        <stp/>
        <stp>BDH|4274317132206028351</stp>
        <tr r="H154" s="10"/>
      </tp>
      <tp t="e">
        <v>#N/A</v>
        <stp/>
        <stp>BDH|2474455875765154510</stp>
        <tr r="F141" s="10"/>
      </tp>
      <tp t="e">
        <v>#N/A</v>
        <stp/>
        <stp>BDH|3104636041208348843</stp>
        <tr r="R116" s="10"/>
      </tp>
      <tp t="e">
        <v>#N/A</v>
        <stp/>
        <stp>BDH|4932842043028874124</stp>
        <tr r="J72" s="10"/>
      </tp>
      <tp t="e">
        <v>#N/A</v>
        <stp/>
        <stp>BDH|5207649417836527507</stp>
        <tr r="T183" s="10"/>
      </tp>
      <tp t="e">
        <v>#N/A</v>
        <stp/>
        <stp>BDH|1723505758554356480</stp>
        <tr r="AH179" s="10"/>
      </tp>
      <tp t="e">
        <v>#N/A</v>
        <stp/>
        <stp>BDH|6393317821516286054</stp>
        <tr r="AJ33" s="10"/>
      </tp>
      <tp t="e">
        <v>#N/A</v>
        <stp/>
        <stp>BDH|7889772926950826357</stp>
        <tr r="AS95" s="10"/>
      </tp>
      <tp t="e">
        <v>#N/A</v>
        <stp/>
        <stp>BDH|4225920630326669921</stp>
        <tr r="P140" s="10"/>
      </tp>
      <tp t="e">
        <v>#N/A</v>
        <stp/>
        <stp>BDH|6554151583299678718</stp>
        <tr r="AE128" s="10"/>
      </tp>
      <tp t="e">
        <v>#N/A</v>
        <stp/>
        <stp>BDH|3735229137346609500</stp>
        <tr r="AI70" s="10"/>
      </tp>
      <tp t="e">
        <v>#N/A</v>
        <stp/>
        <stp>BDH|5757330862779681842</stp>
        <tr r="O141" s="10"/>
      </tp>
      <tp t="e">
        <v>#N/A</v>
        <stp/>
        <stp>BDH|2525598721916898212</stp>
        <tr r="K192" s="10"/>
      </tp>
      <tp t="e">
        <v>#N/A</v>
        <stp/>
        <stp>BDH|1755927313970362811</stp>
        <tr r="C132" s="10"/>
      </tp>
      <tp t="e">
        <v>#N/A</v>
        <stp/>
        <stp>BDH|3691250472917657039</stp>
        <tr r="Y17" s="10"/>
      </tp>
      <tp t="e">
        <v>#N/A</v>
        <stp/>
        <stp>BDH|8288123680845687527</stp>
        <tr r="O53" s="10"/>
      </tp>
      <tp t="e">
        <v>#N/A</v>
        <stp/>
        <stp>BDH|1554053913021527028</stp>
        <tr r="AF41" s="10"/>
      </tp>
      <tp t="e">
        <v>#N/A</v>
        <stp/>
        <stp>BDH|3427556565821465044</stp>
        <tr r="AM182" s="10"/>
      </tp>
      <tp t="e">
        <v>#N/A</v>
        <stp/>
        <stp>BDH|8845785103557452920</stp>
        <tr r="AM65" s="10"/>
      </tp>
      <tp t="e">
        <v>#N/A</v>
        <stp/>
        <stp>BDH|9488227222090290837</stp>
        <tr r="F90" s="10"/>
      </tp>
      <tp t="e">
        <v>#N/A</v>
        <stp/>
        <stp>BDH|1917262196893480882</stp>
        <tr r="C123" s="10"/>
      </tp>
      <tp t="e">
        <v>#N/A</v>
        <stp/>
        <stp>BDH|5668925234747111944</stp>
        <tr r="AH161" s="10"/>
      </tp>
      <tp t="e">
        <v>#N/A</v>
        <stp/>
        <stp>BDH|8598927774881535635</stp>
        <tr r="AK124" s="10"/>
      </tp>
      <tp t="e">
        <v>#N/A</v>
        <stp/>
        <stp>BDH|2046760325204775212</stp>
        <tr r="S11" s="10"/>
      </tp>
      <tp t="e">
        <v>#N/A</v>
        <stp/>
        <stp>BDH|2050560374967566629</stp>
        <tr r="M72" s="10"/>
      </tp>
      <tp t="e">
        <v>#N/A</v>
        <stp/>
        <stp>BDH|1113522455563618354</stp>
        <tr r="W177" s="10"/>
      </tp>
      <tp t="e">
        <v>#N/A</v>
        <stp/>
        <stp>BDH|2797399204966839679</stp>
        <tr r="AF80" s="10"/>
      </tp>
      <tp t="e">
        <v>#N/A</v>
        <stp/>
        <stp>BDH|3518526189498970721</stp>
        <tr r="P93" s="10"/>
      </tp>
      <tp t="e">
        <v>#N/A</v>
        <stp/>
        <stp>BDH|4467430406724573512</stp>
        <tr r="AP193" s="10"/>
      </tp>
      <tp t="e">
        <v>#N/A</v>
        <stp/>
        <stp>BDH|4643223076525565523</stp>
        <tr r="J116" s="10"/>
      </tp>
      <tp t="e">
        <v>#N/A</v>
        <stp/>
        <stp>BDH|2866287030440774225</stp>
        <tr r="AV67" s="10"/>
      </tp>
      <tp t="e">
        <v>#N/A</v>
        <stp/>
        <stp>BDH|7486790833943345182</stp>
        <tr r="H133" s="10"/>
      </tp>
      <tp t="e">
        <v>#N/A</v>
        <stp/>
        <stp>BDH|9441045579656979957</stp>
        <tr r="H47" s="10"/>
      </tp>
      <tp t="e">
        <v>#N/A</v>
        <stp/>
        <stp>BDH|4352356850113528069</stp>
        <tr r="AM124" s="10"/>
      </tp>
      <tp t="e">
        <v>#N/A</v>
        <stp/>
        <stp>BDH|3569464544315713759</stp>
        <tr r="V29" s="10"/>
      </tp>
      <tp t="e">
        <v>#N/A</v>
        <stp/>
        <stp>BDH|1207961586358293953</stp>
        <tr r="Y20" s="10"/>
      </tp>
      <tp t="e">
        <v>#N/A</v>
        <stp/>
        <stp>BDH|3285779155861155144</stp>
        <tr r="AR33" s="10"/>
      </tp>
      <tp t="e">
        <v>#N/A</v>
        <stp/>
        <stp>BDH|7262747374710392644</stp>
        <tr r="AP120" s="10"/>
      </tp>
      <tp t="e">
        <v>#N/A</v>
        <stp/>
        <stp>BDH|1043800685439225929</stp>
        <tr r="AU47" s="10"/>
      </tp>
      <tp t="e">
        <v>#N/A</v>
        <stp/>
        <stp>BDH|4573367986076925898</stp>
        <tr r="AF5" s="10"/>
      </tp>
      <tp t="e">
        <v>#N/A</v>
        <stp/>
        <stp>BDH|4771927176529705218</stp>
        <tr r="AQ167" s="10"/>
      </tp>
      <tp t="e">
        <v>#N/A</v>
        <stp/>
        <stp>BDH|1827530510250845469</stp>
        <tr r="AB104" s="10"/>
      </tp>
      <tp t="e">
        <v>#N/A</v>
        <stp/>
        <stp>BDH|9297453761582059836</stp>
        <tr r="AE9" s="10"/>
      </tp>
      <tp t="e">
        <v>#N/A</v>
        <stp/>
        <stp>BDH|3792213032342236135</stp>
        <tr r="AN19" s="10"/>
      </tp>
      <tp t="e">
        <v>#N/A</v>
        <stp/>
        <stp>BDH|5586522772534801281</stp>
        <tr r="AV16" s="10"/>
      </tp>
    </main>
    <main first="bofaddin.rtdserver">
      <tp t="e">
        <v>#N/A</v>
        <stp/>
        <stp>BDH|19189305959809430</stp>
        <tr r="Q12" s="10"/>
      </tp>
      <tp t="s">
        <v>#N/A Requesting Data...1464376662</v>
        <stp/>
        <stp>BDP|2538159354232794693</stp>
        <tr r="F13" s="2"/>
      </tp>
      <tp t="s">
        <v>#N/A Requesting Data...2831012440</v>
        <stp/>
        <stp>BDP|2291058614059967800</stp>
        <tr r="B5" s="6"/>
        <tr r="E4" s="1"/>
        <tr r="H5" s="2"/>
      </tp>
      <tp t="e">
        <v>#N/A</v>
        <stp/>
        <stp>BDH|3436897617501645964</stp>
        <tr r="Z75" s="10"/>
      </tp>
      <tp t="e">
        <v>#N/A</v>
        <stp/>
        <stp>BDH|7750978776112586995</stp>
        <tr r="AR168" s="10"/>
      </tp>
      <tp t="e">
        <v>#N/A</v>
        <stp/>
        <stp>BDH|6595564001391098082</stp>
        <tr r="C130" s="10"/>
      </tp>
      <tp t="e">
        <v>#N/A</v>
        <stp/>
        <stp>BDH|7176787648977285194</stp>
        <tr r="T64" s="10"/>
      </tp>
      <tp t="e">
        <v>#N/A</v>
        <stp/>
        <stp>BDH|4623506713310866274</stp>
        <tr r="K95" s="10"/>
      </tp>
      <tp t="e">
        <v>#N/A</v>
        <stp/>
        <stp>BDH|6163130238333187519</stp>
        <tr r="N64" s="10"/>
      </tp>
      <tp t="e">
        <v>#N/A</v>
        <stp/>
        <stp>BDH|5261696733017564572</stp>
        <tr r="AC106" s="10"/>
      </tp>
      <tp t="e">
        <v>#N/A</v>
        <stp/>
        <stp>BDH|2507777601747171081</stp>
        <tr r="M21" s="10"/>
      </tp>
      <tp t="e">
        <v>#N/A</v>
        <stp/>
        <stp>BDH|2764416235457925000</stp>
        <tr r="AG42" s="10"/>
      </tp>
      <tp t="e">
        <v>#N/A</v>
        <stp/>
        <stp>BDH|9741283273069179776</stp>
        <tr r="AW145" s="10"/>
      </tp>
      <tp t="e">
        <v>#N/A</v>
        <stp/>
        <stp>BDH|3355917627842968865</stp>
        <tr r="T29" s="10"/>
      </tp>
      <tp t="e">
        <v>#N/A</v>
        <stp/>
        <stp>BDH|8250059583486747495</stp>
        <tr r="V42" s="10"/>
      </tp>
      <tp t="e">
        <v>#N/A</v>
        <stp/>
        <stp>BDH|2538007692758828159</stp>
        <tr r="D109" s="10"/>
      </tp>
      <tp t="e">
        <v>#N/A</v>
        <stp/>
        <stp>BDH|2664051122392240098</stp>
        <tr r="N101" s="10"/>
      </tp>
      <tp t="e">
        <v>#N/A</v>
        <stp/>
        <stp>BDH|6691247459341242232</stp>
        <tr r="AG156" s="10"/>
      </tp>
      <tp t="e">
        <v>#N/A</v>
        <stp/>
        <stp>BDH|4875795672425149389</stp>
        <tr r="I13" s="10"/>
      </tp>
      <tp t="e">
        <v>#N/A</v>
        <stp/>
        <stp>BDH|9923659055769446175</stp>
        <tr r="AO188" s="10"/>
      </tp>
      <tp t="e">
        <v>#N/A</v>
        <stp/>
        <stp>BDH|2534463745095980557</stp>
        <tr r="E57" s="10"/>
      </tp>
      <tp t="e">
        <v>#N/A</v>
        <stp/>
        <stp>BDH|9156568998544141342</stp>
        <tr r="AS148" s="10"/>
      </tp>
      <tp t="e">
        <v>#N/A</v>
        <stp/>
        <stp>BDH|7356486905914325576</stp>
        <tr r="D120" s="10"/>
      </tp>
      <tp t="e">
        <v>#N/A</v>
        <stp/>
        <stp>BDH|8995052692924567705</stp>
        <tr r="G88" s="10"/>
      </tp>
      <tp t="e">
        <v>#N/A</v>
        <stp/>
        <stp>BDH|3197996370956246913</stp>
        <tr r="X36" s="10"/>
      </tp>
      <tp t="e">
        <v>#N/A</v>
        <stp/>
        <stp>BDH|2334977196527195789</stp>
        <tr r="X86" s="10"/>
      </tp>
      <tp t="e">
        <v>#N/A</v>
        <stp/>
        <stp>BDH|6066407457265908053</stp>
        <tr r="AF104" s="10"/>
      </tp>
      <tp t="e">
        <v>#N/A</v>
        <stp/>
        <stp>BDH|3867487223656156191</stp>
        <tr r="AG170" s="10"/>
      </tp>
      <tp t="e">
        <v>#N/A</v>
        <stp/>
        <stp>BDH|3661376605792726087</stp>
        <tr r="AS67" s="10"/>
      </tp>
      <tp t="e">
        <v>#N/A</v>
        <stp/>
        <stp>BDH|2810164373603459524</stp>
        <tr r="S67" s="10"/>
      </tp>
      <tp t="e">
        <v>#N/A</v>
        <stp/>
        <stp>BDH|2942437970511061212</stp>
        <tr r="AN160" s="10"/>
      </tp>
      <tp t="e">
        <v>#N/A</v>
        <stp/>
        <stp>BDH|1302243422723855064</stp>
        <tr r="AH60" s="10"/>
      </tp>
      <tp t="e">
        <v>#N/A</v>
        <stp/>
        <stp>BDH|2551420444790844002</stp>
        <tr r="AU76" s="10"/>
      </tp>
      <tp t="e">
        <v>#N/A</v>
        <stp/>
        <stp>BDH|2545559089548213500</stp>
        <tr r="Z146" s="10"/>
      </tp>
      <tp t="e">
        <v>#N/A</v>
        <stp/>
        <stp>BDH|6845227622381684551</stp>
        <tr r="AF32" s="10"/>
      </tp>
      <tp t="e">
        <v>#N/A</v>
        <stp/>
        <stp>BDH|8095852031353964264</stp>
        <tr r="D154" s="10"/>
      </tp>
      <tp t="e">
        <v>#N/A</v>
        <stp/>
        <stp>BDH|4193496145586236043</stp>
        <tr r="O140" s="10"/>
      </tp>
      <tp t="e">
        <v>#N/A</v>
        <stp/>
        <stp>BDH|3066297367616434319</stp>
        <tr r="W141" s="10"/>
      </tp>
      <tp t="e">
        <v>#N/A</v>
        <stp/>
        <stp>BDH|4943267411380140549</stp>
        <tr r="J16" s="10"/>
      </tp>
      <tp t="e">
        <v>#N/A</v>
        <stp/>
        <stp>BDH|2585983323863541808</stp>
        <tr r="AD118" s="10"/>
      </tp>
      <tp t="e">
        <v>#N/A</v>
        <stp/>
        <stp>BDH|3784601364499852807</stp>
        <tr r="P191" s="10"/>
      </tp>
      <tp t="e">
        <v>#N/A</v>
        <stp/>
        <stp>BDH|6718475337162992153</stp>
        <tr r="AD71" s="10"/>
      </tp>
      <tp t="e">
        <v>#N/A</v>
        <stp/>
        <stp>BDH|2453502418894198068</stp>
        <tr r="J121" s="10"/>
      </tp>
      <tp t="e">
        <v>#N/A</v>
        <stp/>
        <stp>BDH|7126950386892863612</stp>
        <tr r="Q125" s="10"/>
      </tp>
      <tp t="s">
        <v>#N/A Requesting Data...2959773438</v>
        <stp/>
        <stp>BDP|7224702826070861049</stp>
        <tr r="D15" s="1"/>
      </tp>
      <tp t="s">
        <v>#N/A Requesting Data...4183704418</v>
        <stp/>
        <stp>BDP|1623422047353279097</stp>
        <tr r="F18" s="2"/>
        <tr r="F28" s="2"/>
      </tp>
      <tp t="s">
        <v>#N/A Requesting Data...2196241848</v>
        <stp/>
        <stp>BDP|3469682597419647757</stp>
        <tr r="O18" s="1"/>
      </tp>
      <tp t="e">
        <v>#N/A</v>
        <stp/>
        <stp>BDH|1820667765020037335</stp>
        <tr r="F70" s="10"/>
      </tp>
      <tp t="e">
        <v>#N/A</v>
        <stp/>
        <stp>BDH|6783934586445289083</stp>
        <tr r="AN25" s="10"/>
      </tp>
      <tp t="e">
        <v>#N/A</v>
        <stp/>
        <stp>BDH|4283496852406013119</stp>
        <tr r="Y130" s="10"/>
      </tp>
      <tp t="e">
        <v>#N/A</v>
        <stp/>
        <stp>BDH|2106829260398369689</stp>
        <tr r="G108" s="10"/>
      </tp>
      <tp t="e">
        <v>#N/A</v>
        <stp/>
        <stp>BDH|7034531102794859415</stp>
        <tr r="AK150" s="10"/>
      </tp>
      <tp t="e">
        <v>#N/A</v>
        <stp/>
        <stp>BDH|9524096831131480919</stp>
        <tr r="AJ152" s="10"/>
      </tp>
      <tp t="e">
        <v>#N/A</v>
        <stp/>
        <stp>BDH|5685657728036591561</stp>
        <tr r="AQ125" s="10"/>
      </tp>
      <tp t="e">
        <v>#N/A</v>
        <stp/>
        <stp>BDH|4341776802662763395</stp>
        <tr r="I63" s="10"/>
      </tp>
      <tp t="e">
        <v>#N/A</v>
        <stp/>
        <stp>BDH|2263798167111556013</stp>
        <tr r="AJ13" s="10"/>
      </tp>
      <tp t="e">
        <v>#N/A</v>
        <stp/>
        <stp>BDH|1916613051982074215</stp>
        <tr r="AO86" s="10"/>
      </tp>
      <tp t="e">
        <v>#N/A</v>
        <stp/>
        <stp>BDH|4299417066034851052</stp>
        <tr r="AT83" s="10"/>
      </tp>
      <tp t="e">
        <v>#N/A</v>
        <stp/>
        <stp>BDH|2511039528475537737</stp>
        <tr r="AJ78" s="10"/>
      </tp>
      <tp t="e">
        <v>#N/A</v>
        <stp/>
        <stp>BDH|3354187763550082607</stp>
        <tr r="Y44" s="10"/>
      </tp>
      <tp t="e">
        <v>#N/A</v>
        <stp/>
        <stp>BDH|2049739048941191226</stp>
        <tr r="N107" s="10"/>
      </tp>
      <tp t="e">
        <v>#N/A</v>
        <stp/>
        <stp>BDH|2128011349616263238</stp>
        <tr r="W13" s="10"/>
      </tp>
      <tp t="e">
        <v>#N/A</v>
        <stp/>
        <stp>BDH|6611442720910326292</stp>
        <tr r="AF150" s="10"/>
      </tp>
      <tp t="e">
        <v>#N/A</v>
        <stp/>
        <stp>BDH|6135848917168907537</stp>
        <tr r="S59" s="10"/>
      </tp>
      <tp t="e">
        <v>#N/A</v>
        <stp/>
        <stp>BDH|3753498120271464625</stp>
        <tr r="AO82" s="10"/>
      </tp>
      <tp t="e">
        <v>#N/A</v>
        <stp/>
        <stp>BDH|6007424958882168736</stp>
        <tr r="AU79" s="10"/>
      </tp>
      <tp t="e">
        <v>#N/A</v>
        <stp/>
        <stp>BDH|2123699534574484109</stp>
        <tr r="AT135" s="10"/>
      </tp>
      <tp t="e">
        <v>#N/A</v>
        <stp/>
        <stp>BDH|7998063606561224433</stp>
        <tr r="AK166" s="10"/>
      </tp>
      <tp t="e">
        <v>#N/A</v>
        <stp/>
        <stp>BDH|4096240155583132281</stp>
        <tr r="Q54" s="10"/>
      </tp>
      <tp t="e">
        <v>#N/A</v>
        <stp/>
        <stp>BDH|5347653362811863658</stp>
        <tr r="AR142" s="10"/>
      </tp>
      <tp t="e">
        <v>#N/A</v>
        <stp/>
        <stp>BDH|3644485150251478135</stp>
        <tr r="AJ186" s="10"/>
      </tp>
      <tp t="e">
        <v>#N/A</v>
        <stp/>
        <stp>BDH|2126374767274035187</stp>
        <tr r="AJ16" s="10"/>
      </tp>
      <tp t="e">
        <v>#N/A</v>
        <stp/>
        <stp>BDH|2951087176511979670</stp>
        <tr r="AL156" s="10"/>
      </tp>
      <tp t="e">
        <v>#N/A</v>
        <stp/>
        <stp>BDH|8481908441076878147</stp>
        <tr r="G133" s="10"/>
      </tp>
      <tp t="e">
        <v>#N/A</v>
        <stp/>
        <stp>BDH|1990724659463885233</stp>
        <tr r="O71" s="10"/>
      </tp>
      <tp t="e">
        <v>#N/A</v>
        <stp/>
        <stp>BDH|3915684116570713693</stp>
        <tr r="AT79" s="10"/>
      </tp>
      <tp t="e">
        <v>#N/A</v>
        <stp/>
        <stp>BDH|9504693987697476267</stp>
        <tr r="Y101" s="10"/>
      </tp>
      <tp t="e">
        <v>#N/A</v>
        <stp/>
        <stp>BDH|3029690854033075142</stp>
        <tr r="AE123" s="10"/>
      </tp>
      <tp t="e">
        <v>#N/A</v>
        <stp/>
        <stp>BDH|7939662258447951177</stp>
        <tr r="AU81" s="10"/>
      </tp>
      <tp t="e">
        <v>#N/A</v>
        <stp/>
        <stp>BDH|9017806316471631396</stp>
        <tr r="I37" s="10"/>
      </tp>
      <tp t="e">
        <v>#N/A</v>
        <stp/>
        <stp>BDH|1846947338298832154</stp>
        <tr r="AF64" s="10"/>
      </tp>
      <tp t="e">
        <v>#N/A</v>
        <stp/>
        <stp>BDH|7190786777036469333</stp>
        <tr r="W25" s="10"/>
      </tp>
      <tp t="e">
        <v>#N/A</v>
        <stp/>
        <stp>BDH|1786063636429904972</stp>
        <tr r="E82" s="10"/>
      </tp>
      <tp t="e">
        <v>#N/A</v>
        <stp/>
        <stp>BDH|6033891857958675111</stp>
        <tr r="E114" s="10"/>
      </tp>
      <tp t="e">
        <v>#N/A</v>
        <stp/>
        <stp>BDH|3777050825607845469</stp>
        <tr r="AL25" s="10"/>
      </tp>
      <tp t="e">
        <v>#N/A</v>
        <stp/>
        <stp>BDH|5022811388406605168</stp>
        <tr r="U58" s="10"/>
      </tp>
      <tp t="e">
        <v>#N/A</v>
        <stp/>
        <stp>BDH|3046262546842072596</stp>
        <tr r="H91" s="10"/>
      </tp>
      <tp t="s">
        <v>#N/A Requesting Data...2108011039</v>
        <stp/>
        <stp>BDP|7460368143106704487</stp>
        <tr r="D9" s="1"/>
      </tp>
      <tp t="e">
        <v>#N/A</v>
        <stp/>
        <stp>BDH|3521991784688520836</stp>
        <tr r="M33" s="10"/>
      </tp>
      <tp t="e">
        <v>#N/A</v>
        <stp/>
        <stp>BDH|6231378456776981444</stp>
        <tr r="AJ180" s="10"/>
      </tp>
      <tp t="e">
        <v>#N/A</v>
        <stp/>
        <stp>BDH|4967241646397072753</stp>
        <tr r="M62" s="10"/>
      </tp>
      <tp t="e">
        <v>#N/A</v>
        <stp/>
        <stp>BDH|7258339755074842728</stp>
        <tr r="D113" s="10"/>
      </tp>
      <tp t="e">
        <v>#N/A</v>
        <stp/>
        <stp>BDH|1385364895480926978</stp>
        <tr r="J14" s="10"/>
      </tp>
      <tp t="e">
        <v>#N/A</v>
        <stp/>
        <stp>BDH|6040064628694413242</stp>
        <tr r="L56" s="10"/>
      </tp>
      <tp t="e">
        <v>#N/A</v>
        <stp/>
        <stp>BDH|5127133253316903565</stp>
        <tr r="AK135" s="10"/>
      </tp>
      <tp t="e">
        <v>#N/A</v>
        <stp/>
        <stp>BDH|6378677657156417197</stp>
        <tr r="AF93" s="10"/>
      </tp>
      <tp t="e">
        <v>#N/A</v>
        <stp/>
        <stp>BDH|1363843539890058803</stp>
        <tr r="AB100" s="10"/>
      </tp>
      <tp t="e">
        <v>#N/A</v>
        <stp/>
        <stp>BDH|9792695727188441732</stp>
        <tr r="AR15" s="10"/>
      </tp>
      <tp t="e">
        <v>#N/A</v>
        <stp/>
        <stp>BDH|1898151033358602960</stp>
        <tr r="U191" s="10"/>
      </tp>
      <tp t="e">
        <v>#N/A</v>
        <stp/>
        <stp>BDH|3484955575716214981</stp>
        <tr r="AA159" s="10"/>
      </tp>
      <tp t="e">
        <v>#N/A</v>
        <stp/>
        <stp>BDH|2327366900120873338</stp>
        <tr r="AP30" s="10"/>
      </tp>
      <tp t="e">
        <v>#N/A</v>
        <stp/>
        <stp>BDH|7321826731417881965</stp>
        <tr r="W63" s="10"/>
      </tp>
      <tp t="e">
        <v>#N/A</v>
        <stp/>
        <stp>BDH|4894327475825083710</stp>
        <tr r="L68" s="10"/>
      </tp>
      <tp t="e">
        <v>#N/A</v>
        <stp/>
        <stp>BDH|5196334473677837476</stp>
        <tr r="AN45" s="10"/>
      </tp>
      <tp t="e">
        <v>#N/A</v>
        <stp/>
        <stp>BDH|2476581484039517426</stp>
        <tr r="U9" s="10"/>
      </tp>
      <tp t="e">
        <v>#N/A</v>
        <stp/>
        <stp>BDH|3227515015183037695</stp>
        <tr r="AV187" s="10"/>
      </tp>
      <tp t="e">
        <v>#N/A</v>
        <stp/>
        <stp>BDH|2146696078473848272</stp>
        <tr r="AF192" s="10"/>
      </tp>
      <tp t="e">
        <v>#N/A</v>
        <stp/>
        <stp>BDH|5180094026036973388</stp>
        <tr r="W78" s="10"/>
      </tp>
      <tp t="e">
        <v>#N/A</v>
        <stp/>
        <stp>BDH|5340632719976480624</stp>
        <tr r="AC72" s="10"/>
      </tp>
      <tp t="e">
        <v>#N/A</v>
        <stp/>
        <stp>BDH|8071481975991441868</stp>
        <tr r="W176" s="10"/>
      </tp>
      <tp t="e">
        <v>#N/A</v>
        <stp/>
        <stp>BDH|5633499270367738379</stp>
        <tr r="O20" s="10"/>
      </tp>
      <tp t="e">
        <v>#N/A</v>
        <stp/>
        <stp>BDH|6401891473772919982</stp>
        <tr r="AP32" s="10"/>
      </tp>
      <tp t="e">
        <v>#N/A</v>
        <stp/>
        <stp>BDH|6698076949213719308</stp>
        <tr r="AC162" s="10"/>
      </tp>
      <tp t="e">
        <v>#N/A</v>
        <stp/>
        <stp>BDH|2575226661457062395</stp>
        <tr r="W96" s="10"/>
      </tp>
      <tp t="e">
        <v>#N/A</v>
        <stp/>
        <stp>BDH|3276215042843790495</stp>
        <tr r="C145" s="10"/>
      </tp>
      <tp t="e">
        <v>#N/A</v>
        <stp/>
        <stp>BDH|3739410129715901292</stp>
        <tr r="C176" s="10"/>
      </tp>
      <tp t="e">
        <v>#N/A</v>
        <stp/>
        <stp>BDH|8129399560699612615</stp>
        <tr r="AJ28" s="10"/>
      </tp>
      <tp t="e">
        <v>#N/A</v>
        <stp/>
        <stp>BDH|7618185654975054451</stp>
        <tr r="F150" s="10"/>
      </tp>
      <tp t="e">
        <v>#N/A</v>
        <stp/>
        <stp>BDH|3028713438966383359</stp>
        <tr r="AU28" s="10"/>
      </tp>
      <tp t="e">
        <v>#N/A</v>
        <stp/>
        <stp>BDH|6386113948566323764</stp>
        <tr r="M114" s="10"/>
      </tp>
      <tp t="e">
        <v>#N/A</v>
        <stp/>
        <stp>BDH|3290334668557379354</stp>
        <tr r="AJ79" s="10"/>
      </tp>
      <tp t="e">
        <v>#N/A</v>
        <stp/>
        <stp>BDH|1429909056776867950</stp>
        <tr r="L123" s="10"/>
      </tp>
      <tp t="e">
        <v>#N/A</v>
        <stp/>
        <stp>BDH|4549148520471757490</stp>
        <tr r="AP138" s="10"/>
      </tp>
      <tp t="e">
        <v>#N/A</v>
        <stp/>
        <stp>BDH|6501410545655992173</stp>
        <tr r="G58" s="10"/>
      </tp>
      <tp t="e">
        <v>#N/A</v>
        <stp/>
        <stp>BDH|6018671461601037599</stp>
        <tr r="AH64" s="10"/>
      </tp>
      <tp t="e">
        <v>#N/A</v>
        <stp/>
        <stp>BDH|2862762248523074099</stp>
        <tr r="AQ78" s="10"/>
      </tp>
      <tp t="e">
        <v>#N/A</v>
        <stp/>
        <stp>BDH|2432013062846951013</stp>
        <tr r="AD13" s="10"/>
      </tp>
      <tp t="e">
        <v>#N/A</v>
        <stp/>
        <stp>BDH|2904751197946749832</stp>
        <tr r="AP106" s="10"/>
      </tp>
      <tp t="e">
        <v>#N/A</v>
        <stp/>
        <stp>BDH|4435203573670218397</stp>
        <tr r="I131" s="10"/>
      </tp>
      <tp t="e">
        <v>#N/A</v>
        <stp/>
        <stp>BDH|9048392330459356262</stp>
        <tr r="AO60" s="10"/>
      </tp>
      <tp t="e">
        <v>#N/A</v>
        <stp/>
        <stp>BDH|8359612590426615387</stp>
        <tr r="S143" s="10"/>
      </tp>
      <tp t="e">
        <v>#N/A</v>
        <stp/>
        <stp>BDH|9433908517270669398</stp>
        <tr r="AN175" s="10"/>
      </tp>
      <tp t="e">
        <v>#N/A</v>
        <stp/>
        <stp>BDH|5726565462925784180</stp>
        <tr r="K40" s="10"/>
      </tp>
      <tp t="e">
        <v>#N/A</v>
        <stp/>
        <stp>BDH|6385342748624164722</stp>
        <tr r="O174" s="10"/>
      </tp>
      <tp t="e">
        <v>#N/A</v>
        <stp/>
        <stp>BDH|5983845874849187145</stp>
        <tr r="AA175" s="10"/>
      </tp>
      <tp t="e">
        <v>#N/A</v>
        <stp/>
        <stp>BDH|4999239757801775067</stp>
        <tr r="AV192" s="10"/>
      </tp>
      <tp t="e">
        <v>#N/A</v>
        <stp/>
        <stp>BDH|6456180554779782931</stp>
        <tr r="AD147" s="10"/>
      </tp>
      <tp t="e">
        <v>#N/A</v>
        <stp/>
        <stp>BDH|4756258843403835351</stp>
        <tr r="W185" s="10"/>
      </tp>
      <tp t="e">
        <v>#N/A</v>
        <stp/>
        <stp>BDH|7228263653666940429</stp>
        <tr r="C81" s="10"/>
      </tp>
      <tp t="e">
        <v>#N/A</v>
        <stp/>
        <stp>BDH|4605147866958962912</stp>
        <tr r="X148" s="10"/>
      </tp>
      <tp t="e">
        <v>#N/A</v>
        <stp/>
        <stp>BDH|3986893465067924805</stp>
        <tr r="S87" s="10"/>
      </tp>
      <tp t="e">
        <v>#N/A</v>
        <stp/>
        <stp>BDH|8435596888397113097</stp>
        <tr r="AN167" s="10"/>
      </tp>
      <tp t="e">
        <v>#N/A</v>
        <stp/>
        <stp>BDH|8906866614203255043</stp>
        <tr r="AF152" s="10"/>
      </tp>
      <tp t="e">
        <v>#N/A</v>
        <stp/>
        <stp>BDH|7675886402395238834</stp>
        <tr r="AH182" s="10"/>
      </tp>
      <tp t="e">
        <v>#N/A</v>
        <stp/>
        <stp>BDH|6081573469490695753</stp>
        <tr r="I97" s="10"/>
      </tp>
      <tp t="e">
        <v>#N/A</v>
        <stp/>
        <stp>BDH|9023705755181055886</stp>
        <tr r="H128" s="10"/>
      </tp>
      <tp t="e">
        <v>#N/A</v>
        <stp/>
        <stp>BDH|2998675221092714659</stp>
        <tr r="Z190" s="10"/>
      </tp>
      <tp t="e">
        <v>#N/A</v>
        <stp/>
        <stp>BDH|3650580224820309649</stp>
        <tr r="AG101" s="10"/>
      </tp>
      <tp t="e">
        <v>#N/A</v>
        <stp/>
        <stp>BDH|6999421757666605379</stp>
        <tr r="AN63" s="10"/>
      </tp>
      <tp t="e">
        <v>#N/A</v>
        <stp/>
        <stp>BDH|2963474440203614359</stp>
        <tr r="AA186" s="10"/>
      </tp>
      <tp t="e">
        <v>#N/A</v>
        <stp/>
        <stp>BDH|2685368072213912768</stp>
        <tr r="AW86" s="10"/>
      </tp>
      <tp t="e">
        <v>#N/A</v>
        <stp/>
        <stp>BDH|2684481169823922139</stp>
        <tr r="C146" s="10"/>
      </tp>
      <tp t="e">
        <v>#N/A</v>
        <stp/>
        <stp>BDH|9944039553587367972</stp>
        <tr r="AJ118" s="10"/>
      </tp>
      <tp t="e">
        <v>#N/A</v>
        <stp/>
        <stp>BDH|2240329063371661487</stp>
        <tr r="AU177" s="10"/>
      </tp>
      <tp t="e">
        <v>#N/A</v>
        <stp/>
        <stp>BDH|6817117240323392272</stp>
        <tr r="AP130" s="10"/>
      </tp>
      <tp t="s">
        <v>#N/A Requesting Data...1625358582</v>
        <stp/>
        <stp>BDP|6773204812710515726</stp>
        <tr r="D43" s="6"/>
        <tr r="H32" s="1"/>
      </tp>
      <tp t="e">
        <v>#N/A</v>
        <stp/>
        <stp>BDH|1426307185418242014</stp>
        <tr r="AC12" s="10"/>
      </tp>
      <tp t="e">
        <v>#N/A</v>
        <stp/>
        <stp>BDH|3846138009231888186</stp>
        <tr r="AC136" s="10"/>
      </tp>
      <tp t="e">
        <v>#N/A</v>
        <stp/>
        <stp>BDH|5728393235425177281</stp>
        <tr r="AC169" s="10"/>
      </tp>
      <tp t="e">
        <v>#N/A</v>
        <stp/>
        <stp>BDH|5292450521977676625</stp>
        <tr r="W113" s="10"/>
      </tp>
      <tp t="e">
        <v>#N/A</v>
        <stp/>
        <stp>BDH|6570044362602445053</stp>
        <tr r="C133" s="10"/>
      </tp>
      <tp t="e">
        <v>#N/A</v>
        <stp/>
        <stp>BDH|9415428589433898456</stp>
        <tr r="J9" s="10"/>
      </tp>
      <tp t="e">
        <v>#N/A</v>
        <stp/>
        <stp>BDH|3409041775027319145</stp>
        <tr r="AO11" s="10"/>
      </tp>
      <tp t="e">
        <v>#N/A</v>
        <stp/>
        <stp>BDH|1357421483529758671</stp>
        <tr r="AH55" s="10"/>
      </tp>
      <tp t="e">
        <v>#N/A</v>
        <stp/>
        <stp>BDH|5778445760380169500</stp>
        <tr r="U181" s="10"/>
      </tp>
      <tp t="e">
        <v>#N/A</v>
        <stp/>
        <stp>BDH|6645040429991827714</stp>
        <tr r="U33" s="10"/>
      </tp>
      <tp t="e">
        <v>#N/A</v>
        <stp/>
        <stp>BDH|4196300503653977692</stp>
        <tr r="O57" s="10"/>
      </tp>
      <tp t="e">
        <v>#N/A</v>
        <stp/>
        <stp>BDH|2150609292539364622</stp>
        <tr r="V20" s="10"/>
      </tp>
      <tp t="e">
        <v>#N/A</v>
        <stp/>
        <stp>BDH|2117316101475677658</stp>
        <tr r="AR188" s="10"/>
      </tp>
      <tp t="e">
        <v>#N/A</v>
        <stp/>
        <stp>BDH|1233796681225095982</stp>
        <tr r="C85" s="10"/>
      </tp>
      <tp t="e">
        <v>#N/A</v>
        <stp/>
        <stp>BDH|3263571457260182111</stp>
        <tr r="G25" s="10"/>
      </tp>
      <tp t="e">
        <v>#N/A</v>
        <stp/>
        <stp>BDH|6717077913925328022</stp>
        <tr r="W108" s="10"/>
      </tp>
      <tp t="e">
        <v>#N/A</v>
        <stp/>
        <stp>BDH|5003095335156683283</stp>
        <tr r="T174" s="10"/>
      </tp>
      <tp t="e">
        <v>#N/A</v>
        <stp/>
        <stp>BDH|8734978773655246136</stp>
        <tr r="O98" s="10"/>
      </tp>
      <tp t="e">
        <v>#N/A</v>
        <stp/>
        <stp>BDH|4091230524671148744</stp>
        <tr r="AL176" s="10"/>
      </tp>
      <tp t="e">
        <v>#N/A</v>
        <stp/>
        <stp>BDH|9111621685824686130</stp>
        <tr r="AG68" s="10"/>
      </tp>
      <tp t="e">
        <v>#N/A</v>
        <stp/>
        <stp>BDH|1648537234490749553</stp>
        <tr r="AM142" s="10"/>
      </tp>
      <tp t="e">
        <v>#N/A</v>
        <stp/>
        <stp>BDH|1472327781551350973</stp>
        <tr r="H145" s="10"/>
      </tp>
      <tp t="e">
        <v>#N/A</v>
        <stp/>
        <stp>BDH|1280859974425550953</stp>
        <tr r="AW188" s="10"/>
      </tp>
      <tp t="e">
        <v>#N/A</v>
        <stp/>
        <stp>BDH|3460827455408851485</stp>
        <tr r="N50" s="10"/>
      </tp>
      <tp t="e">
        <v>#N/A</v>
        <stp/>
        <stp>BDH|4610127244742165122</stp>
        <tr r="D34" s="10"/>
      </tp>
      <tp t="e">
        <v>#N/A</v>
        <stp/>
        <stp>BDH|7322760048073951573</stp>
        <tr r="U31" s="10"/>
      </tp>
      <tp t="e">
        <v>#N/A</v>
        <stp/>
        <stp>BDH|6368339745562279149</stp>
        <tr r="AJ18" s="10"/>
      </tp>
      <tp t="e">
        <v>#N/A</v>
        <stp/>
        <stp>BDH|7825127511282153795</stp>
        <tr r="AC132" s="10"/>
      </tp>
      <tp t="e">
        <v>#N/A</v>
        <stp/>
        <stp>BDH|8103616490864095131</stp>
        <tr r="Q121" s="10"/>
      </tp>
      <tp t="e">
        <v>#N/A</v>
        <stp/>
        <stp>BDH|1258195088589557356</stp>
        <tr r="Q141" s="10"/>
      </tp>
      <tp t="e">
        <v>#N/A</v>
        <stp/>
        <stp>BDH|8920936775071448588</stp>
        <tr r="F46" s="10"/>
      </tp>
      <tp t="e">
        <v>#N/A</v>
        <stp/>
        <stp>BDH|1359162874203381617</stp>
        <tr r="AI28" s="10"/>
      </tp>
      <tp t="e">
        <v>#N/A</v>
        <stp/>
        <stp>BDH|3464638346587771456</stp>
        <tr r="N106" s="10"/>
      </tp>
      <tp t="e">
        <v>#N/A</v>
        <stp/>
        <stp>BDH|8545931512531356348</stp>
        <tr r="V151" s="10"/>
      </tp>
      <tp t="e">
        <v>#N/A</v>
        <stp/>
        <stp>BDH|8580193458026339845</stp>
        <tr r="C174" s="10"/>
      </tp>
      <tp t="e">
        <v>#N/A</v>
        <stp/>
        <stp>BDH|7474519337911689273</stp>
        <tr r="AV8" s="10"/>
      </tp>
      <tp t="e">
        <v>#N/A</v>
        <stp/>
        <stp>BDH|9782950737396625706</stp>
        <tr r="C113" s="10"/>
      </tp>
      <tp t="e">
        <v>#N/A</v>
        <stp/>
        <stp>BDH|2914880680890225005</stp>
        <tr r="H108" s="10"/>
      </tp>
      <tp t="s">
        <v>#N/A Requesting Data...3040584799</v>
        <stp/>
        <stp>BDP|5660671959146170295</stp>
        <tr r="F4" s="2"/>
        <tr r="F74" s="2"/>
      </tp>
      <tp t="e">
        <v>#N/A</v>
        <stp/>
        <stp>BDH|1990674681625927868</stp>
        <tr r="AL108" s="10"/>
      </tp>
      <tp t="e">
        <v>#N/A</v>
        <stp/>
        <stp>BDH|9436234773089263760</stp>
        <tr r="G9" s="10"/>
      </tp>
      <tp t="e">
        <v>#N/A</v>
        <stp/>
        <stp>BDH|9119615329767963806</stp>
        <tr r="Y165" s="10"/>
      </tp>
      <tp t="e">
        <v>#N/A</v>
        <stp/>
        <stp>BDH|3009830559694902833</stp>
        <tr r="F38" s="10"/>
      </tp>
      <tp t="e">
        <v>#N/A</v>
        <stp/>
        <stp>BDH|5053269430232023468</stp>
        <tr r="AN188" s="10"/>
      </tp>
      <tp t="e">
        <v>#N/A</v>
        <stp/>
        <stp>BDH|7459404566717468067</stp>
        <tr r="Z144" s="10"/>
      </tp>
      <tp t="e">
        <v>#N/A</v>
        <stp/>
        <stp>BDH|5973176372269446880</stp>
        <tr r="AE22" s="10"/>
      </tp>
      <tp t="e">
        <v>#N/A</v>
        <stp/>
        <stp>BDH|8049939600295117629</stp>
        <tr r="AE7" s="10"/>
      </tp>
      <tp t="e">
        <v>#N/A</v>
        <stp/>
        <stp>BDH|9455281898949599912</stp>
        <tr r="C46" s="10"/>
      </tp>
      <tp t="e">
        <v>#N/A</v>
        <stp/>
        <stp>BDH|6421115332594323246</stp>
        <tr r="R45" s="10"/>
      </tp>
      <tp t="e">
        <v>#N/A</v>
        <stp/>
        <stp>BDH|2427929245315269811</stp>
        <tr r="AD37" s="10"/>
      </tp>
      <tp t="e">
        <v>#N/A</v>
        <stp/>
        <stp>BDH|3494823896005817584</stp>
        <tr r="J176" s="10"/>
      </tp>
      <tp t="s">
        <v>#N/A Requesting Data...1076951040</v>
        <stp/>
        <stp>BDP|5739357216873632634</stp>
        <tr r="D6" s="6"/>
        <tr r="H5" s="1"/>
      </tp>
      <tp t="s">
        <v>#N/A Requesting Data...2440144650</v>
        <stp/>
        <stp>BDP|4009121030875390106</stp>
        <tr r="F67" s="2"/>
        <tr r="F119" s="2"/>
      </tp>
      <tp t="e">
        <v>#N/A</v>
        <stp/>
        <stp>BDH|4955795227273704013</stp>
        <tr r="AJ67" s="10"/>
      </tp>
      <tp t="e">
        <v>#N/A</v>
        <stp/>
        <stp>BDH|5252214807393056656</stp>
        <tr r="AM146" s="10"/>
      </tp>
      <tp t="e">
        <v>#N/A</v>
        <stp/>
        <stp>BDH|9421355227672455835</stp>
        <tr r="Y155" s="10"/>
      </tp>
      <tp t="e">
        <v>#N/A</v>
        <stp/>
        <stp>BDH|7273398252857016487</stp>
        <tr r="AW6" s="10"/>
      </tp>
      <tp t="e">
        <v>#N/A</v>
        <stp/>
        <stp>BDH|3705556479423217083</stp>
        <tr r="P157" s="10"/>
      </tp>
      <tp t="e">
        <v>#N/A</v>
        <stp/>
        <stp>BDH|2947282491143945883</stp>
        <tr r="F134" s="10"/>
      </tp>
      <tp t="e">
        <v>#N/A</v>
        <stp/>
        <stp>BDH|6007308970549997984</stp>
        <tr r="AB11" s="10"/>
      </tp>
      <tp t="e">
        <v>#N/A</v>
        <stp/>
        <stp>BDH|4249554225136548767</stp>
        <tr r="AK116" s="10"/>
      </tp>
      <tp t="e">
        <v>#N/A</v>
        <stp/>
        <stp>BDH|7904791581972387832</stp>
        <tr r="AN9" s="10"/>
      </tp>
      <tp t="e">
        <v>#N/A</v>
        <stp/>
        <stp>BDH|1330851364729045434</stp>
        <tr r="G120" s="10"/>
      </tp>
      <tp t="e">
        <v>#N/A</v>
        <stp/>
        <stp>BDH|7665969330457496856</stp>
        <tr r="M46" s="10"/>
      </tp>
      <tp t="e">
        <v>#N/A</v>
        <stp/>
        <stp>BDH|1717101696838094305</stp>
        <tr r="N122" s="10"/>
      </tp>
      <tp t="e">
        <v>#N/A</v>
        <stp/>
        <stp>BDH|3423064160160486778</stp>
        <tr r="AT50" s="10"/>
      </tp>
      <tp t="e">
        <v>#N/A</v>
        <stp/>
        <stp>BDH|6427662461015470160</stp>
        <tr r="V165" s="10"/>
      </tp>
      <tp t="e">
        <v>#N/A</v>
        <stp/>
        <stp>BDH|2100844092057361654</stp>
        <tr r="AV81" s="10"/>
      </tp>
      <tp t="e">
        <v>#N/A</v>
        <stp/>
        <stp>BDH|7177922123738255631</stp>
        <tr r="AE124" s="10"/>
      </tp>
      <tp t="e">
        <v>#N/A</v>
        <stp/>
        <stp>BDH|3811756475957918609</stp>
        <tr r="H170" s="10"/>
      </tp>
      <tp t="e">
        <v>#N/A</v>
        <stp/>
        <stp>BDH|4947553913814927676</stp>
        <tr r="AT82" s="10"/>
      </tp>
      <tp t="e">
        <v>#N/A</v>
        <stp/>
        <stp>BDH|2980057201564883448</stp>
        <tr r="V21" s="10"/>
      </tp>
      <tp t="e">
        <v>#N/A</v>
        <stp/>
        <stp>BDH|4832947393162998476</stp>
        <tr r="U11" s="10"/>
      </tp>
      <tp t="e">
        <v>#N/A</v>
        <stp/>
        <stp>BDH|2644514520967730017</stp>
        <tr r="W36" s="10"/>
      </tp>
      <tp t="e">
        <v>#N/A</v>
        <stp/>
        <stp>BDH|5749863850739253329</stp>
        <tr r="AW5" s="10"/>
      </tp>
      <tp t="e">
        <v>#N/A</v>
        <stp/>
        <stp>BDH|3857535188809244500</stp>
        <tr r="AG139" s="10"/>
      </tp>
      <tp t="e">
        <v>#N/A</v>
        <stp/>
        <stp>BDH|9043062956348101609</stp>
        <tr r="Y191" s="10"/>
      </tp>
      <tp t="e">
        <v>#N/A</v>
        <stp/>
        <stp>BDH|7008659322256129776</stp>
        <tr r="T182" s="10"/>
      </tp>
      <tp t="e">
        <v>#N/A</v>
        <stp/>
        <stp>BDH|1274039462725459063</stp>
        <tr r="D88" s="10"/>
      </tp>
      <tp t="s">
        <v>#N/A Requesting Data...1512885257</v>
        <stp/>
        <stp>BDP|9377524696966183104</stp>
        <tr r="D35" s="1"/>
      </tp>
      <tp t="e">
        <v>#N/A</v>
        <stp/>
        <stp>BDH|4991181561823215241</stp>
        <tr r="AI133" s="10"/>
      </tp>
      <tp t="e">
        <v>#N/A</v>
        <stp/>
        <stp>BDH|3005389314910800322</stp>
        <tr r="Q36" s="10"/>
      </tp>
      <tp t="e">
        <v>#N/A</v>
        <stp/>
        <stp>BDH|5722426535264445424</stp>
        <tr r="K61" s="10"/>
      </tp>
      <tp t="e">
        <v>#N/A</v>
        <stp/>
        <stp>BDH|3494767004074286220</stp>
        <tr r="U137" s="10"/>
      </tp>
      <tp t="e">
        <v>#N/A</v>
        <stp/>
        <stp>BDH|4698232023134803283</stp>
        <tr r="R4" s="10"/>
      </tp>
      <tp t="e">
        <v>#N/A</v>
        <stp/>
        <stp>BDH|5070205490018631409</stp>
        <tr r="AA113" s="10"/>
      </tp>
      <tp t="e">
        <v>#N/A</v>
        <stp/>
        <stp>BDH|7153824083457352258</stp>
        <tr r="X21" s="10"/>
      </tp>
      <tp t="e">
        <v>#N/A</v>
        <stp/>
        <stp>BDH|9962581835638396510</stp>
        <tr r="AN142" s="10"/>
      </tp>
      <tp t="e">
        <v>#N/A</v>
        <stp/>
        <stp>BDH|4787708501224511558</stp>
        <tr r="I40" s="10"/>
      </tp>
      <tp t="e">
        <v>#N/A</v>
        <stp/>
        <stp>BDH|6402926412999012524</stp>
        <tr r="X34" s="10"/>
      </tp>
      <tp t="e">
        <v>#N/A</v>
        <stp/>
        <stp>BDH|9187767083413051723</stp>
        <tr r="AG116" s="10"/>
      </tp>
      <tp t="e">
        <v>#N/A</v>
        <stp/>
        <stp>BDH|1024946705919693318</stp>
        <tr r="AN80" s="10"/>
      </tp>
      <tp t="e">
        <v>#N/A</v>
        <stp/>
        <stp>BDH|5485134968275032593</stp>
        <tr r="Z101" s="10"/>
      </tp>
      <tp t="e">
        <v>#N/A</v>
        <stp/>
        <stp>BDH|9238431366849935098</stp>
        <tr r="M88" s="10"/>
      </tp>
      <tp t="e">
        <v>#N/A</v>
        <stp/>
        <stp>BDH|9519786063043010996</stp>
        <tr r="AH70" s="10"/>
      </tp>
      <tp t="e">
        <v>#N/A</v>
        <stp/>
        <stp>BDH|7032128977771697245</stp>
        <tr r="AT186" s="10"/>
      </tp>
      <tp t="e">
        <v>#N/A</v>
        <stp/>
        <stp>BDH|7303377358391978220</stp>
        <tr r="AA93" s="10"/>
      </tp>
      <tp t="e">
        <v>#N/A</v>
        <stp/>
        <stp>BDH|7659292748830484344</stp>
        <tr r="U43" s="10"/>
      </tp>
      <tp t="e">
        <v>#N/A</v>
        <stp/>
        <stp>BDH|2258442674841292273</stp>
        <tr r="U70" s="10"/>
      </tp>
      <tp t="e">
        <v>#N/A</v>
        <stp/>
        <stp>BDH|3541439172872448076</stp>
        <tr r="AL119" s="10"/>
      </tp>
      <tp t="e">
        <v>#N/A</v>
        <stp/>
        <stp>BDH|5643874756112918896</stp>
        <tr r="E119" s="10"/>
      </tp>
      <tp t="e">
        <v>#N/A</v>
        <stp/>
        <stp>BDH|3222469593765665963</stp>
        <tr r="Y119" s="10"/>
      </tp>
      <tp t="e">
        <v>#N/A</v>
        <stp/>
        <stp>BDH|1696156864415104112</stp>
        <tr r="AD106" s="10"/>
      </tp>
      <tp t="e">
        <v>#N/A</v>
        <stp/>
        <stp>BDH|7677692228681938098</stp>
        <tr r="V53" s="10"/>
      </tp>
      <tp t="e">
        <v>#N/A</v>
        <stp/>
        <stp>BDH|1733779760255240754</stp>
        <tr r="AQ131" s="10"/>
      </tp>
      <tp t="e">
        <v>#N/A</v>
        <stp/>
        <stp>BDH|1078628672994453638</stp>
        <tr r="F158" s="10"/>
      </tp>
      <tp t="e">
        <v>#N/A</v>
        <stp/>
        <stp>BDH|5178037253697280545</stp>
        <tr r="Y9" s="10"/>
      </tp>
      <tp t="e">
        <v>#N/A</v>
        <stp/>
        <stp>BDH|8632010482627688546</stp>
        <tr r="N121" s="10"/>
      </tp>
      <tp t="e">
        <v>#N/A</v>
        <stp/>
        <stp>BDH|2312758092367359904</stp>
        <tr r="AE130" s="10"/>
      </tp>
      <tp t="e">
        <v>#N/A</v>
        <stp/>
        <stp>BDH|7681844330109631734</stp>
        <tr r="AI98" s="10"/>
      </tp>
      <tp t="e">
        <v>#N/A</v>
        <stp/>
        <stp>BDH|7689928874199592225</stp>
        <tr r="Y41" s="10"/>
      </tp>
      <tp t="e">
        <v>#N/A</v>
        <stp/>
        <stp>BDH|5612378439925858279</stp>
        <tr r="R55" s="10"/>
      </tp>
      <tp t="e">
        <v>#N/A</v>
        <stp/>
        <stp>BDH|4970581183848448315</stp>
        <tr r="S179" s="10"/>
      </tp>
      <tp t="e">
        <v>#N/A</v>
        <stp/>
        <stp>BDH|2247774132390095405</stp>
        <tr r="AE115" s="10"/>
      </tp>
      <tp t="e">
        <v>#N/A</v>
        <stp/>
        <stp>BDH|7010900090492681713</stp>
        <tr r="U40" s="10"/>
      </tp>
      <tp t="s">
        <v>#N/A Requesting Data...309415205</v>
        <stp/>
        <stp>BDP|2714542905482071728</stp>
        <tr r="G30" s="3"/>
        <tr r="G39" s="3"/>
        <tr r="G34" s="3"/>
        <tr r="G41" s="3"/>
        <tr r="G44" s="3"/>
        <tr r="B44" s="6"/>
        <tr r="H141" s="2"/>
        <tr r="H146" s="2"/>
        <tr r="H148" s="2"/>
        <tr r="H98" s="2"/>
        <tr r="H102" s="2"/>
      </tp>
      <tp t="s">
        <v>#N/A Requesting Data...1855613006</v>
        <stp/>
        <stp>BDP|1503236670132167432</stp>
        <tr r="D21" s="1"/>
      </tp>
      <tp t="e">
        <v>#N/A</v>
        <stp/>
        <stp>BDH|4953986465051775875</stp>
        <tr r="AQ97" s="10"/>
      </tp>
      <tp t="e">
        <v>#N/A</v>
        <stp/>
        <stp>BDH|6526601901561068301</stp>
        <tr r="AL89" s="10"/>
      </tp>
      <tp t="e">
        <v>#N/A</v>
        <stp/>
        <stp>BDH|7834547431441908201</stp>
        <tr r="AB61" s="10"/>
      </tp>
      <tp t="e">
        <v>#N/A</v>
        <stp/>
        <stp>BDH|1366222888689559086</stp>
        <tr r="AO93" s="10"/>
      </tp>
      <tp t="e">
        <v>#N/A</v>
        <stp/>
        <stp>BDH|7423982800645122991</stp>
        <tr r="I166" s="10"/>
      </tp>
      <tp t="e">
        <v>#N/A</v>
        <stp/>
        <stp>BDH|3466582644607858742</stp>
        <tr r="X90" s="10"/>
      </tp>
      <tp t="e">
        <v>#N/A</v>
        <stp/>
        <stp>BDH|7745503616680642130</stp>
        <tr r="AU108" s="10"/>
      </tp>
      <tp t="e">
        <v>#N/A</v>
        <stp/>
        <stp>BDH|1444137281713011921</stp>
        <tr r="AM159" s="10"/>
      </tp>
      <tp t="e">
        <v>#N/A</v>
        <stp/>
        <stp>BDH|5004004475305127501</stp>
        <tr r="AJ88" s="10"/>
      </tp>
      <tp t="e">
        <v>#N/A</v>
        <stp/>
        <stp>BDH|5712152309633807572</stp>
        <tr r="M77" s="10"/>
      </tp>
      <tp t="e">
        <v>#N/A</v>
        <stp/>
        <stp>BDH|6296323817386386006</stp>
        <tr r="AK143" s="10"/>
      </tp>
      <tp t="e">
        <v>#N/A</v>
        <stp/>
        <stp>BDH|5345397693374814957</stp>
        <tr r="AG184" s="10"/>
      </tp>
      <tp t="e">
        <v>#N/A</v>
        <stp/>
        <stp>BDH|7763938390647505253</stp>
        <tr r="AF138" s="10"/>
      </tp>
      <tp t="e">
        <v>#N/A</v>
        <stp/>
        <stp>BDH|4914414466864924034</stp>
        <tr r="AI167" s="10"/>
      </tp>
      <tp t="e">
        <v>#N/A</v>
        <stp/>
        <stp>BDH|7996025853179461981</stp>
        <tr r="L161" s="10"/>
      </tp>
      <tp t="e">
        <v>#N/A</v>
        <stp/>
        <stp>BDH|2083863238649371297</stp>
        <tr r="G150" s="10"/>
      </tp>
      <tp t="e">
        <v>#N/A</v>
        <stp/>
        <stp>BDH|6872115301345441088</stp>
        <tr r="L29" s="10"/>
      </tp>
      <tp t="e">
        <v>#N/A</v>
        <stp/>
        <stp>BDH|9476578397371801680</stp>
        <tr r="AG22" s="10"/>
      </tp>
      <tp t="e">
        <v>#N/A</v>
        <stp/>
        <stp>BDH|8261995822185940448</stp>
        <tr r="AF105" s="10"/>
      </tp>
      <tp t="e">
        <v>#N/A</v>
        <stp/>
        <stp>BDH|2385233452083424427</stp>
        <tr r="G7" s="10"/>
      </tp>
      <tp t="e">
        <v>#N/A</v>
        <stp/>
        <stp>BDH|8089475834008268555</stp>
        <tr r="AC48" s="10"/>
      </tp>
      <tp t="s">
        <v>#N/A Requesting Data...1872088292</v>
        <stp/>
        <stp>BDP|3044278670485423164</stp>
        <tr r="D23" s="1"/>
      </tp>
      <tp t="e">
        <v>#N/A</v>
        <stp/>
        <stp>BDH|3775504949496339685</stp>
        <tr r="AO43" s="10"/>
      </tp>
      <tp t="e">
        <v>#N/A</v>
        <stp/>
        <stp>BDH|3034560043388673866</stp>
        <tr r="I76" s="10"/>
      </tp>
      <tp t="e">
        <v>#N/A</v>
        <stp/>
        <stp>BDH|7195289968842689320</stp>
        <tr r="AU87" s="10"/>
      </tp>
      <tp t="e">
        <v>#N/A</v>
        <stp/>
        <stp>BDH|5978428069150144568</stp>
        <tr r="T72" s="10"/>
      </tp>
      <tp t="e">
        <v>#N/A</v>
        <stp/>
        <stp>BDH|7831247612827896130</stp>
        <tr r="Y67" s="10"/>
      </tp>
      <tp t="e">
        <v>#N/A</v>
        <stp/>
        <stp>BDH|3070897008551347875</stp>
        <tr r="U183" s="10"/>
      </tp>
      <tp t="e">
        <v>#N/A</v>
        <stp/>
        <stp>BDH|7301339270543703225</stp>
        <tr r="X188" s="10"/>
      </tp>
      <tp t="e">
        <v>#N/A</v>
        <stp/>
        <stp>BDH|1756701703236864299</stp>
        <tr r="AU184" s="10"/>
      </tp>
      <tp t="e">
        <v>#N/A</v>
        <stp/>
        <stp>BDH|1790348575431356608</stp>
        <tr r="AC49" s="10"/>
      </tp>
      <tp t="e">
        <v>#N/A</v>
        <stp/>
        <stp>BDH|4775321087888174561</stp>
        <tr r="O84" s="10"/>
      </tp>
      <tp t="e">
        <v>#N/A</v>
        <stp/>
        <stp>BDH|4993164419670059636</stp>
        <tr r="AA135" s="10"/>
      </tp>
      <tp t="e">
        <v>#N/A</v>
        <stp/>
        <stp>BDH|7369635426859632850</stp>
        <tr r="F10" s="10"/>
      </tp>
      <tp t="e">
        <v>#N/A</v>
        <stp/>
        <stp>BDH|9802999193662218955</stp>
        <tr r="D140" s="10"/>
      </tp>
      <tp t="e">
        <v>#N/A</v>
        <stp/>
        <stp>BDH|5396616266780869794</stp>
        <tr r="M47" s="10"/>
      </tp>
      <tp t="e">
        <v>#N/A</v>
        <stp/>
        <stp>BDH|1355299210451903162</stp>
        <tr r="V147" s="10"/>
      </tp>
      <tp t="e">
        <v>#N/A</v>
        <stp/>
        <stp>BDH|6132214478734989542</stp>
        <tr r="AR160" s="10"/>
      </tp>
      <tp t="e">
        <v>#N/A</v>
        <stp/>
        <stp>BDH|7457035707744591103</stp>
        <tr r="AJ160" s="10"/>
      </tp>
      <tp t="e">
        <v>#N/A</v>
        <stp/>
        <stp>BDH|6480412425397758520</stp>
        <tr r="AR133" s="10"/>
      </tp>
      <tp t="e">
        <v>#N/A</v>
        <stp/>
        <stp>BDH|4006743742437494272</stp>
        <tr r="I159" s="10"/>
      </tp>
      <tp t="e">
        <v>#N/A</v>
        <stp/>
        <stp>BDH|3502269713057569500</stp>
        <tr r="V130" s="10"/>
      </tp>
    </main>
    <main first="bofaddin.rtdserver">
      <tp t="e">
        <v>#N/A</v>
        <stp/>
        <stp>BDH|70964830164004125</stp>
        <tr r="AT143" s="10"/>
      </tp>
      <tp t="e">
        <v>#N/A</v>
        <stp/>
        <stp>BDH|27776463088130691</stp>
        <tr r="AI138" s="10"/>
      </tp>
      <tp t="e">
        <v>#N/A</v>
        <stp/>
        <stp>BDH|62233828889353600</stp>
        <tr r="K58" s="10"/>
      </tp>
      <tp t="e">
        <v>#N/A</v>
        <stp/>
        <stp>BDH|16125148279167337</stp>
        <tr r="F136" s="10"/>
      </tp>
      <tp t="s">
        <v>#N/A Requesting Data...2053155106</v>
        <stp/>
        <stp>BDP|3751436449484491436</stp>
        <tr r="B46" s="6"/>
        <tr r="E34" s="1"/>
        <tr r="H128" s="2"/>
        <tr r="H103" s="2"/>
      </tp>
      <tp t="s">
        <v>#N/A Requesting Data...3224998539</v>
        <stp/>
        <stp>BDP|7134116645697847677</stp>
        <tr r="D32" s="1"/>
      </tp>
      <tp t="e">
        <v>#N/A</v>
        <stp/>
        <stp>BDH|5114689592480097914</stp>
        <tr r="AM71" s="10"/>
      </tp>
      <tp t="e">
        <v>#N/A</v>
        <stp/>
        <stp>BDH|3442215910716637595</stp>
        <tr r="R126" s="10"/>
      </tp>
      <tp t="e">
        <v>#N/A</v>
        <stp/>
        <stp>BDH|3165939088940759173</stp>
        <tr r="G65" s="10"/>
      </tp>
      <tp t="e">
        <v>#N/A</v>
        <stp/>
        <stp>BDH|8922922443336192039</stp>
        <tr r="M55" s="10"/>
      </tp>
      <tp t="e">
        <v>#N/A</v>
        <stp/>
        <stp>BDH|5738657315917493696</stp>
        <tr r="H75" s="10"/>
      </tp>
      <tp t="e">
        <v>#N/A</v>
        <stp/>
        <stp>BDH|5773084294648182708</stp>
        <tr r="AL104" s="10"/>
      </tp>
      <tp t="e">
        <v>#N/A</v>
        <stp/>
        <stp>BDH|6819936845350585819</stp>
        <tr r="F149" s="10"/>
      </tp>
      <tp t="e">
        <v>#N/A</v>
        <stp/>
        <stp>BDH|5131386212780005416</stp>
        <tr r="AU92" s="10"/>
      </tp>
      <tp t="e">
        <v>#N/A</v>
        <stp/>
        <stp>BDH|8258432590970335689</stp>
        <tr r="AJ24" s="10"/>
      </tp>
      <tp t="e">
        <v>#N/A</v>
        <stp/>
        <stp>BDH|4447301529063520520</stp>
        <tr r="AD67" s="10"/>
      </tp>
      <tp t="e">
        <v>#N/A</v>
        <stp/>
        <stp>BDH|8833647191735052171</stp>
        <tr r="AL3" s="10"/>
      </tp>
      <tp t="e">
        <v>#N/A</v>
        <stp/>
        <stp>BDH|3913051257732551744</stp>
        <tr r="P49" s="10"/>
      </tp>
      <tp t="e">
        <v>#N/A</v>
        <stp/>
        <stp>BDH|1054987528008884123</stp>
        <tr r="AV124" s="10"/>
      </tp>
      <tp t="e">
        <v>#N/A</v>
        <stp/>
        <stp>BDH|1219471933174908159</stp>
        <tr r="AJ46" s="10"/>
      </tp>
      <tp t="e">
        <v>#N/A</v>
        <stp/>
        <stp>BDH|2092294033500150016</stp>
        <tr r="T94" s="10"/>
      </tp>
      <tp t="e">
        <v>#N/A</v>
        <stp/>
        <stp>BDH|7066628896039730297</stp>
        <tr r="U144" s="10"/>
      </tp>
      <tp t="e">
        <v>#N/A</v>
        <stp/>
        <stp>BDH|6339794402957140536</stp>
        <tr r="AN52" s="10"/>
      </tp>
      <tp t="e">
        <v>#N/A</v>
        <stp/>
        <stp>BDH|9038881924042146279</stp>
        <tr r="AC108" s="10"/>
      </tp>
      <tp t="e">
        <v>#N/A</v>
        <stp/>
        <stp>BDH|5531263963845268780</stp>
        <tr r="AJ65" s="10"/>
      </tp>
      <tp t="e">
        <v>#N/A</v>
        <stp/>
        <stp>BDH|6521037234467091186</stp>
        <tr r="AH62" s="10"/>
      </tp>
      <tp t="s">
        <v>#N/A Requesting Data...3882861052</v>
        <stp/>
        <stp>BDP|8559728279909153247</stp>
        <tr r="B40" s="6"/>
        <tr r="E29" s="1"/>
        <tr r="H84" s="2"/>
      </tp>
      <tp t="e">
        <v>#N/A</v>
        <stp/>
        <stp>BDH|9727042847796905866</stp>
        <tr r="Y122" s="10"/>
      </tp>
      <tp t="e">
        <v>#N/A</v>
        <stp/>
        <stp>BDH|4535776311271040086</stp>
        <tr r="X51" s="10"/>
      </tp>
      <tp t="e">
        <v>#N/A</v>
        <stp/>
        <stp>BDH|1894257919861724083</stp>
        <tr r="AD54" s="10"/>
      </tp>
      <tp t="e">
        <v>#N/A</v>
        <stp/>
        <stp>BDH|4051336971487873416</stp>
        <tr r="AR173" s="10"/>
      </tp>
      <tp t="e">
        <v>#N/A</v>
        <stp/>
        <stp>BDH|1307858546009378786</stp>
        <tr r="P5" s="10"/>
      </tp>
      <tp t="e">
        <v>#N/A</v>
        <stp/>
        <stp>BDH|6252891683311497475</stp>
        <tr r="AD170" s="10"/>
      </tp>
      <tp t="e">
        <v>#N/A</v>
        <stp/>
        <stp>BDH|8360837529127499665</stp>
        <tr r="X98" s="10"/>
      </tp>
      <tp t="e">
        <v>#N/A</v>
        <stp/>
        <stp>BDH|3614539933364411296</stp>
        <tr r="AK170" s="10"/>
      </tp>
      <tp t="e">
        <v>#N/A</v>
        <stp/>
        <stp>BDH|6871053913931314563</stp>
        <tr r="AU40" s="10"/>
      </tp>
      <tp t="e">
        <v>#N/A</v>
        <stp/>
        <stp>BDH|5836316901825657057</stp>
        <tr r="S113" s="10"/>
      </tp>
      <tp t="e">
        <v>#N/A</v>
        <stp/>
        <stp>BDH|5581583677947237300</stp>
        <tr r="AB31" s="10"/>
      </tp>
      <tp t="e">
        <v>#N/A</v>
        <stp/>
        <stp>BDH|7860206092208764755</stp>
        <tr r="AV154" s="10"/>
      </tp>
      <tp t="e">
        <v>#N/A</v>
        <stp/>
        <stp>BDH|6922270891607358940</stp>
        <tr r="AS15" s="10"/>
      </tp>
      <tp t="e">
        <v>#N/A</v>
        <stp/>
        <stp>BDH|7981137087089794427</stp>
        <tr r="AC95" s="10"/>
      </tp>
      <tp t="e">
        <v>#N/A</v>
        <stp/>
        <stp>BDH|8973068815762410868</stp>
        <tr r="AV190" s="10"/>
      </tp>
      <tp t="e">
        <v>#N/A</v>
        <stp/>
        <stp>BDH|2880266921998067971</stp>
        <tr r="AT33" s="10"/>
      </tp>
      <tp t="e">
        <v>#N/A</v>
        <stp/>
        <stp>BDH|7893558883229308053</stp>
        <tr r="Y96" s="10"/>
      </tp>
      <tp t="e">
        <v>#N/A</v>
        <stp/>
        <stp>BDH|3412590935575307334</stp>
        <tr r="C56" s="10"/>
      </tp>
      <tp t="e">
        <v>#N/A</v>
        <stp/>
        <stp>BDH|1784516731823803773</stp>
        <tr r="AM53" s="10"/>
      </tp>
      <tp t="e">
        <v>#N/A</v>
        <stp/>
        <stp>BDH|1756541969341335011</stp>
        <tr r="AL46" s="10"/>
      </tp>
      <tp t="e">
        <v>#N/A</v>
        <stp/>
        <stp>BDH|5608723189849292077</stp>
        <tr r="J164" s="10"/>
      </tp>
      <tp t="e">
        <v>#N/A</v>
        <stp/>
        <stp>BDH|1446778227736981157</stp>
        <tr r="AM28" s="10"/>
      </tp>
      <tp t="e">
        <v>#N/A</v>
        <stp/>
        <stp>BDH|5572715494101910915</stp>
        <tr r="E145" s="10"/>
      </tp>
      <tp t="e">
        <v>#N/A</v>
        <stp/>
        <stp>BDH|4731875668181398839</stp>
        <tr r="AU144" s="10"/>
      </tp>
      <tp t="e">
        <v>#N/A</v>
        <stp/>
        <stp>BDH|5563726029906177578</stp>
        <tr r="F129" s="10"/>
      </tp>
      <tp t="e">
        <v>#N/A</v>
        <stp/>
        <stp>BDH|6855481018069845989</stp>
        <tr r="C108" s="10"/>
      </tp>
      <tp t="e">
        <v>#N/A</v>
        <stp/>
        <stp>BDH|8190354623413698999</stp>
        <tr r="AT125" s="10"/>
      </tp>
      <tp t="e">
        <v>#N/A</v>
        <stp/>
        <stp>BDH|6210280428027991230</stp>
        <tr r="L143" s="10"/>
      </tp>
      <tp t="e">
        <v>#N/A</v>
        <stp/>
        <stp>BDH|7852421679815277297</stp>
        <tr r="AD73" s="10"/>
      </tp>
      <tp t="s">
        <v>#N/A Requesting Data...3829615634</v>
        <stp/>
        <stp>BDP|8216296701880000938</stp>
        <tr r="G4" s="3"/>
        <tr r="G31" s="3"/>
        <tr r="G11" s="3"/>
        <tr r="G32" s="3"/>
        <tr r="G36" s="3"/>
        <tr r="G10" s="3"/>
        <tr r="G18" s="3"/>
        <tr r="G37" s="3"/>
        <tr r="G15" s="3"/>
        <tr r="G20" s="3"/>
        <tr r="G42" s="3"/>
        <tr r="B7" s="6"/>
        <tr r="H7" s="2"/>
        <tr r="H56" s="2"/>
        <tr r="H61" s="2"/>
        <tr r="H68" s="2"/>
        <tr r="H72" s="2"/>
        <tr r="H75" s="2"/>
        <tr r="H106" s="2"/>
        <tr r="H127" s="2"/>
        <tr r="H144" s="2"/>
        <tr r="H97" s="2"/>
        <tr r="H101" s="2"/>
      </tp>
      <tp t="e">
        <v>#N/A</v>
        <stp/>
        <stp>BDH|1462151506613639083</stp>
        <tr r="AC77" s="10"/>
      </tp>
      <tp t="e">
        <v>#N/A</v>
        <stp/>
        <stp>BDH|8969858275542235628</stp>
        <tr r="T165" s="10"/>
      </tp>
      <tp t="e">
        <v>#N/A</v>
        <stp/>
        <stp>BDH|3819751013497747103</stp>
        <tr r="AW185" s="10"/>
      </tp>
      <tp t="e">
        <v>#N/A</v>
        <stp/>
        <stp>BDH|5671194162547225667</stp>
        <tr r="AP82" s="10"/>
      </tp>
      <tp t="e">
        <v>#N/A</v>
        <stp/>
        <stp>BDH|8969032324788051174</stp>
        <tr r="AA152" s="10"/>
      </tp>
      <tp t="e">
        <v>#N/A</v>
        <stp/>
        <stp>BDH|4205451439004350440</stp>
        <tr r="N4" s="10"/>
      </tp>
      <tp t="e">
        <v>#N/A</v>
        <stp/>
        <stp>BDH|7633670150427911012</stp>
        <tr r="R162" s="10"/>
      </tp>
      <tp t="e">
        <v>#N/A</v>
        <stp/>
        <stp>BDH|2696662949810847380</stp>
        <tr r="AK190" s="10"/>
      </tp>
      <tp t="e">
        <v>#N/A</v>
        <stp/>
        <stp>BDH|5813564063402344773</stp>
        <tr r="W144" s="10"/>
      </tp>
      <tp t="e">
        <v>#N/A</v>
        <stp/>
        <stp>BDH|5964639356983668639</stp>
        <tr r="AA44" s="10"/>
      </tp>
      <tp t="e">
        <v>#N/A</v>
        <stp/>
        <stp>BDH|6791869489833279637</stp>
        <tr r="O107" s="10"/>
      </tp>
      <tp t="e">
        <v>#N/A</v>
        <stp/>
        <stp>BDH|6965389074607851641</stp>
        <tr r="AA14" s="10"/>
      </tp>
      <tp t="e">
        <v>#N/A</v>
        <stp/>
        <stp>BDH|6071289770916190602</stp>
        <tr r="AU185" s="10"/>
      </tp>
      <tp t="e">
        <v>#N/A</v>
        <stp/>
        <stp>BDH|5595671222131954300</stp>
        <tr r="AB144" s="10"/>
      </tp>
      <tp t="e">
        <v>#N/A</v>
        <stp/>
        <stp>BDH|6179820892844168095</stp>
        <tr r="I77" s="10"/>
      </tp>
      <tp t="e">
        <v>#N/A</v>
        <stp/>
        <stp>BDH|8094197062315276904</stp>
        <tr r="AR115" s="10"/>
      </tp>
      <tp t="e">
        <v>#N/A</v>
        <stp/>
        <stp>BDH|3098637609121764747</stp>
        <tr r="W57" s="10"/>
      </tp>
      <tp t="e">
        <v>#N/A</v>
        <stp/>
        <stp>BDH|1061086981562650810</stp>
        <tr r="AB193" s="10"/>
      </tp>
      <tp t="e">
        <v>#N/A</v>
        <stp/>
        <stp>BDH|2067586978055890669</stp>
        <tr r="P145" s="10"/>
      </tp>
      <tp t="e">
        <v>#N/A</v>
        <stp/>
        <stp>BDH|8013636149411745832</stp>
        <tr r="T55" s="10"/>
      </tp>
      <tp t="e">
        <v>#N/A</v>
        <stp/>
        <stp>BDH|1568859134281986830</stp>
        <tr r="AM72" s="10"/>
      </tp>
      <tp t="e">
        <v>#N/A</v>
        <stp/>
        <stp>BDH|1017370944134865152</stp>
        <tr r="I78" s="10"/>
      </tp>
      <tp t="e">
        <v>#N/A</v>
        <stp/>
        <stp>BDH|6930201241761511232</stp>
        <tr r="Z181" s="10"/>
      </tp>
      <tp t="e">
        <v>#N/A</v>
        <stp/>
        <stp>BDH|1497153301523986071</stp>
        <tr r="AO75" s="10"/>
      </tp>
      <tp t="e">
        <v>#N/A</v>
        <stp/>
        <stp>BDH|8995147687374742633</stp>
        <tr r="AW3" s="10"/>
      </tp>
      <tp t="e">
        <v>#N/A</v>
        <stp/>
        <stp>BDH|6566690337995640531</stp>
        <tr r="AB182" s="10"/>
      </tp>
      <tp t="e">
        <v>#N/A</v>
        <stp/>
        <stp>BDH|9531041175885243884</stp>
        <tr r="T49" s="10"/>
      </tp>
      <tp t="e">
        <v>#N/A</v>
        <stp/>
        <stp>BDH|2234144653605986027</stp>
        <tr r="X80" s="10"/>
      </tp>
      <tp t="s">
        <v>#N/A Requesting Data...3745706812</v>
        <stp/>
        <stp>BDP|5189468875165841054</stp>
        <tr r="F7" s="2"/>
        <tr r="F56" s="2"/>
        <tr r="F61" s="2"/>
        <tr r="F68" s="2"/>
        <tr r="F72" s="2"/>
        <tr r="F75" s="2"/>
        <tr r="F106" s="2"/>
        <tr r="F127" s="2"/>
        <tr r="F144" s="2"/>
        <tr r="F97" s="2"/>
        <tr r="F101" s="2"/>
      </tp>
      <tp t="s">
        <v>#N/A Requesting Data...4125617318</v>
        <stp/>
        <stp>BDP|3342135609465710412</stp>
        <tr r="E48" s="1"/>
        <tr r="H143" s="2"/>
      </tp>
      <tp t="e">
        <v>#N/A</v>
        <stp/>
        <stp>BDH|6610301833707209287</stp>
        <tr r="AT63" s="10"/>
      </tp>
      <tp t="e">
        <v>#N/A</v>
        <stp/>
        <stp>BDH|2756015979600719675</stp>
        <tr r="AT85" s="10"/>
      </tp>
      <tp t="e">
        <v>#N/A</v>
        <stp/>
        <stp>BDH|9577786167443554802</stp>
        <tr r="AW159" s="10"/>
      </tp>
      <tp t="e">
        <v>#N/A</v>
        <stp/>
        <stp>BDH|5776462566642873601</stp>
        <tr r="AH106" s="10"/>
      </tp>
      <tp t="e">
        <v>#N/A</v>
        <stp/>
        <stp>BDH|2288769501693331591</stp>
        <tr r="X102" s="10"/>
      </tp>
      <tp t="e">
        <v>#N/A</v>
        <stp/>
        <stp>BDH|9146089084067212508</stp>
        <tr r="AS33" s="10"/>
      </tp>
      <tp t="e">
        <v>#N/A</v>
        <stp/>
        <stp>BDH|6506684822992283322</stp>
        <tr r="P62" s="10"/>
      </tp>
      <tp t="e">
        <v>#N/A</v>
        <stp/>
        <stp>BDH|9034724566499866232</stp>
        <tr r="AP31" s="10"/>
      </tp>
      <tp t="e">
        <v>#N/A</v>
        <stp/>
        <stp>BDH|6149991560968030278</stp>
        <tr r="AC181" s="10"/>
      </tp>
      <tp t="e">
        <v>#N/A</v>
        <stp/>
        <stp>BDH|8117633298051042550</stp>
        <tr r="E131" s="10"/>
      </tp>
      <tp t="e">
        <v>#N/A</v>
        <stp/>
        <stp>BDH|1766322779601348700</stp>
        <tr r="G168" s="10"/>
      </tp>
      <tp t="e">
        <v>#N/A</v>
        <stp/>
        <stp>BDH|9284087043219130776</stp>
        <tr r="P86" s="10"/>
      </tp>
      <tp t="e">
        <v>#N/A</v>
        <stp/>
        <stp>BDH|5656803104487528988</stp>
        <tr r="AO140" s="10"/>
      </tp>
      <tp t="e">
        <v>#N/A</v>
        <stp/>
        <stp>BDH|1641992785870374362</stp>
        <tr r="AP17" s="10"/>
      </tp>
      <tp t="e">
        <v>#N/A</v>
        <stp/>
        <stp>BDH|8681973178590034566</stp>
        <tr r="G71" s="10"/>
      </tp>
      <tp t="e">
        <v>#N/A</v>
        <stp/>
        <stp>BDH|2084821982632854371</stp>
        <tr r="N149" s="10"/>
      </tp>
      <tp t="e">
        <v>#N/A</v>
        <stp/>
        <stp>BDH|7632999558921896900</stp>
        <tr r="D62" s="10"/>
      </tp>
      <tp t="e">
        <v>#N/A</v>
        <stp/>
        <stp>BDH|7384494313746700716</stp>
        <tr r="N84" s="10"/>
      </tp>
      <tp t="e">
        <v>#N/A</v>
        <stp/>
        <stp>BDH|9256193193230102268</stp>
        <tr r="AP177" s="10"/>
      </tp>
      <tp t="e">
        <v>#N/A</v>
        <stp/>
        <stp>BDH|8816949444634633212</stp>
        <tr r="M163" s="10"/>
      </tp>
      <tp t="e">
        <v>#N/A</v>
        <stp/>
        <stp>BDH|5371675753371870437</stp>
        <tr r="E178" s="10"/>
      </tp>
      <tp t="e">
        <v>#N/A</v>
        <stp/>
        <stp>BDH|5679020883427351987</stp>
        <tr r="AS99" s="10"/>
      </tp>
      <tp t="e">
        <v>#N/A</v>
        <stp/>
        <stp>BDH|4062466855507842171</stp>
        <tr r="AL154" s="10"/>
      </tp>
      <tp t="e">
        <v>#N/A</v>
        <stp/>
        <stp>BDH|3075852329488555254</stp>
        <tr r="AJ36" s="10"/>
      </tp>
      <tp t="e">
        <v>#N/A</v>
        <stp/>
        <stp>BDH|4787030441614940709</stp>
        <tr r="AW128" s="10"/>
      </tp>
      <tp t="e">
        <v>#N/A</v>
        <stp/>
        <stp>BDH|4872354027011471727</stp>
        <tr r="I10" s="10"/>
      </tp>
      <tp t="e">
        <v>#N/A</v>
        <stp/>
        <stp>BDH|5497886842223798951</stp>
        <tr r="W130" s="10"/>
      </tp>
      <tp t="e">
        <v>#N/A</v>
        <stp/>
        <stp>BDH|8616934544556406094</stp>
        <tr r="AD173" s="10"/>
      </tp>
      <tp t="e">
        <v>#N/A</v>
        <stp/>
        <stp>BDH|4849569817257424415</stp>
        <tr r="I53" s="10"/>
      </tp>
      <tp t="e">
        <v>#N/A</v>
        <stp/>
        <stp>BDH|4985325310510216552</stp>
        <tr r="AE140" s="10"/>
      </tp>
      <tp t="e">
        <v>#N/A</v>
        <stp/>
        <stp>BDH|1903095403141673399</stp>
        <tr r="I160" s="10"/>
      </tp>
      <tp t="e">
        <v>#N/A</v>
        <stp/>
        <stp>BDH|1226957892141985306</stp>
        <tr r="I167" s="10"/>
      </tp>
      <tp t="e">
        <v>#N/A</v>
        <stp/>
        <stp>BDH|2729688066308241977</stp>
        <tr r="AL45" s="10"/>
      </tp>
      <tp t="e">
        <v>#N/A</v>
        <stp/>
        <stp>BDH|7856558703732516376</stp>
        <tr r="AU113" s="10"/>
      </tp>
      <tp t="e">
        <v>#N/A</v>
        <stp/>
        <stp>BDH|3036151211901879101</stp>
        <tr r="AC126" s="10"/>
      </tp>
      <tp t="e">
        <v>#N/A</v>
        <stp/>
        <stp>BDH|5634671077240281784</stp>
        <tr r="AW22" s="10"/>
      </tp>
      <tp t="e">
        <v>#N/A</v>
        <stp/>
        <stp>BDH|3274467429097546148</stp>
        <tr r="AA100" s="10"/>
      </tp>
      <tp t="e">
        <v>#N/A</v>
        <stp/>
        <stp>BDH|6605284126382398770</stp>
        <tr r="AI107" s="10"/>
      </tp>
      <tp t="s">
        <v>#N/A Requesting Data...1855607629</v>
        <stp/>
        <stp>BDP|4319431047997250083</stp>
        <tr r="I19" s="1"/>
      </tp>
      <tp t="e">
        <v>#N/A</v>
        <stp/>
        <stp>BDH|3914770294107742907</stp>
        <tr r="AH185" s="10"/>
      </tp>
      <tp t="e">
        <v>#N/A</v>
        <stp/>
        <stp>BDH|2037648120872999708</stp>
        <tr r="AQ69" s="10"/>
      </tp>
      <tp t="e">
        <v>#N/A</v>
        <stp/>
        <stp>BDH|3022687194267804891</stp>
        <tr r="Q136" s="10"/>
      </tp>
      <tp t="e">
        <v>#N/A</v>
        <stp/>
        <stp>BDH|7941166562736506553</stp>
        <tr r="G116" s="10"/>
      </tp>
      <tp t="e">
        <v>#N/A</v>
        <stp/>
        <stp>BDH|9664976885288869312</stp>
        <tr r="AB107" s="10"/>
      </tp>
      <tp t="e">
        <v>#N/A</v>
        <stp/>
        <stp>BDH|2492516248459610962</stp>
        <tr r="Z123" s="10"/>
      </tp>
      <tp t="e">
        <v>#N/A</v>
        <stp/>
        <stp>BDH|7931431288548845079</stp>
        <tr r="AL91" s="10"/>
      </tp>
      <tp t="e">
        <v>#N/A</v>
        <stp/>
        <stp>BDH|5913661623884855697</stp>
        <tr r="D73" s="10"/>
      </tp>
      <tp t="e">
        <v>#N/A</v>
        <stp/>
        <stp>BDH|9608978169003561604</stp>
        <tr r="M109" s="10"/>
      </tp>
      <tp t="e">
        <v>#N/A</v>
        <stp/>
        <stp>BDH|9959637579608628389</stp>
        <tr r="AJ104" s="10"/>
      </tp>
      <tp t="e">
        <v>#N/A</v>
        <stp/>
        <stp>BDH|4769393606977749327</stp>
        <tr r="T76" s="10"/>
      </tp>
      <tp t="e">
        <v>#N/A</v>
        <stp/>
        <stp>BDH|5211459008236166432</stp>
        <tr r="AT174" s="10"/>
      </tp>
      <tp t="s">
        <v>#N/A Requesting Data...4005245707</v>
        <stp/>
        <stp>BDP|9912838708130844283</stp>
        <tr r="O6" s="1"/>
      </tp>
      <tp t="e">
        <v>#N/A</v>
        <stp/>
        <stp>BDH|8451530494142351520</stp>
        <tr r="AA111" s="10"/>
      </tp>
      <tp t="e">
        <v>#N/A</v>
        <stp/>
        <stp>BDH|2349669772470511009</stp>
        <tr r="AN12" s="10"/>
      </tp>
      <tp t="e">
        <v>#N/A</v>
        <stp/>
        <stp>BDH|4702406547496168137</stp>
        <tr r="AO187" s="10"/>
      </tp>
      <tp t="e">
        <v>#N/A</v>
        <stp/>
        <stp>BDH|2394349664182947686</stp>
        <tr r="AH124" s="10"/>
      </tp>
      <tp t="e">
        <v>#N/A</v>
        <stp/>
        <stp>BDH|7954469548073094750</stp>
        <tr r="L65" s="10"/>
      </tp>
      <tp t="e">
        <v>#N/A</v>
        <stp/>
        <stp>BDH|6001852663523443807</stp>
        <tr r="D147" s="10"/>
      </tp>
      <tp t="e">
        <v>#N/A</v>
        <stp/>
        <stp>BDH|7772032051814493530</stp>
        <tr r="AM98" s="10"/>
      </tp>
      <tp t="e">
        <v>#N/A</v>
        <stp/>
        <stp>BDH|8719011615062761862</stp>
        <tr r="J40" s="10"/>
      </tp>
      <tp t="e">
        <v>#N/A</v>
        <stp/>
        <stp>BDH|2755662207314545318</stp>
        <tr r="T62" s="10"/>
      </tp>
      <tp t="e">
        <v>#N/A</v>
        <stp/>
        <stp>BDH|1166343613392677229</stp>
        <tr r="Y52" s="10"/>
      </tp>
      <tp t="e">
        <v>#N/A</v>
        <stp/>
        <stp>BDH|4269300600751105519</stp>
        <tr r="AS12" s="10"/>
      </tp>
      <tp t="e">
        <v>#N/A</v>
        <stp/>
        <stp>BDH|6902174851841445090</stp>
        <tr r="W143" s="10"/>
      </tp>
      <tp t="e">
        <v>#N/A</v>
        <stp/>
        <stp>BDH|6614725702044760639</stp>
        <tr r="C18" s="10"/>
      </tp>
      <tp t="e">
        <v>#N/A</v>
        <stp/>
        <stp>BDH|7036999959589000124</stp>
        <tr r="N80" s="10"/>
      </tp>
      <tp t="e">
        <v>#N/A</v>
        <stp/>
        <stp>BDH|2233236773521694564</stp>
        <tr r="K153" s="10"/>
      </tp>
      <tp t="e">
        <v>#N/A</v>
        <stp/>
        <stp>BDH|7525825083857475324</stp>
        <tr r="AT177" s="10"/>
      </tp>
      <tp t="e">
        <v>#N/A</v>
        <stp/>
        <stp>BDH|1027365435106923488</stp>
        <tr r="AC61" s="10"/>
      </tp>
      <tp t="e">
        <v>#N/A</v>
        <stp/>
        <stp>BDH|7785783543096637187</stp>
        <tr r="AB5" s="10"/>
      </tp>
      <tp t="e">
        <v>#N/A</v>
        <stp/>
        <stp>BDH|6718967165789364359</stp>
        <tr r="AW142" s="10"/>
      </tp>
      <tp t="e">
        <v>#N/A</v>
        <stp/>
        <stp>BDH|7506120135401541743</stp>
        <tr r="P7" s="10"/>
      </tp>
      <tp t="e">
        <v>#N/A</v>
        <stp/>
        <stp>BDH|2813678965744944509</stp>
        <tr r="T88" s="10"/>
      </tp>
      <tp t="e">
        <v>#N/A</v>
        <stp/>
        <stp>BDH|5251726975221130771</stp>
        <tr r="AA190" s="10"/>
      </tp>
      <tp t="e">
        <v>#N/A</v>
        <stp/>
        <stp>BDH|5795455921927289728</stp>
        <tr r="K157" s="10"/>
      </tp>
      <tp t="e">
        <v>#N/A</v>
        <stp/>
        <stp>BDH|8966742417905000899</stp>
        <tr r="J189" s="10"/>
      </tp>
      <tp t="e">
        <v>#N/A</v>
        <stp/>
        <stp>BDH|6365252905251673665</stp>
        <tr r="S63" s="10"/>
      </tp>
      <tp t="e">
        <v>#N/A</v>
        <stp/>
        <stp>BDH|7989581870354554278</stp>
        <tr r="J87" s="10"/>
      </tp>
      <tp t="e">
        <v>#N/A</v>
        <stp/>
        <stp>BDH|5140322205145663037</stp>
        <tr r="AH146" s="10"/>
      </tp>
      <tp t="e">
        <v>#N/A</v>
        <stp/>
        <stp>BDH|7342183985119878458</stp>
        <tr r="AW191" s="10"/>
      </tp>
      <tp t="e">
        <v>#N/A</v>
        <stp/>
        <stp>BDH|8634646925907728836</stp>
        <tr r="AJ99" s="10"/>
      </tp>
      <tp t="e">
        <v>#N/A</v>
        <stp/>
        <stp>BDH|4749182802883745591</stp>
        <tr r="E20" s="10"/>
      </tp>
      <tp t="e">
        <v>#N/A</v>
        <stp/>
        <stp>BDH|9157644252508089147</stp>
        <tr r="AV74" s="10"/>
      </tp>
      <tp t="e">
        <v>#N/A</v>
        <stp/>
        <stp>BDH|1370549839011870555</stp>
        <tr r="AJ127" s="10"/>
      </tp>
      <tp t="e">
        <v>#N/A</v>
        <stp/>
        <stp>BDH|1695375804051262046</stp>
        <tr r="N174" s="10"/>
      </tp>
      <tp t="e">
        <v>#N/A</v>
        <stp/>
        <stp>BDH|9288103965538390578</stp>
        <tr r="AL75" s="10"/>
      </tp>
      <tp t="s">
        <v>#N/A Requesting Data...605080808</v>
        <stp/>
        <stp>BDP|6018134175180518331</stp>
        <tr r="B34" s="6"/>
        <tr r="E23" s="1"/>
        <tr r="H69" s="2"/>
      </tp>
      <tp t="e">
        <v>#N/A</v>
        <stp/>
        <stp>BDH|7929016876374951773</stp>
        <tr r="C13" s="10"/>
      </tp>
      <tp t="e">
        <v>#N/A</v>
        <stp/>
        <stp>BDH|3058542277585432771</stp>
        <tr r="AV158" s="10"/>
      </tp>
      <tp t="e">
        <v>#N/A</v>
        <stp/>
        <stp>BDH|9102444341519163357</stp>
        <tr r="H45" s="10"/>
      </tp>
      <tp t="e">
        <v>#N/A</v>
        <stp/>
        <stp>BDH|6502649663987132230</stp>
        <tr r="AW32" s="10"/>
      </tp>
      <tp t="e">
        <v>#N/A</v>
        <stp/>
        <stp>BDH|9307634149261113985</stp>
        <tr r="AN88" s="10"/>
      </tp>
      <tp t="e">
        <v>#N/A</v>
        <stp/>
        <stp>BDH|5501674256223625621</stp>
        <tr r="AA143" s="10"/>
      </tp>
      <tp t="e">
        <v>#N/A</v>
        <stp/>
        <stp>BDH|4008715648626921204</stp>
        <tr r="J35" s="10"/>
      </tp>
      <tp t="e">
        <v>#N/A</v>
        <stp/>
        <stp>BDH|3756956899068867831</stp>
        <tr r="P179" s="10"/>
      </tp>
      <tp t="e">
        <v>#N/A</v>
        <stp/>
        <stp>BDH|3465296374890187584</stp>
        <tr r="T59" s="10"/>
      </tp>
      <tp t="e">
        <v>#N/A</v>
        <stp/>
        <stp>BDH|7010321467589165847</stp>
        <tr r="AW167" s="10"/>
      </tp>
      <tp t="e">
        <v>#N/A</v>
        <stp/>
        <stp>BDH|8511364737279597219</stp>
        <tr r="AO175" s="10"/>
      </tp>
      <tp t="e">
        <v>#N/A</v>
        <stp/>
        <stp>BDH|4009726335443232058</stp>
        <tr r="T12" s="10"/>
      </tp>
      <tp t="e">
        <v>#N/A</v>
        <stp/>
        <stp>BDH|5474193937616928238</stp>
        <tr r="AC20" s="10"/>
      </tp>
      <tp t="e">
        <v>#N/A</v>
        <stp/>
        <stp>BDH|4063118362110532064</stp>
        <tr r="AJ19" s="10"/>
      </tp>
      <tp t="e">
        <v>#N/A</v>
        <stp/>
        <stp>BDH|2888044758530003441</stp>
        <tr r="AB18" s="10"/>
      </tp>
      <tp t="e">
        <v>#N/A</v>
        <stp/>
        <stp>BDH|8938900668842095619</stp>
        <tr r="V189" s="10"/>
      </tp>
      <tp t="e">
        <v>#N/A</v>
        <stp/>
        <stp>BDH|7526647692873243813</stp>
        <tr r="AQ153" s="10"/>
      </tp>
      <tp t="e">
        <v>#N/A</v>
        <stp/>
        <stp>BDH|9395646042259665131</stp>
        <tr r="X147" s="10"/>
      </tp>
      <tp t="e">
        <v>#N/A</v>
        <stp/>
        <stp>BDH|7171424607540734038</stp>
        <tr r="R25" s="10"/>
      </tp>
      <tp t="e">
        <v>#N/A</v>
        <stp/>
        <stp>BDH|3241678762576716604</stp>
        <tr r="N111" s="10"/>
      </tp>
      <tp t="e">
        <v>#N/A</v>
        <stp/>
        <stp>BDH|8589597693557933065</stp>
        <tr r="AN164" s="10"/>
      </tp>
      <tp t="e">
        <v>#N/A</v>
        <stp/>
        <stp>BDH|4122741360652388462</stp>
        <tr r="T71" s="10"/>
      </tp>
      <tp t="e">
        <v>#N/A</v>
        <stp/>
        <stp>BDH|3260931482975598468</stp>
        <tr r="AN48" s="10"/>
      </tp>
      <tp t="e">
        <v>#N/A</v>
        <stp/>
        <stp>BDH|1630356583889979094</stp>
        <tr r="AG142" s="10"/>
      </tp>
      <tp t="e">
        <v>#N/A</v>
        <stp/>
        <stp>BDH|1547637623810650630</stp>
        <tr r="E110" s="10"/>
      </tp>
      <tp t="s">
        <v>#N/A Requesting Data...1622029916</v>
        <stp/>
        <stp>BDP|5201104675143078367</stp>
        <tr r="B38" s="6"/>
        <tr r="E27" s="1"/>
        <tr r="H79" s="2"/>
        <tr r="H80" s="2"/>
        <tr r="H81" s="2"/>
        <tr r="H82" s="2"/>
      </tp>
      <tp t="e">
        <v>#N/A</v>
        <stp/>
        <stp>BDH|7365133600053032617</stp>
        <tr r="AJ139" s="10"/>
      </tp>
      <tp t="e">
        <v>#N/A</v>
        <stp/>
        <stp>BDH|5125897186693745586</stp>
        <tr r="N105" s="10"/>
      </tp>
      <tp t="e">
        <v>#N/A</v>
        <stp/>
        <stp>BDH|6153360107533385528</stp>
        <tr r="U18" s="10"/>
      </tp>
      <tp t="e">
        <v>#N/A</v>
        <stp/>
        <stp>BDH|7513242554466064542</stp>
        <tr r="T47" s="10"/>
      </tp>
      <tp t="e">
        <v>#N/A</v>
        <stp/>
        <stp>BDH|6549042976274075661</stp>
        <tr r="U87" s="10"/>
      </tp>
      <tp t="e">
        <v>#N/A</v>
        <stp/>
        <stp>BDH|2122341714494954790</stp>
        <tr r="AT115" s="10"/>
      </tp>
      <tp t="e">
        <v>#N/A</v>
        <stp/>
        <stp>BDH|6726385161332699298</stp>
        <tr r="M142" s="10"/>
      </tp>
      <tp t="e">
        <v>#N/A</v>
        <stp/>
        <stp>BDH|8438308005651289922</stp>
        <tr r="O60" s="10"/>
      </tp>
      <tp t="e">
        <v>#N/A</v>
        <stp/>
        <stp>BDH|7700664614257444405</stp>
        <tr r="AC151" s="10"/>
      </tp>
      <tp t="e">
        <v>#N/A</v>
        <stp/>
        <stp>BDH|4143287933135251390</stp>
        <tr r="AK103" s="10"/>
      </tp>
      <tp t="e">
        <v>#N/A</v>
        <stp/>
        <stp>BDH|1383849421750231853</stp>
        <tr r="E160" s="10"/>
      </tp>
      <tp t="e">
        <v>#N/A</v>
        <stp/>
        <stp>BDH|3900581806894079168</stp>
        <tr r="T79" s="10"/>
      </tp>
      <tp t="e">
        <v>#N/A</v>
        <stp/>
        <stp>BDH|4796994943872520891</stp>
        <tr r="W56" s="10"/>
      </tp>
      <tp t="e">
        <v>#N/A</v>
        <stp/>
        <stp>BDH|8072753471822716925</stp>
        <tr r="AA92" s="10"/>
      </tp>
      <tp t="e">
        <v>#N/A</v>
        <stp/>
        <stp>BDH|2083776752897462408</stp>
        <tr r="H156" s="10"/>
      </tp>
      <tp t="e">
        <v>#N/A</v>
        <stp/>
        <stp>BDH|2928374248293799505</stp>
        <tr r="AR127" s="10"/>
      </tp>
      <tp t="e">
        <v>#N/A</v>
        <stp/>
        <stp>BDH|6504024569131661298</stp>
        <tr r="AQ10" s="10"/>
      </tp>
      <tp t="e">
        <v>#N/A</v>
        <stp/>
        <stp>BDH|1281900580032512163</stp>
        <tr r="N186" s="10"/>
      </tp>
      <tp t="e">
        <v>#N/A</v>
        <stp/>
        <stp>BDH|2770324340226455009</stp>
        <tr r="AR106" s="10"/>
      </tp>
      <tp t="e">
        <v>#N/A</v>
        <stp/>
        <stp>BDH|2926669623664563184</stp>
        <tr r="AN118" s="10"/>
      </tp>
      <tp t="e">
        <v>#N/A</v>
        <stp/>
        <stp>BDH|3071025790721681852</stp>
        <tr r="AE74" s="10"/>
      </tp>
      <tp t="e">
        <v>#N/A</v>
        <stp/>
        <stp>BDH|4922385658979008881</stp>
        <tr r="AK19" s="10"/>
      </tp>
      <tp t="e">
        <v>#N/A</v>
        <stp/>
        <stp>BDH|8794727567288027230</stp>
        <tr r="AN5" s="10"/>
      </tp>
      <tp t="e">
        <v>#N/A</v>
        <stp/>
        <stp>BDH|6748426563144191364</stp>
        <tr r="AT5" s="10"/>
      </tp>
      <tp t="s">
        <v>#N/A Requesting Data...1773233090</v>
        <stp/>
        <stp>BDP|4254466026649697820</stp>
        <tr r="B25" s="6"/>
        <tr r="E18" s="1"/>
        <tr r="H34" s="2"/>
        <tr r="H41" s="2"/>
        <tr r="H42" s="2"/>
        <tr r="H43" s="2"/>
        <tr r="H46" s="2"/>
        <tr r="H47" s="2"/>
        <tr r="H48" s="2"/>
        <tr r="H53" s="2"/>
        <tr r="H104" s="2"/>
        <tr r="H118" s="2"/>
      </tp>
      <tp t="s">
        <v>#N/A Requesting Data...1373531112</v>
        <stp/>
        <stp>BDP|4356324445854397414</stp>
        <tr r="H88" s="2"/>
      </tp>
      <tp t="e">
        <v>#N/A</v>
        <stp/>
        <stp>BDH|4496363544006695662</stp>
        <tr r="AL29" s="10"/>
      </tp>
      <tp t="e">
        <v>#N/A</v>
        <stp/>
        <stp>BDH|1624085358511118612</stp>
        <tr r="AO91" s="10"/>
      </tp>
      <tp t="e">
        <v>#N/A</v>
        <stp/>
        <stp>BDH|7055038704827527347</stp>
        <tr r="S126" s="10"/>
      </tp>
      <tp t="e">
        <v>#N/A</v>
        <stp/>
        <stp>BDH|5111430191788128344</stp>
        <tr r="AN86" s="10"/>
      </tp>
      <tp t="e">
        <v>#N/A</v>
        <stp/>
        <stp>BDH|8754842440056160142</stp>
        <tr r="AV22" s="10"/>
      </tp>
      <tp t="e">
        <v>#N/A</v>
        <stp/>
        <stp>BDH|1091074286829236355</stp>
        <tr r="U72" s="10"/>
      </tp>
      <tp t="e">
        <v>#N/A</v>
        <stp/>
        <stp>BDH|3376907557209381519</stp>
        <tr r="M129" s="10"/>
      </tp>
      <tp t="e">
        <v>#N/A</v>
        <stp/>
        <stp>BDH|8430552701689427726</stp>
        <tr r="AR8" s="10"/>
      </tp>
      <tp t="e">
        <v>#N/A</v>
        <stp/>
        <stp>BDH|6688459994000711862</stp>
        <tr r="AF69" s="10"/>
      </tp>
      <tp t="e">
        <v>#N/A</v>
        <stp/>
        <stp>BDH|3642172741680159570</stp>
        <tr r="X157" s="10"/>
      </tp>
      <tp t="e">
        <v>#N/A</v>
        <stp/>
        <stp>BDH|9534334116820396853</stp>
        <tr r="W47" s="10"/>
      </tp>
      <tp t="e">
        <v>#N/A</v>
        <stp/>
        <stp>BDH|4721982799812785575</stp>
        <tr r="U143" s="10"/>
      </tp>
      <tp t="e">
        <v>#N/A</v>
        <stp/>
        <stp>BDH|6133082438107321146</stp>
        <tr r="AU183" s="10"/>
      </tp>
      <tp t="e">
        <v>#N/A</v>
        <stp/>
        <stp>BDH|1127734425441970681</stp>
        <tr r="G66" s="10"/>
      </tp>
      <tp t="e">
        <v>#N/A</v>
        <stp/>
        <stp>BDH|1541936992152532074</stp>
        <tr r="J22" s="10"/>
      </tp>
      <tp t="e">
        <v>#N/A</v>
        <stp/>
        <stp>BDH|2166447903696236323</stp>
        <tr r="AV113" s="10"/>
      </tp>
      <tp t="e">
        <v>#N/A</v>
        <stp/>
        <stp>BDH|1248193779871398570</stp>
        <tr r="O156" s="10"/>
      </tp>
      <tp t="e">
        <v>#N/A</v>
        <stp/>
        <stp>BDH|8223643977252444831</stp>
        <tr r="F71" s="10"/>
      </tp>
      <tp t="e">
        <v>#N/A</v>
        <stp/>
        <stp>BDH|1213706519814966040</stp>
        <tr r="AL122" s="10"/>
      </tp>
      <tp t="e">
        <v>#N/A</v>
        <stp/>
        <stp>BDH|5604614619542916318</stp>
        <tr r="S139" s="10"/>
      </tp>
      <tp t="e">
        <v>#N/A</v>
        <stp/>
        <stp>BDH|2257618340537174447</stp>
        <tr r="AU97" s="10"/>
      </tp>
      <tp t="e">
        <v>#N/A</v>
        <stp/>
        <stp>BDH|7289650241782960491</stp>
        <tr r="C117" s="10"/>
      </tp>
      <tp t="e">
        <v>#N/A</v>
        <stp/>
        <stp>BDH|1244617435130117718</stp>
        <tr r="Q157" s="10"/>
      </tp>
      <tp t="e">
        <v>#N/A</v>
        <stp/>
        <stp>BDH|3371780150173882154</stp>
        <tr r="Y148" s="10"/>
      </tp>
      <tp t="e">
        <v>#N/A</v>
        <stp/>
        <stp>BDH|6983625046642882539</stp>
        <tr r="AJ126" s="10"/>
      </tp>
      <tp t="e">
        <v>#N/A</v>
        <stp/>
        <stp>BDH|6548469211500740036</stp>
        <tr r="H22" s="10"/>
      </tp>
      <tp t="e">
        <v>#N/A</v>
        <stp/>
        <stp>BDH|4842168117267866075</stp>
        <tr r="AO9" s="10"/>
      </tp>
      <tp t="e">
        <v>#N/A</v>
        <stp/>
        <stp>BDH|2061387693688896353</stp>
        <tr r="AK68" s="10"/>
      </tp>
      <tp t="e">
        <v>#N/A</v>
        <stp/>
        <stp>BDH|5349649990431447851</stp>
        <tr r="AU130" s="10"/>
      </tp>
      <tp t="e">
        <v>#N/A</v>
        <stp/>
        <stp>BDH|5697850067389063120</stp>
        <tr r="AA88" s="10"/>
      </tp>
      <tp t="e">
        <v>#N/A</v>
        <stp/>
        <stp>BDH|9396550306637753814</stp>
        <tr r="X104" s="10"/>
      </tp>
      <tp t="s">
        <v>#N/A Requesting Data...4187925063</v>
        <stp/>
        <stp>BDP|4416028657150651207</stp>
        <tr r="B39" s="6"/>
        <tr r="E28" s="1"/>
        <tr r="H83" s="2"/>
      </tp>
      <tp t="s">
        <v>#N/A Requesting Data...1098879152</v>
        <stp/>
        <stp>BDP|2368156167072068460</stp>
        <tr r="O19" s="1"/>
      </tp>
      <tp t="e">
        <v>#N/A</v>
        <stp/>
        <stp>BDH|2243523915127717256</stp>
        <tr r="Y143" s="10"/>
      </tp>
      <tp t="e">
        <v>#N/A</v>
        <stp/>
        <stp>BDH|6798983797181920469</stp>
        <tr r="AE77" s="10"/>
      </tp>
      <tp t="e">
        <v>#N/A</v>
        <stp/>
        <stp>BDH|5781924696916560010</stp>
        <tr r="AO24" s="10"/>
      </tp>
      <tp t="e">
        <v>#N/A</v>
        <stp/>
        <stp>BDH|9277135237489022111</stp>
        <tr r="AL182" s="10"/>
      </tp>
      <tp t="e">
        <v>#N/A</v>
        <stp/>
        <stp>BDH|6781738574775501023</stp>
        <tr r="AU9" s="10"/>
      </tp>
      <tp t="e">
        <v>#N/A</v>
        <stp/>
        <stp>BDH|8017937510150779334</stp>
        <tr r="AP55" s="10"/>
      </tp>
      <tp t="e">
        <v>#N/A</v>
        <stp/>
        <stp>BDH|7129840793894596144</stp>
        <tr r="AS81" s="10"/>
      </tp>
      <tp t="e">
        <v>#N/A</v>
        <stp/>
        <stp>BDH|4925506870162847767</stp>
        <tr r="AV140" s="10"/>
      </tp>
      <tp t="e">
        <v>#N/A</v>
        <stp/>
        <stp>BDH|5661120939206807222</stp>
        <tr r="AE76" s="10"/>
      </tp>
      <tp t="e">
        <v>#N/A</v>
        <stp/>
        <stp>BDH|3837298294589423264</stp>
        <tr r="S184" s="10"/>
      </tp>
      <tp t="e">
        <v>#N/A</v>
        <stp/>
        <stp>BDH|3706403314943349673</stp>
        <tr r="AE105" s="10"/>
      </tp>
      <tp t="e">
        <v>#N/A</v>
        <stp/>
        <stp>BDH|9522238480547755766</stp>
        <tr r="H183" s="10"/>
      </tp>
      <tp t="e">
        <v>#N/A</v>
        <stp/>
        <stp>BDH|8751818950246021011</stp>
        <tr r="AU56" s="10"/>
      </tp>
      <tp t="e">
        <v>#N/A</v>
        <stp/>
        <stp>BDH|4276377750238096924</stp>
        <tr r="W91" s="10"/>
      </tp>
      <tp t="e">
        <v>#N/A</v>
        <stp/>
        <stp>BDH|6805071751775885511</stp>
        <tr r="AT62" s="10"/>
      </tp>
      <tp t="e">
        <v>#N/A</v>
        <stp/>
        <stp>BDH|7714348373642402230</stp>
        <tr r="AE155" s="10"/>
      </tp>
      <tp t="e">
        <v>#N/A</v>
        <stp/>
        <stp>BDH|1384774533156014002</stp>
        <tr r="W106" s="10"/>
      </tp>
      <tp t="e">
        <v>#N/A</v>
        <stp/>
        <stp>BDH|4462788676241801652</stp>
        <tr r="AE48" s="10"/>
      </tp>
      <tp t="e">
        <v>#N/A</v>
        <stp/>
        <stp>BDH|7347463303440988085</stp>
        <tr r="AC76" s="10"/>
      </tp>
      <tp t="e">
        <v>#N/A</v>
        <stp/>
        <stp>BDH|5581665921935031759</stp>
        <tr r="AU63" s="10"/>
      </tp>
      <tp t="e">
        <v>#N/A</v>
        <stp/>
        <stp>BDH|2881233950843802573</stp>
        <tr r="L158" s="10"/>
      </tp>
      <tp t="e">
        <v>#N/A</v>
        <stp/>
        <stp>BDH|5161896393453674490</stp>
        <tr r="AB191" s="10"/>
      </tp>
      <tp t="e">
        <v>#N/A</v>
        <stp/>
        <stp>BDH|9121432051083658810</stp>
        <tr r="AV47" s="10"/>
      </tp>
      <tp t="e">
        <v>#N/A</v>
        <stp/>
        <stp>BDH|5502229523011094705</stp>
        <tr r="W146" s="10"/>
      </tp>
      <tp t="e">
        <v>#N/A</v>
        <stp/>
        <stp>BDH|7875341153325946725</stp>
        <tr r="AE14" s="10"/>
      </tp>
      <tp t="e">
        <v>#N/A</v>
        <stp/>
        <stp>BDH|8672836785178203367</stp>
        <tr r="E126" s="10"/>
      </tp>
      <tp t="e">
        <v>#N/A</v>
        <stp/>
        <stp>BDH|2173525223170274663</stp>
        <tr r="AG150" s="10"/>
      </tp>
      <tp t="e">
        <v>#N/A</v>
        <stp/>
        <stp>BDH|4649856084450702740</stp>
        <tr r="L193" s="10"/>
      </tp>
      <tp t="e">
        <v>#N/A</v>
        <stp/>
        <stp>BDH|8439578685411535774</stp>
        <tr r="F189" s="10"/>
      </tp>
      <tp t="e">
        <v>#N/A</v>
        <stp/>
        <stp>BDH|6600949097076553347</stp>
        <tr r="AF100" s="10"/>
      </tp>
      <tp t="e">
        <v>#N/A</v>
        <stp/>
        <stp>BDH|4576467749665783293</stp>
        <tr r="N82" s="10"/>
      </tp>
      <tp t="e">
        <v>#N/A</v>
        <stp/>
        <stp>BDH|5436071888889962761</stp>
        <tr r="AK109" s="10"/>
      </tp>
      <tp t="e">
        <v>#N/A</v>
        <stp/>
        <stp>BDH|2699265322134519531</stp>
        <tr r="R128" s="10"/>
      </tp>
      <tp t="e">
        <v>#N/A</v>
        <stp/>
        <stp>BDH|5201877922175635958</stp>
        <tr r="AO98" s="10"/>
      </tp>
      <tp t="e">
        <v>#N/A</v>
        <stp/>
        <stp>BDH|2701026161965473244</stp>
        <tr r="AQ50" s="10"/>
      </tp>
      <tp t="e">
        <v>#N/A</v>
        <stp/>
        <stp>BDH|2778760081066231868</stp>
        <tr r="D86" s="10"/>
      </tp>
      <tp t="e">
        <v>#N/A</v>
        <stp/>
        <stp>BDH|9594010484416236461</stp>
        <tr r="L139" s="10"/>
      </tp>
      <tp t="s">
        <v>#N/A Requesting Data...3112939474</v>
        <stp/>
        <stp>BDP|3136511106251121426</stp>
        <tr r="O45" s="1"/>
      </tp>
      <tp t="e">
        <v>#N/A</v>
        <stp/>
        <stp>BDH|7084190540847432682</stp>
        <tr r="E192" s="10"/>
      </tp>
      <tp t="e">
        <v>#N/A</v>
        <stp/>
        <stp>BDH|7832486376826481175</stp>
        <tr r="AB151" s="10"/>
      </tp>
      <tp t="e">
        <v>#N/A</v>
        <stp/>
        <stp>BDH|1616832039041971807</stp>
        <tr r="P11" s="10"/>
      </tp>
      <tp t="e">
        <v>#N/A</v>
        <stp/>
        <stp>BDH|6763527042363559774</stp>
        <tr r="AL181" s="10"/>
      </tp>
      <tp t="e">
        <v>#N/A</v>
        <stp/>
        <stp>BDH|4504869726528471549</stp>
        <tr r="AJ45" s="10"/>
      </tp>
      <tp t="e">
        <v>#N/A</v>
        <stp/>
        <stp>BDH|5173190966875991424</stp>
        <tr r="C90" s="10"/>
      </tp>
      <tp t="e">
        <v>#N/A</v>
        <stp/>
        <stp>BDH|7369555238464371684</stp>
        <tr r="P113" s="10"/>
      </tp>
      <tp t="e">
        <v>#N/A</v>
        <stp/>
        <stp>BDH|5902546310236993414</stp>
        <tr r="H85" s="10"/>
      </tp>
      <tp t="e">
        <v>#N/A</v>
        <stp/>
        <stp>BDH|4184566910091012227</stp>
        <tr r="G76" s="10"/>
      </tp>
      <tp t="e">
        <v>#N/A</v>
        <stp/>
        <stp>BDH|7283609428061813178</stp>
        <tr r="X13" s="10"/>
      </tp>
      <tp t="e">
        <v>#N/A</v>
        <stp/>
        <stp>BDH|9170863001623616159</stp>
        <tr r="G178" s="10"/>
      </tp>
      <tp t="e">
        <v>#N/A</v>
        <stp/>
        <stp>BDH|7456603977914259147</stp>
        <tr r="AR161" s="10"/>
      </tp>
      <tp t="e">
        <v>#N/A</v>
        <stp/>
        <stp>BDH|7880753069997987287</stp>
        <tr r="W165" s="10"/>
      </tp>
      <tp t="e">
        <v>#N/A</v>
        <stp/>
        <stp>BDH|6131220329660992560</stp>
        <tr r="J71" s="10"/>
      </tp>
      <tp t="e">
        <v>#N/A</v>
        <stp/>
        <stp>BDH|30911211967046150</stp>
        <tr r="AE188" s="10"/>
      </tp>
      <tp t="e">
        <v>#N/A</v>
        <stp/>
        <stp>BDH|43841138274260106</stp>
        <tr r="U84" s="10"/>
      </tp>
    </main>
    <main first="bofaddin.rtdserver">
      <tp t="s">
        <v>#N/A Requesting Data...1801567268</v>
        <stp/>
        <stp>BDP|45761595444243770</stp>
        <tr r="O4" s="1"/>
      </tp>
    </main>
    <main first="bofaddin.rtdserver">
      <tp t="e">
        <v>#N/A</v>
        <stp/>
        <stp>BDH|782056625356332185</stp>
        <tr r="AT90" s="10"/>
      </tp>
      <tp t="e">
        <v>#N/A</v>
        <stp/>
        <stp>BDH|540220495586953872</stp>
        <tr r="K35" s="10"/>
      </tp>
      <tp t="e">
        <v>#N/A</v>
        <stp/>
        <stp>BDH|829247550886652443</stp>
        <tr r="C89" s="10"/>
      </tp>
      <tp t="e">
        <v>#N/A</v>
        <stp/>
        <stp>BDH|361079737460977656</stp>
        <tr r="Q81" s="10"/>
      </tp>
      <tp t="e">
        <v>#N/A</v>
        <stp/>
        <stp>BDH|422047331922616486</stp>
        <tr r="C155" s="10"/>
      </tp>
      <tp t="e">
        <v>#N/A</v>
        <stp/>
        <stp>BDH|964388526763058789</stp>
        <tr r="AB17" s="10"/>
      </tp>
      <tp t="e">
        <v>#N/A</v>
        <stp/>
        <stp>BDH|175499725657693438</stp>
        <tr r="W111" s="10"/>
      </tp>
      <tp t="e">
        <v>#N/A</v>
        <stp/>
        <stp>BDH|725285666452764369</stp>
        <tr r="K159" s="10"/>
      </tp>
      <tp t="e">
        <v>#N/A</v>
        <stp/>
        <stp>BDH|768008439656435029</stp>
        <tr r="AO117" s="10"/>
      </tp>
      <tp t="e">
        <v>#N/A</v>
        <stp/>
        <stp>BDH|449080353976299657</stp>
        <tr r="AJ129" s="10"/>
      </tp>
      <tp t="e">
        <v>#N/A</v>
        <stp/>
        <stp>BDH|533935906354188898</stp>
        <tr r="D71" s="10"/>
      </tp>
      <tp t="e">
        <v>#N/A</v>
        <stp/>
        <stp>BDH|932688728046171710</stp>
        <tr r="K176" s="10"/>
      </tp>
      <tp t="e">
        <v>#N/A</v>
        <stp/>
        <stp>BDH|469109279877584413</stp>
        <tr r="AC187" s="10"/>
      </tp>
      <tp t="e">
        <v>#N/A</v>
        <stp/>
        <stp>BDH|619598434476553544</stp>
        <tr r="AQ42" s="10"/>
      </tp>
      <tp t="e">
        <v>#N/A</v>
        <stp/>
        <stp>BDH|449276868690426153</stp>
        <tr r="K147" s="10"/>
      </tp>
      <tp t="e">
        <v>#N/A</v>
        <stp/>
        <stp>BDH|232372355816449505</stp>
        <tr r="AJ137" s="10"/>
      </tp>
      <tp t="e">
        <v>#N/A</v>
        <stp/>
        <stp>BDH|219788245085854332</stp>
        <tr r="S79" s="10"/>
      </tp>
      <tp t="e">
        <v>#N/A</v>
        <stp/>
        <stp>BDH|171804153121763916</stp>
        <tr r="U140" s="10"/>
      </tp>
      <tp t="e">
        <v>#N/A</v>
        <stp/>
        <stp>BDH|953136783565475991</stp>
        <tr r="T43" s="10"/>
      </tp>
      <tp t="e">
        <v>#N/A</v>
        <stp/>
        <stp>BDH|473025531786193029</stp>
        <tr r="W125" s="10"/>
      </tp>
      <tp t="e">
        <v>#N/A</v>
        <stp/>
        <stp>BDH|731250413960071643</stp>
        <tr r="J15" s="10"/>
      </tp>
      <tp t="e">
        <v>#N/A</v>
        <stp/>
        <stp>BDH|371016765943749063</stp>
        <tr r="F92" s="10"/>
      </tp>
      <tp t="e">
        <v>#N/A</v>
        <stp/>
        <stp>BDH|499539717964096564</stp>
        <tr r="L4" s="10"/>
      </tp>
      <tp t="e">
        <v>#N/A</v>
        <stp/>
        <stp>BDH|754535428171243393</stp>
        <tr r="Y161" s="10"/>
      </tp>
      <tp t="e">
        <v>#N/A</v>
        <stp/>
        <stp>BDH|348086912686018292</stp>
        <tr r="AC129" s="10"/>
      </tp>
      <tp t="e">
        <v>#N/A</v>
        <stp/>
        <stp>BDH|305232716910591625</stp>
        <tr r="I142" s="10"/>
      </tp>
      <tp t="e">
        <v>#N/A</v>
        <stp/>
        <stp>BDH|655478064910544724</stp>
        <tr r="AP144" s="10"/>
      </tp>
      <tp t="e">
        <v>#N/A</v>
        <stp/>
        <stp>BDH|685503645114912098</stp>
        <tr r="C172" s="10"/>
      </tp>
      <tp t="e">
        <v>#N/A</v>
        <stp/>
        <stp>BDH|862167508554890123</stp>
        <tr r="AP84" s="10"/>
      </tp>
      <tp t="e">
        <v>#N/A</v>
        <stp/>
        <stp>BDH|366479158466452351</stp>
        <tr r="M122" s="10"/>
      </tp>
      <tp t="e">
        <v>#N/A</v>
        <stp/>
        <stp>BDH|536672024319227993</stp>
        <tr r="AC131" s="10"/>
      </tp>
      <tp t="e">
        <v>#N/A</v>
        <stp/>
        <stp>BDH|346051679287723454</stp>
        <tr r="AT88" s="10"/>
      </tp>
      <tp t="s">
        <v>#N/A Requesting Data...1933565990</v>
        <stp/>
        <stp>BDP|514772646333136482</stp>
        <tr r="D30" s="6"/>
        <tr r="H35" s="1"/>
      </tp>
      <tp t="e">
        <v>#N/A</v>
        <stp/>
        <stp>BDH|798619863662052685</stp>
        <tr r="AU54" s="10"/>
      </tp>
      <tp t="e">
        <v>#N/A</v>
        <stp/>
        <stp>BDH|265545368035005237</stp>
        <tr r="D106" s="10"/>
      </tp>
      <tp t="e">
        <v>#N/A</v>
        <stp/>
        <stp>BDH|763394775660446016</stp>
        <tr r="AN127" s="10"/>
      </tp>
      <tp t="e">
        <v>#N/A</v>
        <stp/>
        <stp>BDH|275767235496672695</stp>
        <tr r="V40" s="10"/>
      </tp>
      <tp t="e">
        <v>#N/A</v>
        <stp/>
        <stp>BDH|489264675444917510</stp>
        <tr r="AG39" s="10"/>
      </tp>
      <tp t="e">
        <v>#N/A</v>
        <stp/>
        <stp>BDH|294805377073829859</stp>
        <tr r="AA35" s="10"/>
      </tp>
      <tp t="e">
        <v>#N/A</v>
        <stp/>
        <stp>BDH|269174199074237865</stp>
        <tr r="AW141" s="10"/>
      </tp>
      <tp t="e">
        <v>#N/A</v>
        <stp/>
        <stp>BDH|371489257861792425</stp>
        <tr r="AA182" s="10"/>
      </tp>
      <tp t="e">
        <v>#N/A</v>
        <stp/>
        <stp>BDH|137545329740577309</stp>
        <tr r="W123" s="10"/>
      </tp>
      <tp t="e">
        <v>#N/A</v>
        <stp/>
        <stp>BDH|792490628336700488</stp>
        <tr r="P82" s="10"/>
      </tp>
      <tp t="e">
        <v>#N/A</v>
        <stp/>
        <stp>BDH|446272953924140788</stp>
        <tr r="AT42" s="10"/>
      </tp>
      <tp t="e">
        <v>#N/A</v>
        <stp/>
        <stp>BDH|402824788415412104</stp>
        <tr r="AM126" s="10"/>
      </tp>
      <tp t="e">
        <v>#N/A</v>
        <stp/>
        <stp>BDH|733906796866809224</stp>
        <tr r="AI68" s="10"/>
      </tp>
      <tp t="e">
        <v>#N/A</v>
        <stp/>
        <stp>BDH|942856053939067043</stp>
        <tr r="AR179" s="10"/>
      </tp>
      <tp t="e">
        <v>#N/A</v>
        <stp/>
        <stp>BDH|607930947909915007</stp>
        <tr r="M149" s="10"/>
      </tp>
      <tp t="e">
        <v>#N/A</v>
        <stp/>
        <stp>BDH|906526803235406471</stp>
        <tr r="AN147" s="10"/>
      </tp>
      <tp t="s">
        <v>#N/A Requesting Data...1045189393</v>
        <stp/>
        <stp>BDP|650868648240525894</stp>
        <tr r="O17" s="1"/>
      </tp>
      <tp t="s">
        <v>#N/A Requesting Data...2618775032</v>
        <stp/>
        <stp>BDP|374273562386333613</stp>
        <tr r="B20" s="1"/>
      </tp>
      <tp t="e">
        <v>#N/A</v>
        <stp/>
        <stp>BDH|852766263747834205</stp>
        <tr r="C44" s="10"/>
      </tp>
      <tp t="e">
        <v>#N/A</v>
        <stp/>
        <stp>BDH|504638715353257075</stp>
        <tr r="Z10" s="10"/>
      </tp>
      <tp t="e">
        <v>#N/A</v>
        <stp/>
        <stp>BDH|533097698594391913</stp>
        <tr r="AN139" s="10"/>
      </tp>
      <tp t="e">
        <v>#N/A</v>
        <stp/>
        <stp>BDH|477303719695904326</stp>
        <tr r="AK126" s="10"/>
      </tp>
      <tp t="e">
        <v>#N/A</v>
        <stp/>
        <stp>BDH|497447337473060007</stp>
        <tr r="Y172" s="10"/>
      </tp>
      <tp t="e">
        <v>#N/A</v>
        <stp/>
        <stp>BDH|106564516752316257</stp>
        <tr r="AK56" s="10"/>
      </tp>
      <tp t="e">
        <v>#N/A</v>
        <stp/>
        <stp>BDH|157907698316827266</stp>
        <tr r="AT131" s="10"/>
      </tp>
      <tp t="e">
        <v>#N/A</v>
        <stp/>
        <stp>BDH|505471033583394003</stp>
        <tr r="U176" s="10"/>
      </tp>
      <tp t="e">
        <v>#N/A</v>
        <stp/>
        <stp>BDH|394139671655392700</stp>
        <tr r="AW48" s="10"/>
      </tp>
    </main>
    <main first="bofaddin.rtdserver">
      <tp t="e">
        <v>#N/A</v>
        <stp/>
        <stp>BDH|953524597418291328</stp>
        <tr r="V164" s="10"/>
      </tp>
      <tp t="e">
        <v>#N/A</v>
        <stp/>
        <stp>BDH|792360652934725599</stp>
        <tr r="N164" s="10"/>
      </tp>
      <tp t="e">
        <v>#N/A</v>
        <stp/>
        <stp>BDH|186703735832137180</stp>
        <tr r="N147" s="10"/>
      </tp>
      <tp t="e">
        <v>#N/A</v>
        <stp/>
        <stp>BDH|672582245657222177</stp>
        <tr r="AV66" s="10"/>
      </tp>
      <tp t="e">
        <v>#N/A</v>
        <stp/>
        <stp>BDH|880629656665259119</stp>
        <tr r="H23" s="10"/>
      </tp>
      <tp t="e">
        <v>#N/A</v>
        <stp/>
        <stp>BDH|893539527786625658</stp>
        <tr r="X115" s="10"/>
      </tp>
      <tp t="e">
        <v>#N/A</v>
        <stp/>
        <stp>BDH|829607926607290459</stp>
        <tr r="AF44" s="10"/>
      </tp>
      <tp t="e">
        <v>#N/A</v>
        <stp/>
        <stp>BDH|379053312317567184</stp>
        <tr r="T8" s="10"/>
      </tp>
      <tp t="e">
        <v>#N/A</v>
        <stp/>
        <stp>BDH|250493076473305741</stp>
        <tr r="AP166" s="10"/>
      </tp>
      <tp t="e">
        <v>#N/A</v>
        <stp/>
        <stp>BDH|458046926212498798</stp>
        <tr r="L46" s="10"/>
      </tp>
      <tp t="e">
        <v>#N/A</v>
        <stp/>
        <stp>BDH|739906355713317858</stp>
        <tr r="AW123" s="10"/>
      </tp>
      <tp t="e">
        <v>#N/A</v>
        <stp/>
        <stp>BDH|160108608474463293</stp>
        <tr r="AV172" s="10"/>
      </tp>
      <tp t="s">
        <v>#N/A Requesting Data...850342842</v>
        <stp/>
        <stp>BDP|491030183609565640</stp>
        <tr r="D17" s="1"/>
      </tp>
      <tp t="e">
        <v>#N/A</v>
        <stp/>
        <stp>BDH|516100660996649662</stp>
        <tr r="AU176" s="10"/>
      </tp>
      <tp t="e">
        <v>#N/A</v>
        <stp/>
        <stp>BDH|133598049360113656</stp>
        <tr r="X69" s="10"/>
      </tp>
      <tp t="e">
        <v>#N/A</v>
        <stp/>
        <stp>BDH|910446207223609094</stp>
        <tr r="F183" s="10"/>
      </tp>
      <tp t="e">
        <v>#N/A</v>
        <stp/>
        <stp>BDH|546654629323664092</stp>
        <tr r="AP101" s="10"/>
      </tp>
      <tp t="e">
        <v>#N/A</v>
        <stp/>
        <stp>BDH|989658609884117536</stp>
        <tr r="AB142" s="10"/>
      </tp>
      <tp t="e">
        <v>#N/A</v>
        <stp/>
        <stp>BDH|786970044423327901</stp>
        <tr r="AG55" s="10"/>
      </tp>
      <tp t="e">
        <v>#N/A</v>
        <stp/>
        <stp>BDH|822719918039483858</stp>
        <tr r="AW31" s="10"/>
      </tp>
      <tp t="e">
        <v>#N/A</v>
        <stp/>
        <stp>BDH|196412393192321806</stp>
        <tr r="AT21" s="10"/>
      </tp>
      <tp t="e">
        <v>#N/A</v>
        <stp/>
        <stp>BDH|226074305417388038</stp>
        <tr r="Z60" s="10"/>
      </tp>
      <tp t="e">
        <v>#N/A</v>
        <stp/>
        <stp>BDH|432638677917372135</stp>
        <tr r="AM154" s="10"/>
      </tp>
      <tp t="e">
        <v>#N/A</v>
        <stp/>
        <stp>BDH|475790191480544990</stp>
        <tr r="AP104" s="10"/>
      </tp>
      <tp t="s">
        <v>#N/A Requesting Data...990633322</v>
        <stp/>
        <stp>BDP|489820333049709539</stp>
        <tr r="I29" s="1"/>
      </tp>
      <tp t="e">
        <v>#N/A</v>
        <stp/>
        <stp>BDH|534767443060730463</stp>
        <tr r="AJ110" s="10"/>
      </tp>
      <tp t="e">
        <v>#N/A</v>
        <stp/>
        <stp>BDH|438484857142955409</stp>
        <tr r="AD8" s="10"/>
      </tp>
      <tp t="e">
        <v>#N/A</v>
        <stp/>
        <stp>BDH|321481834550472090</stp>
        <tr r="R159" s="10"/>
      </tp>
      <tp t="e">
        <v>#N/A</v>
        <stp/>
        <stp>BDH|466386147056056692</stp>
        <tr r="AA155" s="10"/>
      </tp>
      <tp t="e">
        <v>#N/A</v>
        <stp/>
        <stp>BDH|961329579315560640</stp>
        <tr r="AT57" s="10"/>
      </tp>
      <tp t="e">
        <v>#N/A</v>
        <stp/>
        <stp>BDH|283270804203410661</stp>
        <tr r="S124" s="10"/>
      </tp>
      <tp t="e">
        <v>#N/A</v>
        <stp/>
        <stp>BDH|632252177403257152</stp>
        <tr r="W173" s="10"/>
      </tp>
      <tp t="e">
        <v>#N/A</v>
        <stp/>
        <stp>BDH|341028215826708002</stp>
        <tr r="P149" s="10"/>
      </tp>
      <tp t="e">
        <v>#N/A</v>
        <stp/>
        <stp>BDH|796493567746698238</stp>
        <tr r="AN11" s="10"/>
      </tp>
      <tp t="e">
        <v>#N/A</v>
        <stp/>
        <stp>BDH|202673848587254335</stp>
        <tr r="H172" s="10"/>
      </tp>
      <tp t="s">
        <v>#N/A Requesting Data...3239803870</v>
        <stp/>
        <stp>BDP|990066976960308160</stp>
        <tr r="F71" s="2"/>
      </tp>
      <tp t="e">
        <v>#N/A</v>
        <stp/>
        <stp>BDH|753433320080189086</stp>
        <tr r="U172" s="10"/>
      </tp>
      <tp t="e">
        <v>#N/A</v>
        <stp/>
        <stp>BDH|808947207469770617</stp>
        <tr r="U173" s="10"/>
      </tp>
      <tp t="e">
        <v>#N/A</v>
        <stp/>
        <stp>BDH|338113915781133789</stp>
        <tr r="AN42" s="10"/>
      </tp>
      <tp t="e">
        <v>#N/A</v>
        <stp/>
        <stp>BDH|820282078906669518</stp>
        <tr r="K98" s="10"/>
      </tp>
      <tp t="e">
        <v>#N/A</v>
        <stp/>
        <stp>BDH|853311243655538479</stp>
        <tr r="V8" s="10"/>
      </tp>
      <tp t="e">
        <v>#N/A</v>
        <stp/>
        <stp>BDH|850749001008237972</stp>
        <tr r="G132" s="10"/>
      </tp>
      <tp t="e">
        <v>#N/A</v>
        <stp/>
        <stp>BDH|881471359442737598</stp>
        <tr r="S75" s="10"/>
      </tp>
      <tp t="e">
        <v>#N/A</v>
        <stp/>
        <stp>BDH|639121296688201680</stp>
        <tr r="N61" s="10"/>
      </tp>
      <tp t="e">
        <v>#N/A</v>
        <stp/>
        <stp>BDH|876776101262732302</stp>
        <tr r="C122" s="10"/>
      </tp>
      <tp t="e">
        <v>#N/A</v>
        <stp/>
        <stp>BDH|930755264625909286</stp>
        <tr r="Q181" s="10"/>
      </tp>
      <tp t="e">
        <v>#N/A</v>
        <stp/>
        <stp>BDH|163540639081004168</stp>
        <tr r="AR87" s="10"/>
      </tp>
      <tp t="e">
        <v>#N/A</v>
        <stp/>
        <stp>BDH|202262053053811248</stp>
        <tr r="J44" s="10"/>
      </tp>
      <tp t="e">
        <v>#N/A</v>
        <stp/>
        <stp>BDH|845243547970801080</stp>
        <tr r="AU43" s="10"/>
      </tp>
      <tp t="e">
        <v>#N/A</v>
        <stp/>
        <stp>BDH|437723374413943502</stp>
        <tr r="K183" s="10"/>
      </tp>
      <tp t="e">
        <v>#N/A</v>
        <stp/>
        <stp>BDH|990999723744746909</stp>
        <tr r="AC67" s="10"/>
      </tp>
      <tp t="e">
        <v>#N/A</v>
        <stp/>
        <stp>BDH|986549627398991978</stp>
        <tr r="AO141" s="10"/>
      </tp>
      <tp t="e">
        <v>#N/A</v>
        <stp/>
        <stp>BDH|108312475262532055</stp>
        <tr r="AR141" s="10"/>
      </tp>
      <tp t="e">
        <v>#N/A</v>
        <stp/>
        <stp>BDH|146145535463320759</stp>
        <tr r="AQ123" s="10"/>
      </tp>
      <tp t="e">
        <v>#N/A</v>
        <stp/>
        <stp>BDH|946478326656699685</stp>
        <tr r="U112" s="10"/>
      </tp>
      <tp t="e">
        <v>#N/A</v>
        <stp/>
        <stp>BDH|534544116242871095</stp>
        <tr r="M165" s="10"/>
      </tp>
      <tp t="e">
        <v>#N/A</v>
        <stp/>
        <stp>BDH|212121220777479224</stp>
        <tr r="AJ53" s="10"/>
      </tp>
      <tp t="e">
        <v>#N/A</v>
        <stp/>
        <stp>BDH|905882704389320719</stp>
        <tr r="AC41" s="10"/>
      </tp>
      <tp t="e">
        <v>#N/A</v>
        <stp/>
        <stp>BDH|420083898886685957</stp>
        <tr r="V148" s="10"/>
      </tp>
      <tp t="e">
        <v>#N/A</v>
        <stp/>
        <stp>BDH|421666037005700626</stp>
        <tr r="Z81" s="10"/>
      </tp>
      <tp t="e">
        <v>#N/A</v>
        <stp/>
        <stp>BDH|872212539340340730</stp>
        <tr r="O150" s="10"/>
      </tp>
      <tp t="e">
        <v>#N/A</v>
        <stp/>
        <stp>BDH|154742092388519026</stp>
        <tr r="I144" s="10"/>
      </tp>
      <tp t="e">
        <v>#N/A</v>
        <stp/>
        <stp>BDH|165379592434176847</stp>
        <tr r="E64" s="10"/>
      </tp>
      <tp t="e">
        <v>#N/A</v>
        <stp/>
        <stp>BDH|655229684159639577</stp>
        <tr r="Y3" s="10"/>
      </tp>
      <tp t="e">
        <v>#N/A</v>
        <stp/>
        <stp>BDH|628315474814244606</stp>
        <tr r="J181" s="10"/>
      </tp>
      <tp t="e">
        <v>#N/A</v>
        <stp/>
        <stp>BDH|551334240650771102</stp>
        <tr r="Y102" s="10"/>
      </tp>
      <tp t="e">
        <v>#N/A</v>
        <stp/>
        <stp>BDH|980942387056299193</stp>
        <tr r="T16" s="10"/>
      </tp>
      <tp t="e">
        <v>#N/A</v>
        <stp/>
        <stp>BDH|695996852002496880</stp>
        <tr r="X97" s="10"/>
      </tp>
      <tp t="e">
        <v>#N/A</v>
        <stp/>
        <stp>BDH|228051706945214318</stp>
        <tr r="AS37" s="10"/>
      </tp>
      <tp t="e">
        <v>#N/A</v>
        <stp/>
        <stp>BDH|701651904485661527</stp>
        <tr r="M113" s="10"/>
      </tp>
      <tp t="e">
        <v>#N/A</v>
        <stp/>
        <stp>BDH|155069662410555036</stp>
        <tr r="AC160" s="10"/>
      </tp>
      <tp t="e">
        <v>#N/A</v>
        <stp/>
        <stp>BDH|323168564980426168</stp>
        <tr r="C34" s="10"/>
      </tp>
      <tp t="e">
        <v>#N/A</v>
        <stp/>
        <stp>BDH|111523666771315458</stp>
        <tr r="AT110" s="10"/>
      </tp>
      <tp t="e">
        <v>#N/A</v>
        <stp/>
        <stp>BDH|425584638913132361</stp>
        <tr r="AW90" s="10"/>
      </tp>
      <tp t="e">
        <v>#N/A</v>
        <stp/>
        <stp>BDH|962447904123876121</stp>
        <tr r="AH122" s="10"/>
      </tp>
      <tp t="e">
        <v>#N/A</v>
        <stp/>
        <stp>BDH|362820969087306869</stp>
        <tr r="S114" s="10"/>
      </tp>
      <tp t="e">
        <v>#N/A</v>
        <stp/>
        <stp>BDH|362518255856292783</stp>
        <tr r="AJ68" s="10"/>
      </tp>
      <tp t="e">
        <v>#N/A</v>
        <stp/>
        <stp>BDH|960710030706063356</stp>
        <tr r="AK25" s="10"/>
      </tp>
      <tp t="e">
        <v>#N/A</v>
        <stp/>
        <stp>BDH|177399839951561096</stp>
        <tr r="U145" s="10"/>
      </tp>
      <tp t="e">
        <v>#N/A</v>
        <stp/>
        <stp>BDH|831391168484291044</stp>
        <tr r="AC118" s="10"/>
      </tp>
      <tp t="e">
        <v>#N/A</v>
        <stp/>
        <stp>BDH|335268149724279314</stp>
        <tr r="AP141" s="10"/>
      </tp>
      <tp t="e">
        <v>#N/A</v>
        <stp/>
        <stp>BDH|109413581888072594</stp>
        <tr r="H107" s="10"/>
      </tp>
      <tp t="e">
        <v>#N/A</v>
        <stp/>
        <stp>BDH|387164010923847257</stp>
        <tr r="V83" s="10"/>
      </tp>
      <tp t="e">
        <v>#N/A</v>
        <stp/>
        <stp>BDH|361287390563425944</stp>
        <tr r="Q83" s="10"/>
      </tp>
      <tp t="e">
        <v>#N/A</v>
        <stp/>
        <stp>BDH|349054039196176452</stp>
        <tr r="D159" s="10"/>
      </tp>
      <tp t="e">
        <v>#N/A</v>
        <stp/>
        <stp>BDH|238904206560685861</stp>
        <tr r="C69" s="10"/>
      </tp>
      <tp t="e">
        <v>#N/A</v>
        <stp/>
        <stp>BDH|312335434743478246</stp>
        <tr r="K97" s="10"/>
      </tp>
      <tp t="e">
        <v>#N/A</v>
        <stp/>
        <stp>BDH|799719114366408126</stp>
        <tr r="AO142" s="10"/>
      </tp>
      <tp t="e">
        <v>#N/A</v>
        <stp/>
        <stp>BDH|728311835790701119</stp>
        <tr r="Q18" s="10"/>
      </tp>
      <tp t="e">
        <v>#N/A</v>
        <stp/>
        <stp>BDH|334662596159265745</stp>
        <tr r="X6" s="10"/>
      </tp>
      <tp t="e">
        <v>#N/A</v>
        <stp/>
        <stp>BDH|827291642956495120</stp>
        <tr r="AM13" s="10"/>
      </tp>
      <tp t="e">
        <v>#N/A</v>
        <stp/>
        <stp>BDH|609718876908333949</stp>
        <tr r="C7" s="10"/>
      </tp>
      <tp t="e">
        <v>#N/A</v>
        <stp/>
        <stp>BDH|659273780033157861</stp>
        <tr r="AC125" s="10"/>
      </tp>
      <tp t="e">
        <v>#N/A</v>
        <stp/>
        <stp>BDH|614202415557534505</stp>
        <tr r="AP149" s="10"/>
      </tp>
      <tp t="e">
        <v>#N/A</v>
        <stp/>
        <stp>BDH|189233072643537727</stp>
        <tr r="C170" s="10"/>
      </tp>
      <tp t="e">
        <v>#N/A</v>
        <stp/>
        <stp>BDH|820503058073387246</stp>
        <tr r="AF135" s="10"/>
      </tp>
      <tp t="e">
        <v>#N/A</v>
        <stp/>
        <stp>BDH|631630268339996843</stp>
        <tr r="AU22" s="10"/>
      </tp>
      <tp t="e">
        <v>#N/A</v>
        <stp/>
        <stp>BDH|758749721830321414</stp>
        <tr r="AF158" s="10"/>
      </tp>
      <tp t="e">
        <v>#N/A</v>
        <stp/>
        <stp>BDH|660939255175685875</stp>
        <tr r="J63" s="10"/>
      </tp>
      <tp t="e">
        <v>#N/A</v>
        <stp/>
        <stp>BDH|441137542385099149</stp>
        <tr r="W34" s="10"/>
      </tp>
      <tp t="e">
        <v>#N/A</v>
        <stp/>
        <stp>BDH|140544363994018642</stp>
        <tr r="AD53" s="10"/>
      </tp>
      <tp t="e">
        <v>#N/A</v>
        <stp/>
        <stp>BDH|515678552142260000</stp>
        <tr r="AT190" s="10"/>
      </tp>
      <tp t="e">
        <v>#N/A</v>
        <stp/>
        <stp>BDH|313454724726980194</stp>
        <tr r="U61" s="10"/>
      </tp>
      <tp t="e">
        <v>#N/A</v>
        <stp/>
        <stp>BDH|335411271010116210</stp>
        <tr r="K162" s="10"/>
      </tp>
      <tp t="e">
        <v>#N/A</v>
        <stp/>
        <stp>BDH|563726758923515161</stp>
        <tr r="D82" s="10"/>
      </tp>
      <tp t="e">
        <v>#N/A</v>
        <stp/>
        <stp>BDH|792136153104823032</stp>
        <tr r="AT51" s="10"/>
      </tp>
      <tp t="e">
        <v>#N/A</v>
        <stp/>
        <stp>BDH|787079607950253098</stp>
        <tr r="AS8" s="10"/>
      </tp>
      <tp t="e">
        <v>#N/A</v>
        <stp/>
        <stp>BDH|112669053946924505</stp>
        <tr r="AD70" s="10"/>
      </tp>
      <tp t="e">
        <v>#N/A</v>
        <stp/>
        <stp>BDH|980852888814503490</stp>
        <tr r="AE183" s="10"/>
      </tp>
      <tp t="e">
        <v>#N/A</v>
        <stp/>
        <stp>BDH|329562843717914668</stp>
        <tr r="AG52" s="10"/>
      </tp>
      <tp t="e">
        <v>#N/A</v>
        <stp/>
        <stp>BDH|856547672305655716</stp>
        <tr r="S189" s="10"/>
      </tp>
      <tp t="e">
        <v>#N/A</v>
        <stp/>
        <stp>BDH|291474609396358254</stp>
        <tr r="H86" s="10"/>
      </tp>
      <tp t="e">
        <v>#N/A</v>
        <stp/>
        <stp>BDH|501549415075904161</stp>
        <tr r="X116" s="10"/>
      </tp>
      <tp t="e">
        <v>#N/A</v>
        <stp/>
        <stp>BDH|616028917755526427</stp>
        <tr r="L89" s="10"/>
      </tp>
      <tp t="e">
        <v>#N/A</v>
        <stp/>
        <stp>BDH|498109352974305010</stp>
        <tr r="Y5" s="10"/>
      </tp>
      <tp t="e">
        <v>#N/A</v>
        <stp/>
        <stp>BDH|747643343957613529</stp>
        <tr r="I29" s="10"/>
      </tp>
      <tp t="e">
        <v>#N/A</v>
        <stp/>
        <stp>BDH|396629554612744165</stp>
        <tr r="AO79" s="10"/>
      </tp>
      <tp t="e">
        <v>#N/A</v>
        <stp/>
        <stp>BDH|820673326292465685</stp>
        <tr r="L188" s="10"/>
      </tp>
      <tp t="e">
        <v>#N/A</v>
        <stp/>
        <stp>BDH|983690667613038316</stp>
        <tr r="P117" s="10"/>
      </tp>
      <tp t="e">
        <v>#N/A</v>
        <stp/>
        <stp>BDH|178284922712419294</stp>
        <tr r="V145" s="10"/>
      </tp>
      <tp t="e">
        <v>#N/A</v>
        <stp/>
        <stp>BDH|391701904824657372</stp>
        <tr r="O52" s="10"/>
      </tp>
      <tp t="e">
        <v>#N/A</v>
        <stp/>
        <stp>BDH|504509180199685444</stp>
        <tr r="C105" s="10"/>
      </tp>
      <tp t="e">
        <v>#N/A</v>
        <stp/>
        <stp>BDH|447381608050317378</stp>
        <tr r="Y164" s="10"/>
      </tp>
      <tp t="e">
        <v>#N/A</v>
        <stp/>
        <stp>BDH|857655129386007240</stp>
        <tr r="AU69" s="10"/>
      </tp>
      <tp t="e">
        <v>#N/A</v>
        <stp/>
        <stp>BDH|318053656076366337</stp>
        <tr r="P124" s="10"/>
      </tp>
      <tp t="e">
        <v>#N/A</v>
        <stp/>
        <stp>BDH|702974285448463902</stp>
        <tr r="R93" s="10"/>
      </tp>
      <tp t="e">
        <v>#N/A</v>
        <stp/>
        <stp>BDH|450686488688406611</stp>
        <tr r="L110" s="10"/>
      </tp>
      <tp t="e">
        <v>#N/A</v>
        <stp/>
        <stp>BDH|353666808813870571</stp>
        <tr r="U35" s="10"/>
      </tp>
      <tp t="e">
        <v>#N/A</v>
        <stp/>
        <stp>BDH|218301922787142629</stp>
        <tr r="P143" s="10"/>
      </tp>
      <tp t="e">
        <v>#N/A</v>
        <stp/>
        <stp>BDH|108588911625230196</stp>
        <tr r="R106" s="10"/>
      </tp>
      <tp t="e">
        <v>#N/A</v>
        <stp/>
        <stp>BDH|411061506547471737</stp>
        <tr r="AP3" s="10"/>
      </tp>
      <tp t="e">
        <v>#N/A</v>
        <stp/>
        <stp>BDH|883231530171642316</stp>
        <tr r="W85" s="10"/>
      </tp>
      <tp t="s">
        <v>#N/A Requesting Data...3084015768</v>
        <stp/>
        <stp>BDP|656318557082539790</stp>
        <tr r="B5" s="1"/>
      </tp>
      <tp t="e">
        <v>#N/A</v>
        <stp/>
        <stp>BDH|108730305425834137</stp>
        <tr r="AM36" s="10"/>
      </tp>
      <tp t="e">
        <v>#N/A</v>
        <stp/>
        <stp>BDH|628452784977396880</stp>
        <tr r="AU85" s="10"/>
      </tp>
      <tp t="e">
        <v>#N/A</v>
        <stp/>
        <stp>BDH|175341330953004099</stp>
        <tr r="AM183" s="10"/>
      </tp>
      <tp t="e">
        <v>#N/A</v>
        <stp/>
        <stp>BDH|692613129343902493</stp>
        <tr r="AC191" s="10"/>
      </tp>
      <tp t="e">
        <v>#N/A</v>
        <stp/>
        <stp>BDH|843602624647528079</stp>
        <tr r="V160" s="10"/>
      </tp>
      <tp t="e">
        <v>#N/A</v>
        <stp/>
        <stp>BDH|685591161803854398</stp>
        <tr r="C91" s="10"/>
      </tp>
      <tp t="s">
        <v>#N/A Requesting Data...1227196397</v>
        <stp/>
        <stp>BDP|535551970132839375</stp>
        <tr r="D28" s="6"/>
        <tr r="H20" s="1"/>
      </tp>
      <tp t="e">
        <v>#N/A</v>
        <stp/>
        <stp>BDH|617516806224958203</stp>
        <tr r="W93" s="10"/>
      </tp>
      <tp t="e">
        <v>#N/A</v>
        <stp/>
        <stp>BDH|923613915950687437</stp>
        <tr r="H51" s="10"/>
      </tp>
      <tp t="e">
        <v>#N/A</v>
        <stp/>
        <stp>BDH|438621224860333786</stp>
        <tr r="AM40" s="10"/>
      </tp>
      <tp t="e">
        <v>#N/A</v>
        <stp/>
        <stp>BDH|637681863203464002</stp>
        <tr r="AC75" s="10"/>
      </tp>
      <tp t="e">
        <v>#N/A</v>
        <stp/>
        <stp>BDH|933104367302092646</stp>
        <tr r="X133" s="10"/>
      </tp>
      <tp t="e">
        <v>#N/A</v>
        <stp/>
        <stp>BDH|949703703243399735</stp>
        <tr r="T169" s="10"/>
      </tp>
      <tp t="e">
        <v>#N/A</v>
        <stp/>
        <stp>BDH|742596467388106826</stp>
        <tr r="T112" s="10"/>
      </tp>
      <tp t="e">
        <v>#N/A</v>
        <stp/>
        <stp>BDH|378881006112002966</stp>
        <tr r="H8" s="10"/>
      </tp>
      <tp t="e">
        <v>#N/A</v>
        <stp/>
        <stp>BDH|858402405692139576</stp>
        <tr r="AC147" s="10"/>
      </tp>
      <tp t="e">
        <v>#N/A</v>
        <stp/>
        <stp>BDH|451671865676326511</stp>
        <tr r="E121" s="10"/>
      </tp>
      <tp t="e">
        <v>#N/A</v>
        <stp/>
        <stp>BDH|177029765904189127</stp>
        <tr r="AJ190" s="10"/>
      </tp>
      <tp t="e">
        <v>#N/A</v>
        <stp/>
        <stp>BDH|994535761981992175</stp>
        <tr r="AO54" s="10"/>
      </tp>
      <tp t="e">
        <v>#N/A</v>
        <stp/>
        <stp>BDH|597536121260765454</stp>
        <tr r="AB187" s="10"/>
      </tp>
      <tp t="e">
        <v>#N/A</v>
        <stp/>
        <stp>BDH|398581848426393457</stp>
        <tr r="AK141" s="10"/>
      </tp>
      <tp t="e">
        <v>#N/A</v>
        <stp/>
        <stp>BDH|984796540547535709</stp>
        <tr r="G67" s="10"/>
      </tp>
      <tp t="e">
        <v>#N/A</v>
        <stp/>
        <stp>BDH|999789139006693189</stp>
        <tr r="T34" s="10"/>
      </tp>
      <tp t="e">
        <v>#N/A</v>
        <stp/>
        <stp>BDH|505719117093277679</stp>
        <tr r="Z3" s="10"/>
      </tp>
      <tp t="e">
        <v>#N/A</v>
        <stp/>
        <stp>BDH|226935787352031002</stp>
        <tr r="AL172" s="10"/>
      </tp>
      <tp t="e">
        <v>#N/A</v>
        <stp/>
        <stp>BDH|898008578634577020</stp>
        <tr r="AF168" s="10"/>
      </tp>
      <tp t="e">
        <v>#N/A</v>
        <stp/>
        <stp>BDH|164346152531113411</stp>
        <tr r="C47" s="10"/>
      </tp>
      <tp t="e">
        <v>#N/A</v>
        <stp/>
        <stp>BDH|584808513862453858</stp>
        <tr r="K188" s="10"/>
      </tp>
      <tp t="e">
        <v>#N/A</v>
        <stp/>
        <stp>BDH|473444114513385575</stp>
        <tr r="U155" s="10"/>
      </tp>
      <tp t="e">
        <v>#N/A</v>
        <stp/>
        <stp>BDH|552168531450728156</stp>
        <tr r="I89" s="10"/>
      </tp>
      <tp t="e">
        <v>#N/A</v>
        <stp/>
        <stp>BDH|506207875884354220</stp>
        <tr r="V92" s="10"/>
      </tp>
      <tp t="e">
        <v>#N/A</v>
        <stp/>
        <stp>BDH|784067655313641530</stp>
        <tr r="AD121" s="10"/>
      </tp>
      <tp t="e">
        <v>#N/A</v>
        <stp/>
        <stp>BDH|538131117643750072</stp>
        <tr r="L118" s="10"/>
      </tp>
      <tp t="e">
        <v>#N/A</v>
        <stp/>
        <stp>BDH|263596188479335713</stp>
        <tr r="Z145" s="10"/>
      </tp>
      <tp t="e">
        <v>#N/A</v>
        <stp/>
        <stp>BDH|128363553741268440</stp>
        <tr r="AD32" s="10"/>
      </tp>
      <tp t="e">
        <v>#N/A</v>
        <stp/>
        <stp>BDH|216069804243465068</stp>
        <tr r="P133" s="10"/>
      </tp>
      <tp t="e">
        <v>#N/A</v>
        <stp/>
        <stp>BDH|496426553282722015</stp>
        <tr r="AT167" s="10"/>
      </tp>
      <tp t="e">
        <v>#N/A</v>
        <stp/>
        <stp>BDH|212620844879512827</stp>
        <tr r="S77" s="10"/>
      </tp>
      <tp t="e">
        <v>#N/A</v>
        <stp/>
        <stp>BDH|858213959176571265</stp>
        <tr r="AF36" s="10"/>
      </tp>
      <tp t="e">
        <v>#N/A</v>
        <stp/>
        <stp>BDH|922612557897175623</stp>
        <tr r="Y11" s="10"/>
      </tp>
      <tp t="e">
        <v>#N/A</v>
        <stp/>
        <stp>BDH|904177447150654728</stp>
        <tr r="AC189" s="10"/>
      </tp>
      <tp t="e">
        <v>#N/A</v>
        <stp/>
        <stp>BDH|693710853565045597</stp>
        <tr r="S34" s="10"/>
      </tp>
      <tp t="e">
        <v>#N/A</v>
        <stp/>
        <stp>BDH|529995938550830813</stp>
        <tr r="AM191" s="10"/>
      </tp>
      <tp t="e">
        <v>#N/A</v>
        <stp/>
        <stp>BDH|551792310072483658</stp>
        <tr r="AC144" s="10"/>
      </tp>
      <tp t="e">
        <v>#N/A</v>
        <stp/>
        <stp>BDH|172416168943394353</stp>
        <tr r="Y99" s="10"/>
      </tp>
      <tp t="e">
        <v>#N/A</v>
        <stp/>
        <stp>BDH|736024580988244298</stp>
        <tr r="AQ128" s="10"/>
      </tp>
      <tp t="e">
        <v>#N/A</v>
        <stp/>
        <stp>BDH|171884224618362000</stp>
        <tr r="M136" s="10"/>
      </tp>
      <tp t="e">
        <v>#N/A</v>
        <stp/>
        <stp>BDH|879554161231231003</stp>
        <tr r="Q149" s="10"/>
      </tp>
      <tp t="e">
        <v>#N/A</v>
        <stp/>
        <stp>BDH|837104231489643913</stp>
        <tr r="AP56" s="10"/>
      </tp>
      <tp t="e">
        <v>#N/A</v>
        <stp/>
        <stp>BDH|997401420616094261</stp>
        <tr r="AV131" s="10"/>
      </tp>
      <tp t="e">
        <v>#N/A</v>
        <stp/>
        <stp>BDH|872666027431616776</stp>
        <tr r="AK13" s="10"/>
      </tp>
      <tp t="e">
        <v>#N/A</v>
        <stp/>
        <stp>BDH|516297250300105555</stp>
        <tr r="AK133" s="10"/>
      </tp>
      <tp t="e">
        <v>#N/A</v>
        <stp/>
        <stp>BDH|653703531583806573</stp>
        <tr r="I119" s="10"/>
      </tp>
      <tp t="e">
        <v>#N/A</v>
        <stp/>
        <stp>BDH|685036313453693086</stp>
        <tr r="AK153" s="10"/>
      </tp>
      <tp t="e">
        <v>#N/A</v>
        <stp/>
        <stp>BDH|768718056224844433</stp>
        <tr r="AU143" s="10"/>
      </tp>
      <tp t="e">
        <v>#N/A</v>
        <stp/>
        <stp>BDH|256100914720452295</stp>
        <tr r="O193" s="10"/>
      </tp>
      <tp t="e">
        <v>#N/A</v>
        <stp/>
        <stp>BDH|591036403950945284</stp>
        <tr r="U178" s="10"/>
      </tp>
      <tp t="e">
        <v>#N/A</v>
        <stp/>
        <stp>BDH|171570746176629522</stp>
        <tr r="Q88" s="10"/>
      </tp>
      <tp t="e">
        <v>#N/A</v>
        <stp/>
        <stp>BDH|839616266933364192</stp>
        <tr r="AG71" s="10"/>
      </tp>
      <tp t="e">
        <v>#N/A</v>
        <stp/>
        <stp>BDH|544355573372756415</stp>
        <tr r="AE53" s="10"/>
      </tp>
      <tp t="e">
        <v>#N/A</v>
        <stp/>
        <stp>BDH|322284203013900378</stp>
        <tr r="AA76" s="10"/>
      </tp>
      <tp t="e">
        <v>#N/A</v>
        <stp/>
        <stp>BDH|695988688494104710</stp>
        <tr r="H88" s="10"/>
      </tp>
      <tp t="e">
        <v>#N/A</v>
        <stp/>
        <stp>BDH|590262317005471476</stp>
        <tr r="U5" s="10"/>
      </tp>
      <tp t="e">
        <v>#N/A</v>
        <stp/>
        <stp>BDH|825148245367831063</stp>
        <tr r="U82" s="10"/>
      </tp>
      <tp t="e">
        <v>#N/A</v>
        <stp/>
        <stp>BDH|291028904203240118</stp>
        <tr r="AW98" s="10"/>
      </tp>
      <tp t="e">
        <v>#N/A</v>
        <stp/>
        <stp>BDH|679604044281404113</stp>
        <tr r="M167" s="10"/>
      </tp>
      <tp t="e">
        <v>#N/A</v>
        <stp/>
        <stp>BDH|528691939892754559</stp>
        <tr r="U14" s="10"/>
      </tp>
      <tp t="e">
        <v>#N/A</v>
        <stp/>
        <stp>BDH|423232978082718598</stp>
        <tr r="I5" s="10"/>
      </tp>
      <tp t="s">
        <v>#N/A N/A</v>
        <stp/>
        <stp>BDP|104266513964086551</stp>
        <tr r="F149" s="2"/>
      </tp>
      <tp t="e">
        <v>#N/A</v>
        <stp/>
        <stp>BDH|740504985419980691</stp>
        <tr r="AG185" s="10"/>
      </tp>
      <tp t="s">
        <v>#N/A Requesting Data...1019906407</v>
        <stp/>
        <stp>BDP|508073430698491949</stp>
        <tr r="D40" s="1"/>
      </tp>
      <tp t="e">
        <v>#N/A</v>
        <stp/>
        <stp>BDH|333523355720032275</stp>
        <tr r="AG163" s="10"/>
      </tp>
      <tp t="e">
        <v>#N/A</v>
        <stp/>
        <stp>BDH|313886377572889089</stp>
        <tr r="F47" s="10"/>
      </tp>
      <tp t="e">
        <v>#N/A</v>
        <stp/>
        <stp>BDH|582098783322648756</stp>
        <tr r="C184" s="10"/>
      </tp>
      <tp t="e">
        <v>#N/A</v>
        <stp/>
        <stp>BDH|823062535438219650</stp>
        <tr r="Q114" s="10"/>
      </tp>
      <tp t="e">
        <v>#N/A</v>
        <stp/>
        <stp>BDH|109684450219323779</stp>
        <tr r="AQ186" s="10"/>
      </tp>
      <tp t="e">
        <v>#N/A</v>
        <stp/>
        <stp>BDH|252730518532772935</stp>
        <tr r="AO90" s="10"/>
      </tp>
      <tp t="e">
        <v>#N/A</v>
        <stp/>
        <stp>BDH|404986231726406171</stp>
        <tr r="AL188" s="10"/>
      </tp>
      <tp t="e">
        <v>#N/A</v>
        <stp/>
        <stp>BDH|987841913530670405</stp>
        <tr r="H120" s="10"/>
      </tp>
      <tp t="e">
        <v>#N/A</v>
        <stp/>
        <stp>BDH|330781591977168428</stp>
        <tr r="AH48" s="10"/>
      </tp>
      <tp t="e">
        <v>#N/A</v>
        <stp/>
        <stp>BDH|921031319348905419</stp>
        <tr r="U175" s="10"/>
      </tp>
      <tp t="e">
        <v>#N/A</v>
        <stp/>
        <stp>BDH|565263224294595997</stp>
        <tr r="AO181" s="10"/>
      </tp>
      <tp t="e">
        <v>#N/A</v>
        <stp/>
        <stp>BDH|535859140875268499</stp>
        <tr r="AP115" s="10"/>
      </tp>
      <tp t="e">
        <v>#N/A</v>
        <stp/>
        <stp>BDH|810936155911862027</stp>
        <tr r="Z176" s="10"/>
      </tp>
      <tp t="e">
        <v>#N/A</v>
        <stp/>
        <stp>BDH|134674532998047010</stp>
        <tr r="AN47" s="10"/>
      </tp>
      <tp t="e">
        <v>#N/A</v>
        <stp/>
        <stp>BDH|685715851779571656</stp>
        <tr r="AB125" s="10"/>
      </tp>
      <tp t="e">
        <v>#N/A</v>
        <stp/>
        <stp>BDH|476307935704365949</stp>
        <tr r="AG4" s="10"/>
      </tp>
      <tp t="e">
        <v>#N/A</v>
        <stp/>
        <stp>BDH|520401461607474879</stp>
        <tr r="AN148" s="10"/>
      </tp>
      <tp t="e">
        <v>#N/A</v>
        <stp/>
        <stp>BDH|212626430300519825</stp>
        <tr r="H143" s="10"/>
      </tp>
      <tp t="e">
        <v>#N/A</v>
        <stp/>
        <stp>BDH|274113326958018629</stp>
        <tr r="C118" s="10"/>
      </tp>
      <tp t="e">
        <v>#N/A</v>
        <stp/>
        <stp>BDH|411259742032213918</stp>
        <tr r="F8" s="10"/>
      </tp>
      <tp t="e">
        <v>#N/A</v>
        <stp/>
        <stp>BDH|462156639758129780</stp>
        <tr r="R56" s="10"/>
      </tp>
      <tp t="e">
        <v>#N/A</v>
        <stp/>
        <stp>BDH|641897649564792534</stp>
        <tr r="D24" s="10"/>
      </tp>
      <tp t="e">
        <v>#N/A</v>
        <stp/>
        <stp>BDH|808229478489447141</stp>
        <tr r="AT69" s="10"/>
      </tp>
      <tp t="e">
        <v>#N/A</v>
        <stp/>
        <stp>BDH|900218631054909828</stp>
        <tr r="T123" s="10"/>
      </tp>
      <tp t="e">
        <v>#N/A</v>
        <stp/>
        <stp>BDH|965674380533901050</stp>
        <tr r="D149" s="10"/>
      </tp>
      <tp t="e">
        <v>#N/A</v>
        <stp/>
        <stp>BDH|931418498188104820</stp>
        <tr r="AC159" s="10"/>
      </tp>
      <tp t="e">
        <v>#N/A</v>
        <stp/>
        <stp>BDH|760546482477616749</stp>
        <tr r="AN16" s="10"/>
      </tp>
      <tp t="e">
        <v>#N/A</v>
        <stp/>
        <stp>BDH|760231911906257849</stp>
        <tr r="N3" s="10"/>
      </tp>
      <tp t="e">
        <v>#N/A</v>
        <stp/>
        <stp>BDH|463662578739843516</stp>
        <tr r="AP174" s="10"/>
      </tp>
      <tp t="e">
        <v>#N/A</v>
        <stp/>
        <stp>BDH|509129526559960644</stp>
        <tr r="AI191" s="10"/>
      </tp>
      <tp t="e">
        <v>#N/A</v>
        <stp/>
        <stp>BDH|819912710420794416</stp>
        <tr r="AD20" s="10"/>
      </tp>
      <tp t="e">
        <v>#N/A</v>
        <stp/>
        <stp>BDH|358053874998807324</stp>
        <tr r="AN36" s="10"/>
      </tp>
      <tp t="e">
        <v>#N/A</v>
        <stp/>
        <stp>BDH|254064495952916715</stp>
        <tr r="AP33" s="10"/>
      </tp>
      <tp t="e">
        <v>#N/A</v>
        <stp/>
        <stp>BDH|658967158702274233</stp>
        <tr r="AK120" s="10"/>
      </tp>
      <tp t="e">
        <v>#N/A</v>
        <stp/>
        <stp>BDH|943608050616613940</stp>
        <tr r="AU148" s="10"/>
      </tp>
      <tp t="e">
        <v>#N/A</v>
        <stp/>
        <stp>BDH|302855300487991346</stp>
        <tr r="AW37" s="10"/>
      </tp>
      <tp t="e">
        <v>#N/A</v>
        <stp/>
        <stp>BDH|886116783110052519</stp>
        <tr r="AL21" s="10"/>
      </tp>
      <tp t="e">
        <v>#N/A</v>
        <stp/>
        <stp>BDH|373388583062363509</stp>
        <tr r="AK159" s="10"/>
      </tp>
      <tp t="e">
        <v>#N/A</v>
        <stp/>
        <stp>BDH|830961263667639402</stp>
        <tr r="AS11" s="10"/>
      </tp>
      <tp t="e">
        <v>#N/A</v>
        <stp/>
        <stp>BDH|455711405218324378</stp>
        <tr r="S153" s="10"/>
      </tp>
      <tp t="e">
        <v>#N/A</v>
        <stp/>
        <stp>BDH|404507974519755734</stp>
        <tr r="G125" s="10"/>
      </tp>
      <tp t="e">
        <v>#N/A</v>
        <stp/>
        <stp>BDH|593166177152458872</stp>
        <tr r="AE64" s="10"/>
      </tp>
      <tp t="e">
        <v>#N/A</v>
        <stp/>
        <stp>BDH|500868306677107330</stp>
        <tr r="AK8" s="10"/>
      </tp>
      <tp t="e">
        <v>#N/A</v>
        <stp/>
        <stp>BDH|675456635592608972</stp>
        <tr r="O147" s="10"/>
      </tp>
      <tp t="e">
        <v>#N/A</v>
        <stp/>
        <stp>BDH|951807698634927990</stp>
        <tr r="AP119" s="10"/>
      </tp>
      <tp t="e">
        <v>#N/A</v>
        <stp/>
        <stp>BDH|619512814520498856</stp>
        <tr r="AE8" s="10"/>
      </tp>
      <tp t="e">
        <v>#N/A</v>
        <stp/>
        <stp>BDH|511698277184874911</stp>
        <tr r="AS165" s="10"/>
      </tp>
      <tp t="e">
        <v>#N/A</v>
        <stp/>
        <stp>BDH|600777122011511847</stp>
        <tr r="M128" s="10"/>
      </tp>
      <tp t="e">
        <v>#N/A</v>
        <stp/>
        <stp>BDH|585471544935053954</stp>
        <tr r="G188" s="10"/>
      </tp>
      <tp t="e">
        <v>#N/A</v>
        <stp/>
        <stp>BDH|874693581373094138</stp>
        <tr r="E167" s="10"/>
      </tp>
      <tp t="s">
        <v>#N/A Requesting Data...2089199959</v>
        <stp/>
        <stp>BDP|443303828589293729</stp>
        <tr r="B25" s="1"/>
      </tp>
      <tp t="e">
        <v>#N/A</v>
        <stp/>
        <stp>BDH|266912477517169692</stp>
        <tr r="D25" s="10"/>
      </tp>
      <tp t="e">
        <v>#N/A</v>
        <stp/>
        <stp>BDH|815811198957926965</stp>
        <tr r="AS170" s="10"/>
      </tp>
      <tp t="e">
        <v>#N/A</v>
        <stp/>
        <stp>BDH|877230197216305214</stp>
        <tr r="AQ161" s="10"/>
      </tp>
      <tp t="e">
        <v>#N/A</v>
        <stp/>
        <stp>BDH|891462955307318975</stp>
        <tr r="AJ182" s="10"/>
      </tp>
      <tp t="e">
        <v>#N/A</v>
        <stp/>
        <stp>BDH|470677639379067353</stp>
        <tr r="I154" s="10"/>
      </tp>
      <tp t="e">
        <v>#N/A</v>
        <stp/>
        <stp>BDH|565945559592562126</stp>
        <tr r="AV25" s="10"/>
      </tp>
      <tp t="e">
        <v>#N/A</v>
        <stp/>
        <stp>BDH|995378150288562136</stp>
        <tr r="AG74" s="10"/>
      </tp>
      <tp t="e">
        <v>#N/A</v>
        <stp/>
        <stp>BDH|626427027218970124</stp>
        <tr r="AL93" s="10"/>
      </tp>
      <tp t="e">
        <v>#N/A</v>
        <stp/>
        <stp>BDH|869058596250260604</stp>
        <tr r="D191" s="10"/>
      </tp>
      <tp t="e">
        <v>#N/A</v>
        <stp/>
        <stp>BDH|599184647432803888</stp>
        <tr r="AF175" s="10"/>
      </tp>
      <tp t="e">
        <v>#N/A</v>
        <stp/>
        <stp>BDH|209569411843520848</stp>
        <tr r="AC74" s="10"/>
      </tp>
      <tp t="e">
        <v>#N/A</v>
        <stp/>
        <stp>BDH|490370283145424103</stp>
        <tr r="AL147" s="10"/>
      </tp>
      <tp t="e">
        <v>#N/A</v>
        <stp/>
        <stp>BDH|887491825669925093</stp>
        <tr r="G87" s="10"/>
      </tp>
      <tp t="s">
        <v>#N/A Requesting Data...1524735359</v>
        <stp/>
        <stp>BDP|137923151011149270</stp>
        <tr r="D46" s="1"/>
      </tp>
      <tp t="e">
        <v>#N/A</v>
        <stp/>
        <stp>BDH|399481351959431780</stp>
        <tr r="AE175" s="10"/>
      </tp>
      <tp t="e">
        <v>#N/A</v>
        <stp/>
        <stp>BDH|441361702685407925</stp>
        <tr r="AN58" s="10"/>
      </tp>
      <tp t="e">
        <v>#N/A</v>
        <stp/>
        <stp>BDH|645125919517292886</stp>
        <tr r="AD185" s="10"/>
      </tp>
      <tp t="e">
        <v>#N/A</v>
        <stp/>
        <stp>BDH|813584091854883783</stp>
        <tr r="AL19" s="10"/>
      </tp>
      <tp t="e">
        <v>#N/A</v>
        <stp/>
        <stp>BDH|655847523376578367</stp>
        <tr r="S100" s="10"/>
      </tp>
      <tp t="e">
        <v>#N/A</v>
        <stp/>
        <stp>BDH|820088390917745153</stp>
        <tr r="C99" s="10"/>
      </tp>
      <tp t="e">
        <v>#N/A</v>
        <stp/>
        <stp>BDH|977493759187982934</stp>
        <tr r="AM59" s="10"/>
      </tp>
      <tp t="e">
        <v>#N/A</v>
        <stp/>
        <stp>BDH|130380027929208611</stp>
        <tr r="AV142" s="10"/>
      </tp>
      <tp t="e">
        <v>#N/A</v>
        <stp/>
        <stp>BDH|496497106903588933</stp>
        <tr r="W92" s="10"/>
      </tp>
      <tp t="e">
        <v>#N/A</v>
        <stp/>
        <stp>BDH|462953809590012768</stp>
        <tr r="AS153" s="10"/>
      </tp>
      <tp t="e">
        <v>#N/A</v>
        <stp/>
        <stp>BDH|819536637499264117</stp>
        <tr r="T117" s="10"/>
      </tp>
      <tp t="e">
        <v>#N/A</v>
        <stp/>
        <stp>BDH|758172169040060960</stp>
        <tr r="AD140" s="10"/>
      </tp>
      <tp t="e">
        <v>#N/A</v>
        <stp/>
        <stp>BDH|185891995787140854</stp>
        <tr r="AK87" s="10"/>
      </tp>
      <tp t="e">
        <v>#N/A</v>
        <stp/>
        <stp>BDH|888659375376897996</stp>
        <tr r="Y13" s="10"/>
      </tp>
      <tp t="e">
        <v>#N/A</v>
        <stp/>
        <stp>BDH|273156785316027187</stp>
        <tr r="Y120" s="10"/>
      </tp>
      <tp t="e">
        <v>#N/A</v>
        <stp/>
        <stp>BDH|281879799238167799</stp>
        <tr r="AA80" s="10"/>
      </tp>
      <tp t="e">
        <v>#N/A</v>
        <stp/>
        <stp>BDH|654188662971804812</stp>
        <tr r="AF74" s="10"/>
      </tp>
      <tp t="e">
        <v>#N/A</v>
        <stp/>
        <stp>BDH|646930937703078771</stp>
        <tr r="AU71" s="10"/>
      </tp>
      <tp t="e">
        <v>#N/A</v>
        <stp/>
        <stp>BDH|872468061348125483</stp>
        <tr r="J117" s="10"/>
      </tp>
      <tp t="e">
        <v>#N/A</v>
        <stp/>
        <stp>BDH|758115507016064974</stp>
        <tr r="V105" s="10"/>
      </tp>
      <tp t="e">
        <v>#N/A</v>
        <stp/>
        <stp>BDH|275458793230658349</stp>
        <tr r="AI140" s="10"/>
      </tp>
      <tp t="e">
        <v>#N/A</v>
        <stp/>
        <stp>BDH|238168691513148533</stp>
        <tr r="AD132" s="10"/>
      </tp>
      <tp t="e">
        <v>#N/A</v>
        <stp/>
        <stp>BDH|242674692815297456</stp>
        <tr r="AH57" s="10"/>
      </tp>
      <tp t="e">
        <v>#N/A</v>
        <stp/>
        <stp>BDH|645752568859892628</stp>
        <tr r="AB133" s="10"/>
      </tp>
      <tp t="e">
        <v>#N/A</v>
        <stp/>
        <stp>BDH|313153341282153978</stp>
        <tr r="H185" s="10"/>
      </tp>
      <tp t="e">
        <v>#N/A</v>
        <stp/>
        <stp>BDH|682766389900294194</stp>
        <tr r="R36" s="10"/>
      </tp>
      <tp t="e">
        <v>#N/A</v>
        <stp/>
        <stp>BDH|311915452542488068</stp>
        <tr r="L106" s="10"/>
      </tp>
      <tp t="e">
        <v>#N/A</v>
        <stp/>
        <stp>BDH|830516696994479157</stp>
        <tr r="AS78" s="10"/>
      </tp>
      <tp t="e">
        <v>#N/A</v>
        <stp/>
        <stp>BDH|469994666580515600</stp>
        <tr r="AJ25" s="10"/>
      </tp>
      <tp t="e">
        <v>#N/A</v>
        <stp/>
        <stp>BDH|304861258463205710</stp>
        <tr r="E143" s="10"/>
      </tp>
      <tp t="e">
        <v>#N/A</v>
        <stp/>
        <stp>BDH|693066220972993962</stp>
        <tr r="J47" s="10"/>
      </tp>
      <tp t="e">
        <v>#N/A</v>
        <stp/>
        <stp>BDH|480410239696181825</stp>
        <tr r="AA167" s="10"/>
      </tp>
      <tp t="e">
        <v>#N/A</v>
        <stp/>
        <stp>BDH|566570990307258282</stp>
        <tr r="K154" s="10"/>
      </tp>
      <tp t="e">
        <v>#N/A</v>
        <stp/>
        <stp>BDH|954562637966755962</stp>
        <tr r="Z22" s="10"/>
      </tp>
      <tp t="e">
        <v>#N/A</v>
        <stp/>
        <stp>BDH|639488907309613446</stp>
        <tr r="AN24" s="10"/>
      </tp>
      <tp t="e">
        <v>#N/A</v>
        <stp/>
        <stp>BDH|517832838182671037</stp>
        <tr r="V178" s="10"/>
      </tp>
      <tp t="e">
        <v>#N/A</v>
        <stp/>
        <stp>BDH|449298560949773415</stp>
        <tr r="X10" s="10"/>
      </tp>
      <tp t="e">
        <v>#N/A</v>
        <stp/>
        <stp>BDH|495397758337967881</stp>
        <tr r="M16" s="10"/>
      </tp>
      <tp t="e">
        <v>#N/A</v>
        <stp/>
        <stp>BDH|804592397531082426</stp>
        <tr r="P28" s="10"/>
      </tp>
      <tp t="s">
        <v>#N/A Requesting Data...1575351025</v>
        <stp/>
        <stp>BDP|405166182057174758</stp>
        <tr r="B15" s="6"/>
        <tr r="E10" s="1"/>
        <tr r="H15" s="2"/>
        <tr r="H20" s="2"/>
        <tr r="H59" s="2"/>
      </tp>
      <tp t="e">
        <v>#N/A</v>
        <stp/>
        <stp>BDH|282109810978504122</stp>
        <tr r="D33" s="10"/>
      </tp>
      <tp t="e">
        <v>#N/A</v>
        <stp/>
        <stp>BDH|489407293680650445</stp>
        <tr r="R65" s="10"/>
      </tp>
      <tp t="e">
        <v>#N/A</v>
        <stp/>
        <stp>BDH|690650097891273708</stp>
        <tr r="V32" s="10"/>
      </tp>
      <tp t="e">
        <v>#N/A</v>
        <stp/>
        <stp>BDH|243656325164661933</stp>
        <tr r="F145" s="10"/>
      </tp>
      <tp t="e">
        <v>#N/A</v>
        <stp/>
        <stp>BDH|764465305735030830</stp>
        <tr r="M102" s="10"/>
      </tp>
      <tp t="e">
        <v>#N/A</v>
        <stp/>
        <stp>BDH|172233300952645940</stp>
        <tr r="AG44" s="10"/>
      </tp>
      <tp t="e">
        <v>#N/A</v>
        <stp/>
        <stp>BDH|221140355364606958</stp>
        <tr r="E93" s="10"/>
      </tp>
      <tp t="e">
        <v>#N/A</v>
        <stp/>
        <stp>BDH|935995686329244159</stp>
        <tr r="L16" s="10"/>
      </tp>
      <tp t="e">
        <v>#N/A</v>
        <stp/>
        <stp>BDH|867111049184120807</stp>
        <tr r="V150" s="10"/>
      </tp>
      <tp t="e">
        <v>#N/A</v>
        <stp/>
        <stp>BDH|473979724800633203</stp>
        <tr r="G14" s="10"/>
      </tp>
      <tp t="e">
        <v>#N/A</v>
        <stp/>
        <stp>BDH|112738131539099420</stp>
        <tr r="AA137" s="10"/>
      </tp>
      <tp t="e">
        <v>#N/A</v>
        <stp/>
        <stp>BDH|232542130997607832</stp>
        <tr r="AJ21" s="10"/>
      </tp>
      <tp t="e">
        <v>#N/A</v>
        <stp/>
        <stp>BDH|694217888572428062</stp>
        <tr r="AB166" s="10"/>
      </tp>
      <tp t="e">
        <v>#N/A</v>
        <stp/>
        <stp>BDH|837513794045761177</stp>
        <tr r="AQ89" s="10"/>
      </tp>
      <tp t="e">
        <v>#N/A</v>
        <stp/>
        <stp>BDH|414095566896054850</stp>
        <tr r="AE25" s="10"/>
      </tp>
      <tp t="e">
        <v>#N/A</v>
        <stp/>
        <stp>BDH|723573987340987505</stp>
        <tr r="S178" s="10"/>
      </tp>
      <tp t="e">
        <v>#N/A</v>
        <stp/>
        <stp>BDH|800287842209914755</stp>
        <tr r="AE191" s="10"/>
      </tp>
      <tp t="e">
        <v>#N/A</v>
        <stp/>
        <stp>BDH|667172182276418789</stp>
        <tr r="Y118" s="10"/>
      </tp>
      <tp t="e">
        <v>#N/A</v>
        <stp/>
        <stp>BDH|916852606534369467</stp>
        <tr r="R46" s="10"/>
      </tp>
      <tp t="e">
        <v>#N/A</v>
        <stp/>
        <stp>BDH|442398242626241953</stp>
        <tr r="J170" s="10"/>
      </tp>
      <tp t="e">
        <v>#N/A</v>
        <stp/>
        <stp>BDH|722686795931608649</stp>
        <tr r="AK121" s="10"/>
      </tp>
      <tp t="e">
        <v>#N/A</v>
        <stp/>
        <stp>BDH|249847663256960042</stp>
        <tr r="V6" s="10"/>
      </tp>
      <tp t="e">
        <v>#N/A</v>
        <stp/>
        <stp>BDH|900155312648035048</stp>
        <tr r="AT119" s="10"/>
      </tp>
      <tp t="e">
        <v>#N/A</v>
        <stp/>
        <stp>BDH|136443299873109671</stp>
        <tr r="AC168" s="10"/>
      </tp>
      <tp t="e">
        <v>#N/A</v>
        <stp/>
        <stp>BDH|471408544839253182</stp>
        <tr r="AG129" s="10"/>
      </tp>
      <tp t="e">
        <v>#N/A</v>
        <stp/>
        <stp>BDH|593955665277286024</stp>
        <tr r="AE172" s="10"/>
      </tp>
      <tp t="e">
        <v>#N/A</v>
        <stp/>
        <stp>BDH|257018396578115922</stp>
        <tr r="AO3" s="10"/>
      </tp>
      <tp t="e">
        <v>#N/A</v>
        <stp/>
        <stp>BDH|551464644308446050</stp>
        <tr r="AD134" s="10"/>
      </tp>
      <tp t="e">
        <v>#N/A</v>
        <stp/>
        <stp>BDH|647281515702846941</stp>
        <tr r="G28" s="10"/>
      </tp>
      <tp t="e">
        <v>#N/A</v>
        <stp/>
        <stp>BDH|471763576481680931</stp>
        <tr r="AB82" s="10"/>
      </tp>
      <tp t="e">
        <v>#N/A</v>
        <stp/>
        <stp>BDH|197848154256499372</stp>
        <tr r="AN162" s="10"/>
      </tp>
      <tp t="e">
        <v>#N/A</v>
        <stp/>
        <stp>BDH|195381621569378096</stp>
        <tr r="AV71" s="10"/>
      </tp>
      <tp t="e">
        <v>#N/A</v>
        <stp/>
        <stp>BDH|529026164636291836</stp>
        <tr r="AL180" s="10"/>
      </tp>
      <tp t="e">
        <v>#N/A</v>
        <stp/>
        <stp>BDH|913879757235951036</stp>
        <tr r="AL82" s="10"/>
      </tp>
      <tp t="e">
        <v>#N/A</v>
        <stp/>
        <stp>BDH|786485481266031136</stp>
        <tr r="AO61" s="10"/>
      </tp>
      <tp t="e">
        <v>#N/A</v>
        <stp/>
        <stp>BDH|396182742839658728</stp>
        <tr r="Y183" s="10"/>
      </tp>
      <tp t="e">
        <v>#N/A</v>
        <stp/>
        <stp>BDH|289294498243581389</stp>
        <tr r="F79" s="10"/>
      </tp>
      <tp t="e">
        <v>#N/A</v>
        <stp/>
        <stp>BDH|405987630625236400</stp>
        <tr r="AO108" s="10"/>
      </tp>
      <tp t="e">
        <v>#N/A</v>
        <stp/>
        <stp>BDH|236950662442857632</stp>
        <tr r="AS80" s="10"/>
      </tp>
      <tp t="e">
        <v>#N/A</v>
        <stp/>
        <stp>BDH|298825337134886412</stp>
        <tr r="AP143" s="10"/>
      </tp>
      <tp t="e">
        <v>#N/A</v>
        <stp/>
        <stp>BDH|350160900839577396</stp>
        <tr r="L41" s="10"/>
      </tp>
      <tp t="e">
        <v>#N/A</v>
        <stp/>
        <stp>BDH|698888596079273331</stp>
        <tr r="Q87" s="10"/>
      </tp>
      <tp t="s">
        <v>#N/A Requesting Data...2942089235</v>
        <stp/>
        <stp>BDP|645278083110996115</stp>
        <tr r="D19" s="1"/>
      </tp>
      <tp t="e">
        <v>#N/A</v>
        <stp/>
        <stp>BDH|957714262099983388</stp>
        <tr r="R66" s="10"/>
      </tp>
      <tp t="e">
        <v>#N/A</v>
        <stp/>
        <stp>BDH|499992674322801776</stp>
        <tr r="H79" s="10"/>
      </tp>
      <tp t="e">
        <v>#N/A</v>
        <stp/>
        <stp>BDH|501818211501732341</stp>
        <tr r="U13" s="10"/>
      </tp>
      <tp t="e">
        <v>#N/A</v>
        <stp/>
        <stp>BDH|386817707674394718</stp>
        <tr r="AM167" s="10"/>
      </tp>
      <tp t="e">
        <v>#N/A</v>
        <stp/>
        <stp>BDH|911186152518403706</stp>
        <tr r="AF25" s="10"/>
      </tp>
      <tp t="e">
        <v>#N/A</v>
        <stp/>
        <stp>BDH|385327212110393906</stp>
        <tr r="AM189" s="10"/>
      </tp>
      <tp t="e">
        <v>#N/A</v>
        <stp/>
        <stp>BDH|719169537561374844</stp>
        <tr r="E27" s="10"/>
      </tp>
      <tp t="e">
        <v>#N/A</v>
        <stp/>
        <stp>BDH|776616550261547921</stp>
        <tr r="Z35" s="10"/>
      </tp>
      <tp t="e">
        <v>#N/A</v>
        <stp/>
        <stp>BDH|235392880480030091</stp>
        <tr r="F159" s="10"/>
      </tp>
      <tp t="e">
        <v>#N/A</v>
        <stp/>
        <stp>BDH|368309223083380905</stp>
        <tr r="AD183" s="10"/>
      </tp>
    </main>
    <main first="bofaddin.rtdserver">
      <tp t="e">
        <v>#N/A</v>
        <stp/>
        <stp>BDH|243864570803955605</stp>
        <tr r="T27" s="10"/>
      </tp>
      <tp t="e">
        <v>#N/A</v>
        <stp/>
        <stp>BDH|981853522530644056</stp>
        <tr r="AI78" s="10"/>
      </tp>
      <tp t="e">
        <v>#N/A</v>
        <stp/>
        <stp>BDH|598258163109895751</stp>
        <tr r="S148" s="10"/>
      </tp>
      <tp t="e">
        <v>#N/A</v>
        <stp/>
        <stp>BDH|404751168312095903</stp>
        <tr r="M84" s="10"/>
      </tp>
      <tp t="e">
        <v>#N/A</v>
        <stp/>
        <stp>BDH|670896152521781607</stp>
        <tr r="AV7" s="10"/>
      </tp>
      <tp t="e">
        <v>#N/A</v>
        <stp/>
        <stp>BDH|279180965625145859</stp>
        <tr r="AQ11" s="10"/>
      </tp>
      <tp t="e">
        <v>#N/A</v>
        <stp/>
        <stp>BDH|814163631740300870</stp>
        <tr r="AE166" s="10"/>
      </tp>
      <tp t="e">
        <v>#N/A</v>
        <stp/>
        <stp>BDH|125825734138180906</stp>
        <tr r="X31" s="10"/>
      </tp>
      <tp t="e">
        <v>#N/A</v>
        <stp/>
        <stp>BDH|136752033286232838</stp>
        <tr r="AK90" s="10"/>
      </tp>
      <tp t="e">
        <v>#N/A</v>
        <stp/>
        <stp>BDH|886523975540963811</stp>
        <tr r="G69" s="10"/>
      </tp>
      <tp t="e">
        <v>#N/A</v>
        <stp/>
        <stp>BDH|688614979763930808</stp>
        <tr r="G162" s="10"/>
      </tp>
      <tp t="e">
        <v>#N/A</v>
        <stp/>
        <stp>BDH|459861728922827259</stp>
        <tr r="P177" s="10"/>
      </tp>
      <tp t="e">
        <v>#N/A</v>
        <stp/>
        <stp>BDH|532751969498936307</stp>
        <tr r="AL6" s="10"/>
      </tp>
      <tp t="e">
        <v>#N/A</v>
        <stp/>
        <stp>BDH|490632612369338470</stp>
        <tr r="N29" s="10"/>
      </tp>
      <tp t="e">
        <v>#N/A</v>
        <stp/>
        <stp>BDH|326983627347882659</stp>
        <tr r="L107" s="10"/>
      </tp>
      <tp t="e">
        <v>#N/A</v>
        <stp/>
        <stp>BDH|133120154696573800</stp>
        <tr r="S60" s="10"/>
      </tp>
      <tp t="e">
        <v>#N/A</v>
        <stp/>
        <stp>BDH|855593992215812395</stp>
        <tr r="AK149" s="10"/>
      </tp>
      <tp t="e">
        <v>#N/A</v>
        <stp/>
        <stp>BDH|324297199707088603</stp>
        <tr r="AW164" s="10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'Portada RV'!$E$8</c:f>
              <c:strCache>
                <c:ptCount val="1"/>
                <c:pt idx="0">
                  <c:v>P&amp;L Realizado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'Portada RV'!$B$9:$B$10</c:f>
              <c:strCache>
                <c:ptCount val="2"/>
                <c:pt idx="0">
                  <c:v>PEN</c:v>
                </c:pt>
                <c:pt idx="1">
                  <c:v>USD</c:v>
                </c:pt>
              </c:strCache>
            </c:strRef>
          </c:cat>
          <c:val>
            <c:numRef>
              <c:f>'Portada RV'!$E$9:$E$10</c:f>
              <c:numCache>
                <c:formatCode>#,##0</c:formatCode>
                <c:ptCount val="2"/>
                <c:pt idx="0">
                  <c:v>43711.249999999985</c:v>
                </c:pt>
                <c:pt idx="1">
                  <c:v>183413.15152700007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95-4CA7-9203-65D87FE10F31}"/>
            </c:ext>
          </c:extLst>
        </c:ser>
        <c:ser>
          <c:idx val="2"/>
          <c:order val="1"/>
          <c:tx>
            <c:strRef>
              <c:f>'Portada RV'!$F$8</c:f>
              <c:strCache>
                <c:ptCount val="1"/>
                <c:pt idx="0">
                  <c:v>P&amp;L No Realizado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'Portada RV'!$B$9:$B$10</c:f>
              <c:strCache>
                <c:ptCount val="2"/>
                <c:pt idx="0">
                  <c:v>PEN</c:v>
                </c:pt>
                <c:pt idx="1">
                  <c:v>USD</c:v>
                </c:pt>
              </c:strCache>
            </c:strRef>
          </c:cat>
          <c:val>
            <c:numRef>
              <c:f>'Portada RV'!$F$9:$F$10</c:f>
              <c:numCache>
                <c:formatCode>#,##0</c:formatCode>
                <c:ptCount val="2"/>
                <c:pt idx="0">
                  <c:v>396362.08847599983</c:v>
                </c:pt>
                <c:pt idx="1">
                  <c:v>-53536.383428000117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95-4CA7-9203-65D87FE10F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65522207"/>
        <c:axId val="1065524127"/>
      </c:barChart>
      <c:catAx>
        <c:axId val="1065522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65524127"/>
        <c:crosses val="autoZero"/>
        <c:auto val="1"/>
        <c:lblAlgn val="ctr"/>
        <c:lblOffset val="100"/>
        <c:noMultiLvlLbl val="0"/>
      </c:catAx>
      <c:valAx>
        <c:axId val="106552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6552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0">
          <a:solidFill>
            <a:sysClr val="windowText" lastClr="000000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386379</xdr:colOff>
      <xdr:row>4</xdr:row>
      <xdr:rowOff>52891</xdr:rowOff>
    </xdr:from>
    <xdr:to>
      <xdr:col>20</xdr:col>
      <xdr:colOff>662983</xdr:colOff>
      <xdr:row>8</xdr:row>
      <xdr:rowOff>167521</xdr:rowOff>
    </xdr:to>
    <xdr:pic>
      <xdr:nvPicPr>
        <xdr:cNvPr id="2" name="Imagen 1" descr="Somos un modelo de gestión financiera del más alto nivel">
          <a:extLst>
            <a:ext uri="{FF2B5EF4-FFF2-40B4-BE49-F238E27FC236}">
              <a16:creationId xmlns:a16="http://schemas.microsoft.com/office/drawing/2014/main" id="{3C4506E9-6D50-4EB2-88C8-37EA6CD38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8539" y="723451"/>
          <a:ext cx="2654044" cy="846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3</xdr:row>
      <xdr:rowOff>64321</xdr:rowOff>
    </xdr:from>
    <xdr:to>
      <xdr:col>12</xdr:col>
      <xdr:colOff>683938</xdr:colOff>
      <xdr:row>8</xdr:row>
      <xdr:rowOff>98941</xdr:rowOff>
    </xdr:to>
    <xdr:pic>
      <xdr:nvPicPr>
        <xdr:cNvPr id="2" name="Imagen 1" descr="Somos un modelo de gestión financiera del más alto nivel">
          <a:extLst>
            <a:ext uri="{FF2B5EF4-FFF2-40B4-BE49-F238E27FC236}">
              <a16:creationId xmlns:a16="http://schemas.microsoft.com/office/drawing/2014/main" id="{8BD92B4D-B39B-45F0-A6CA-4B29C1B04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9885" y="742501"/>
          <a:ext cx="3013753" cy="876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754380</xdr:colOff>
      <xdr:row>15</xdr:row>
      <xdr:rowOff>22860</xdr:rowOff>
    </xdr:from>
    <xdr:to>
      <xdr:col>5</xdr:col>
      <xdr:colOff>76200</xdr:colOff>
      <xdr:row>28</xdr:row>
      <xdr:rowOff>116990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17E600-E065-83D3-9443-28BD06B8B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4DC20-27F5-404F-A52B-7D6A454DB836}" name="Tabla1" displayName="Tabla1" ref="A1:O153" totalsRowShown="0" headerRowDxfId="53" dataDxfId="52">
  <autoFilter ref="A1:O153" xr:uid="{9334DC20-27F5-404F-A52B-7D6A454DB836}"/>
  <sortState xmlns:xlrd2="http://schemas.microsoft.com/office/spreadsheetml/2017/richdata2" ref="A2:O153">
    <sortCondition ref="B1:B153"/>
  </sortState>
  <tableColumns count="15">
    <tableColumn id="23" xr3:uid="{46B0C534-F8D4-45F2-9B8D-D094171019E8}" name="Stock" dataDxfId="51">
      <calculatedColumnFormula>+IF(COUNTIF(Tabla2[Cod_ope],Tabla1[[#This Row],[Cod_Ope]])&gt;0,"out","stock")</calculatedColumnFormula>
    </tableColumn>
    <tableColumn id="1" xr3:uid="{BED241A0-9D38-4682-8511-A1A1FF5B3684}" name="Fecha de compra" dataDxfId="50"/>
    <tableColumn id="2" xr3:uid="{336116DB-14F6-4F03-8EDC-2FC0E52C750D}" name="Cliente" dataDxfId="49"/>
    <tableColumn id="3" xr3:uid="{3007EDDC-8F94-4FBB-8B7C-E3D55B673768}" name="Ticker" dataDxfId="48"/>
    <tableColumn id="10" xr3:uid="{AF65D3A3-96A0-4833-BF0F-5C35CFAB3D17}" name="ISIN" dataDxfId="47"/>
    <tableColumn id="5" xr3:uid="{7F121537-14A0-4846-A3FC-3F7009BB37F6}" name="Moneda" dataDxfId="46">
      <calculatedColumnFormula array="1">_xll.BDP(G2,"DS004")</calculatedColumnFormula>
    </tableColumn>
    <tableColumn id="6" xr3:uid="{C204F6AC-A1A1-4602-805D-C9F83441E935}" name="Identificador" dataDxfId="45"/>
    <tableColumn id="7" xr3:uid="{B90F6189-B45B-4F6C-97E1-AF57458D2BCA}" name="Nombre" dataDxfId="44">
      <calculatedColumnFormula>+_xll.BDP($G2,"Name")</calculatedColumnFormula>
    </tableColumn>
    <tableColumn id="12" xr3:uid="{60D4BDE5-2CE3-4DEC-BD38-538F1A5B8F19}" name="Cod_Ope" dataDxfId="43">
      <calculatedColumnFormula>+_xlfn.CONCAT(Tabla1[[#This Row],[Fecha de compra]],Tabla1[[#This Row],[Ticker]],Tabla1[[#This Row],[Q]])</calculatedColumnFormula>
    </tableColumn>
    <tableColumn id="8" xr3:uid="{AD111EEC-BAC7-45A5-A329-06C6EB7EF8FD}" name="Q" dataDxfId="42" dataCellStyle="Millares"/>
    <tableColumn id="9" xr3:uid="{A0A57D63-352B-4DB5-A66D-75A19FDEEFF8}" name="P" dataDxfId="41"/>
    <tableColumn id="24" xr3:uid="{82D96768-A7FE-4E8B-84B2-BB7ACA2DD89E}" name="Monto compra" dataDxfId="40" dataCellStyle="Millares">
      <calculatedColumnFormula>+Tabla1[[#This Row],[Q]]*Tabla1[[#This Row],[P]]</calculatedColumnFormula>
    </tableColumn>
    <tableColumn id="27" xr3:uid="{DD780F56-2578-4737-A5C8-C37A7B8F16D7}" name="P&amp;L %" dataDxfId="39" dataCellStyle="Porcentaje">
      <calculatedColumnFormula>+VLOOKUP(Tabla1[[#This Row],[Identificador]],'P&amp;L Total'!A:L,12,FALSE)</calculatedColumnFormula>
    </tableColumn>
    <tableColumn id="4" xr3:uid="{E9C4BD2D-4059-475C-BE17-A30FB10DD30C}" name="Fecha Liquidación" dataDxfId="38">
      <calculatedColumnFormula>WORKDAY(Tabla1[[#This Row],[Fecha de compra]],0)</calculatedColumnFormula>
    </tableColumn>
    <tableColumn id="11" xr3:uid="{D1076688-65FA-4DAE-9488-255E4E061304}" name="Status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1E2FD4-CB65-4C16-A80F-53B92F65ADE4}" name="Tabla2" displayName="Tabla2" ref="A1:L48" totalsRowShown="0" headerRowDxfId="36" headerRowBorderDxfId="35" tableBorderDxfId="34">
  <autoFilter ref="A1:L48" xr:uid="{E11E2FD4-CB65-4C16-A80F-53B92F65ADE4}"/>
  <sortState xmlns:xlrd2="http://schemas.microsoft.com/office/spreadsheetml/2017/richdata2" ref="A2:L26">
    <sortCondition ref="A1:A26"/>
  </sortState>
  <tableColumns count="12">
    <tableColumn id="1" xr3:uid="{7C12677D-8D43-435B-8236-DA48BBD19E3A}" name="Fecha de Venta" dataDxfId="33" totalsRowDxfId="32"/>
    <tableColumn id="2" xr3:uid="{FA78E98A-CAEA-40DB-A988-F103E38B118E}" name="Cliente" dataDxfId="31" totalsRowDxfId="30"/>
    <tableColumn id="3" xr3:uid="{3C67706B-BD90-4FEA-839A-2CAF7EA53E02}" name="Ticker" dataDxfId="29" totalsRowDxfId="28"/>
    <tableColumn id="4" xr3:uid="{A40A4544-97A4-4D0A-9AE1-B4B56ABDDB8B}" name="ISIN" dataDxfId="27" totalsRowDxfId="26">
      <calculatedColumnFormula>+VLOOKUP(C2,Tabla1[[#All],[Ticker]:[Nombre]],2,FALSE)</calculatedColumnFormula>
    </tableColumn>
    <tableColumn id="5" xr3:uid="{A120FD17-00BF-4464-9099-93FF810EC75F}" name="Moneda" dataDxfId="25" totalsRowDxfId="24">
      <calculatedColumnFormula>+VLOOKUP(C2,Tabla1[[#All],[Ticker]:[Nombre]],3,FALSE)</calculatedColumnFormula>
    </tableColumn>
    <tableColumn id="6" xr3:uid="{132E3029-839B-48E2-8947-4A66A5631CC8}" name="Identificador" dataDxfId="23" totalsRowDxfId="22">
      <calculatedColumnFormula>+VLOOKUP(C2,Tabla1[[#All],[Ticker]:[Nombre]],4,FALSE)</calculatedColumnFormula>
    </tableColumn>
    <tableColumn id="7" xr3:uid="{4DB9E196-8085-4DDE-B9BE-B697B3A596EA}" name="Nombre" dataDxfId="21" totalsRowDxfId="20">
      <calculatedColumnFormula>+_xll.BDP($F2,"Name")</calculatedColumnFormula>
    </tableColumn>
    <tableColumn id="8" xr3:uid="{9CD9C322-B4CC-4224-BB61-15E54020B9A9}" name="Q" dataDxfId="19" totalsRowDxfId="18" dataCellStyle="Millares" totalsRowCellStyle="Millares"/>
    <tableColumn id="9" xr3:uid="{5FFB6EC3-88F3-4CCD-9B7E-6976243303B1}" name="P" dataDxfId="17" totalsRowDxfId="16"/>
    <tableColumn id="12" xr3:uid="{2DD91073-4828-4B6D-AF23-0D7E4C47F4B7}" name="Monto_venta" dataDxfId="15" totalsRowDxfId="14">
      <calculatedColumnFormula>+Tabla2[[#This Row],[Q]]*Tabla2[[#This Row],[P]]</calculatedColumnFormula>
    </tableColumn>
    <tableColumn id="10" xr3:uid="{C7113522-BA6D-459D-BD24-1A997A52FE96}" name="Cod_ope" dataDxfId="13" totalsRowDxfId="12">
      <calculatedColumnFormula>+_xlfn.CONCAT(Tabla1[[#This Row],[Fecha de compra]],Tabla1[[#This Row],[Ticker]],Tabla1[[#This Row],[Q]])</calculatedColumnFormula>
    </tableColumn>
    <tableColumn id="11" xr3:uid="{C1B49B00-A2A1-4E60-9210-AADA9AC3062C}" name="P&amp;L" dataDxfId="11" totalsRowDxfId="10" dataCellStyle="Millares" totalsRowCellStyle="Millares">
      <calculatedColumnFormula>+Tabla2[[#This Row],[Q]]*Tabla2[[#This Row],[P]]-VLOOKUP(Tabla2[[#This Row],[Cod_ope]],Tabla1[[Cod_Ope]:[Monto compra]],4,)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4E20CF-28EE-4AC8-8B12-EA14395A166D}" name="Tabla3" displayName="Tabla3" ref="A1:J32" totalsRowShown="0" headerRowDxfId="9" headerRowBorderDxfId="8" tableBorderDxfId="7">
  <autoFilter ref="A1:J32" xr:uid="{BA4E20CF-28EE-4AC8-8B12-EA14395A166D}"/>
  <tableColumns count="10">
    <tableColumn id="1" xr3:uid="{0E3424E7-0DED-4032-B3A4-D2A90305A9C7}" name="Fecha de pago"/>
    <tableColumn id="2" xr3:uid="{B97CD6FF-0E68-446F-ABC8-7AA1E355E228}" name="Cliente" dataDxfId="6"/>
    <tableColumn id="3" xr3:uid="{FA89E066-050A-488B-8927-EF7CE3D45D28}" name="Ticker" dataDxfId="5"/>
    <tableColumn id="10" xr3:uid="{11F92752-C935-4575-8F7F-EEC27D39E61C}" name="Identificador" dataDxfId="4">
      <calculatedColumnFormula>+VLOOKUP(Tabla3[[#This Row],[Ticker]],Tabla1[[Ticker]:[Identificador]],4,FALSE)</calculatedColumnFormula>
    </tableColumn>
    <tableColumn id="4" xr3:uid="{2FF626A1-3C52-4CA9-B65B-B565F71DEAC6}" name="Stock " dataDxfId="3"/>
    <tableColumn id="5" xr3:uid="{28223CB2-1E77-4E70-AD0F-F0A49627AAAB}" name="Factor"/>
    <tableColumn id="6" xr3:uid="{56DDBD75-C077-47AD-A26E-7A11B53B3838}" name="Total">
      <calculatedColumnFormula>+E2*F2</calculatedColumnFormula>
    </tableColumn>
    <tableColumn id="7" xr3:uid="{9470C48F-0863-4686-92FC-862893AED403}" name="Moneda DV" dataDxfId="2"/>
    <tableColumn id="8" xr3:uid="{5678D6E4-37E2-4116-87B1-164A00075A7C}" name="Moneda Stock" dataDxfId="1">
      <calculatedColumnFormula>+VLOOKUP(C2,Tabla1[[#All],[Ticker]:[Moneda]],3,FALSE)</calculatedColumnFormula>
    </tableColumn>
    <tableColumn id="9" xr3:uid="{A051E08D-4E24-4FBA-9770-EE21B7217587}" name="Monto_mon_ins" dataDxfId="0">
      <calculatedColumnFormula>+IF(H2=I2,G2,G2*3.4)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mendoza@grupocoril.com" TargetMode="External"/><Relationship Id="rId2" Type="http://schemas.openxmlformats.org/officeDocument/2006/relationships/hyperlink" Target="mailto:jortegar@grupocoril.com" TargetMode="External"/><Relationship Id="rId1" Type="http://schemas.openxmlformats.org/officeDocument/2006/relationships/hyperlink" Target="mailto:njarufe@grupocor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DA3D-2EE0-48CA-87C4-FB541B5B8499}">
  <sheetPr codeName="Hoja1">
    <tabColor rgb="FF156082"/>
  </sheetPr>
  <dimension ref="A1:G20"/>
  <sheetViews>
    <sheetView showGridLines="0" zoomScale="85" zoomScaleNormal="85" workbookViewId="0">
      <selection activeCell="E50" sqref="E50"/>
    </sheetView>
  </sheetViews>
  <sheetFormatPr baseColWidth="10" defaultColWidth="11.44140625" defaultRowHeight="14.4"/>
  <sheetData>
    <row r="1" spans="1:7" ht="6" customHeight="1"/>
    <row r="2" spans="1:7" s="54" customFormat="1" ht="13.8">
      <c r="A2" s="53"/>
      <c r="B2" s="54" t="s">
        <v>0</v>
      </c>
      <c r="G2" s="55"/>
    </row>
    <row r="3" spans="1:7" s="58" customFormat="1" ht="24.6">
      <c r="A3" s="56"/>
      <c r="B3" s="57" t="s">
        <v>1</v>
      </c>
      <c r="G3" s="59"/>
    </row>
    <row r="4" spans="1:7" ht="8.4" customHeight="1"/>
    <row r="5" spans="1:7">
      <c r="B5" s="60" t="s">
        <v>2</v>
      </c>
    </row>
    <row r="7" spans="1:7">
      <c r="B7" t="s">
        <v>3</v>
      </c>
    </row>
    <row r="8" spans="1:7">
      <c r="F8" t="s">
        <v>4</v>
      </c>
    </row>
    <row r="9" spans="1:7">
      <c r="F9" t="s">
        <v>5</v>
      </c>
    </row>
    <row r="10" spans="1:7">
      <c r="F10" s="61" t="s">
        <v>6</v>
      </c>
    </row>
    <row r="12" spans="1:7">
      <c r="B12" t="s">
        <v>7</v>
      </c>
    </row>
    <row r="13" spans="1:7">
      <c r="F13" t="s">
        <v>8</v>
      </c>
    </row>
    <row r="14" spans="1:7">
      <c r="F14" t="s">
        <v>9</v>
      </c>
    </row>
    <row r="15" spans="1:7">
      <c r="F15" s="61" t="s">
        <v>10</v>
      </c>
    </row>
    <row r="17" spans="2:6">
      <c r="B17" t="s">
        <v>11</v>
      </c>
    </row>
    <row r="18" spans="2:6">
      <c r="F18" t="s">
        <v>12</v>
      </c>
    </row>
    <row r="19" spans="2:6">
      <c r="F19" t="s">
        <v>13</v>
      </c>
    </row>
    <row r="20" spans="2:6">
      <c r="F20" s="61" t="s">
        <v>14</v>
      </c>
    </row>
  </sheetData>
  <hyperlinks>
    <hyperlink ref="F15" r:id="rId1" xr:uid="{453B7D6C-575E-43A5-81C1-1273C2469942}"/>
    <hyperlink ref="F20" r:id="rId2" xr:uid="{EF367F07-BB5E-4FC3-A05E-ACF11B0E7434}"/>
    <hyperlink ref="F10" r:id="rId3" xr:uid="{59DDEABF-6721-4082-9BF9-D04039D551BA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C2B4-7D32-4871-ABB9-C1F281AC1948}">
  <sheetPr codeName="Hoja8">
    <tabColor rgb="FF156082"/>
  </sheetPr>
  <dimension ref="A1:I19"/>
  <sheetViews>
    <sheetView showGridLines="0" tabSelected="1" zoomScaleNormal="100" workbookViewId="0">
      <selection activeCell="C14" sqref="C14"/>
    </sheetView>
  </sheetViews>
  <sheetFormatPr baseColWidth="10" defaultRowHeight="14.4"/>
  <cols>
    <col min="2" max="2" width="28.44140625" customWidth="1"/>
    <col min="3" max="3" width="17.44140625" customWidth="1"/>
    <col min="4" max="4" width="17.33203125" style="65" customWidth="1"/>
    <col min="5" max="5" width="17.33203125" customWidth="1"/>
    <col min="6" max="6" width="15.109375" customWidth="1"/>
    <col min="7" max="7" width="16.44140625" customWidth="1"/>
    <col min="8" max="8" width="15.109375" customWidth="1"/>
  </cols>
  <sheetData>
    <row r="1" spans="1:9" ht="14.4" customHeight="1"/>
    <row r="2" spans="1:9" s="54" customFormat="1" ht="14.4" customHeight="1">
      <c r="A2" s="53"/>
      <c r="B2" s="54" t="s">
        <v>0</v>
      </c>
      <c r="D2" s="66"/>
      <c r="G2" s="55"/>
    </row>
    <row r="3" spans="1:9" s="58" customFormat="1" ht="24.6">
      <c r="A3" s="56"/>
      <c r="B3" s="57" t="s">
        <v>204</v>
      </c>
      <c r="D3" s="67"/>
      <c r="G3" s="59"/>
    </row>
    <row r="4" spans="1:9" ht="8.4" customHeight="1">
      <c r="D4" s="68"/>
    </row>
    <row r="5" spans="1:9">
      <c r="B5" t="s">
        <v>201</v>
      </c>
      <c r="C5">
        <v>3.7</v>
      </c>
      <c r="D5" s="68"/>
      <c r="G5" t="s">
        <v>202</v>
      </c>
    </row>
    <row r="6" spans="1:9">
      <c r="B6" s="54" t="s">
        <v>203</v>
      </c>
      <c r="C6" s="13">
        <f ca="1">+TODAY()-1</f>
        <v>46091</v>
      </c>
      <c r="D6" s="68"/>
    </row>
    <row r="7" spans="1:9">
      <c r="B7" s="54"/>
      <c r="C7" s="13"/>
      <c r="D7" s="68"/>
    </row>
    <row r="8" spans="1:9" ht="15" thickBot="1">
      <c r="C8" s="69" t="s">
        <v>206</v>
      </c>
      <c r="D8" s="69" t="s">
        <v>207</v>
      </c>
      <c r="E8" s="69" t="s">
        <v>208</v>
      </c>
      <c r="F8" s="69" t="s">
        <v>209</v>
      </c>
      <c r="G8" s="69" t="s">
        <v>23</v>
      </c>
      <c r="H8" s="69" t="s">
        <v>214</v>
      </c>
    </row>
    <row r="9" spans="1:9">
      <c r="A9" s="70"/>
      <c r="B9" t="s">
        <v>205</v>
      </c>
      <c r="C9" s="71">
        <f>+SUMIF(Stock!C:C,'Portada RV'!$B9,Stock!J:J)</f>
        <v>2007058.1800000004</v>
      </c>
      <c r="D9" s="71">
        <f>+SUMIF('P&amp;L Total'!$C:$C,'Portada RV'!$B9,'P&amp;L Total'!K:K)</f>
        <v>440073.33847599983</v>
      </c>
      <c r="E9" s="71">
        <f>+SUMIF(Ventas!E:E,'Portada RV'!B9,Ventas!L:L)</f>
        <v>43711.249999999985</v>
      </c>
      <c r="F9" s="71">
        <f>+D9-E9</f>
        <v>396362.08847599983</v>
      </c>
      <c r="G9" s="71">
        <f>+SUMIF('P&amp;L Total'!C:C,'Portada RV'!B9,'P&amp;L Total'!I:I)</f>
        <v>50329.098475999999</v>
      </c>
      <c r="H9" s="76">
        <f>D9/C9</f>
        <v>0.21926287083317123</v>
      </c>
      <c r="I9" s="72"/>
    </row>
    <row r="10" spans="1:9">
      <c r="A10" s="73"/>
      <c r="B10" t="s">
        <v>177</v>
      </c>
      <c r="C10" s="71">
        <f>+SUMIF(Stock!C:C,'Portada RV'!$B10,Stock!J:J)</f>
        <v>6133797.7310280008</v>
      </c>
      <c r="D10" s="71">
        <f>+SUMIF('P&amp;L Total'!$C:$C,'Portada RV'!$B10,'P&amp;L Total'!K:K)</f>
        <v>129876.76809899995</v>
      </c>
      <c r="E10" s="71">
        <f>+SUMIF(Ventas!E:E,'Portada RV'!B10,Ventas!L:L)</f>
        <v>183413.15152700007</v>
      </c>
      <c r="F10" s="71">
        <f>+D10-E10</f>
        <v>-53536.383428000117</v>
      </c>
      <c r="G10" s="71">
        <f>+SUMIF('P&amp;L Total'!C:C,'Portada RV'!B10,'P&amp;L Total'!I:I)</f>
        <v>18849.479200000005</v>
      </c>
      <c r="H10" s="76">
        <f>D10/C10</f>
        <v>2.1173956787328412E-2</v>
      </c>
      <c r="I10" s="72"/>
    </row>
    <row r="11" spans="1:9">
      <c r="A11" s="73"/>
      <c r="C11" s="71">
        <f>+C10+C9/C5</f>
        <v>6676245.8877847577</v>
      </c>
      <c r="D11" s="71"/>
      <c r="E11" s="71">
        <f>+E10+E9/C5</f>
        <v>195227.00287835143</v>
      </c>
      <c r="F11" s="71">
        <f>+F10+F9/3.7</f>
        <v>53588.505349297135</v>
      </c>
      <c r="G11" s="71"/>
      <c r="I11" s="72"/>
    </row>
    <row r="12" spans="1:9">
      <c r="B12" t="s">
        <v>210</v>
      </c>
      <c r="C12" s="71">
        <f>+SUMIFS(Compras!L:L,Compras!O:O,"Pendiente",Compras!F:F,"PEN")</f>
        <v>0</v>
      </c>
      <c r="D12" s="71"/>
      <c r="E12" s="71"/>
      <c r="F12" s="71"/>
      <c r="G12" s="71"/>
    </row>
    <row r="13" spans="1:9">
      <c r="B13" t="s">
        <v>211</v>
      </c>
      <c r="C13" s="71">
        <f ca="1">+SUMIFS(Ventas!J:J,Ventas!A:A,'Portada RV'!C6,Ventas!E:E,"PEN")</f>
        <v>0</v>
      </c>
      <c r="D13" s="71"/>
      <c r="E13" s="71"/>
      <c r="F13" s="71"/>
      <c r="G13" s="71"/>
    </row>
    <row r="14" spans="1:9">
      <c r="B14" t="s">
        <v>212</v>
      </c>
      <c r="C14" s="71">
        <f>+SUMIFS(Compras!L:L,Compras!O:O,"Pendiente",Compras!F:F,"USD")</f>
        <v>99140.678</v>
      </c>
      <c r="D14" s="71"/>
      <c r="E14" s="71"/>
      <c r="F14" s="71"/>
      <c r="G14" s="71"/>
    </row>
    <row r="15" spans="1:9">
      <c r="B15" t="s">
        <v>213</v>
      </c>
      <c r="C15" s="71">
        <f ca="1">+SUMIFS(Ventas!J:J,Ventas!A:A,'Portada RV'!C6,Ventas!E:E,"USD")</f>
        <v>106656.36799999999</v>
      </c>
      <c r="D15" s="71"/>
      <c r="E15" s="74"/>
      <c r="F15" s="74"/>
      <c r="G15" s="74"/>
      <c r="H15" s="74"/>
    </row>
    <row r="16" spans="1:9">
      <c r="D16" s="68"/>
      <c r="I16" s="77"/>
    </row>
    <row r="17" spans="4:4">
      <c r="D17" s="75"/>
    </row>
    <row r="18" spans="4:4">
      <c r="D18" s="68"/>
    </row>
    <row r="19" spans="4:4">
      <c r="D19" s="6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B104-AD00-4DCC-BB73-835EA1338879}">
  <sheetPr codeName="Hoja2">
    <tabColor rgb="FFA6C9EC"/>
  </sheetPr>
  <dimension ref="A1:L58"/>
  <sheetViews>
    <sheetView showGridLines="0" topLeftCell="A25" zoomScale="70" zoomScaleNormal="70" workbookViewId="0">
      <selection activeCell="A58" sqref="A58"/>
    </sheetView>
  </sheetViews>
  <sheetFormatPr baseColWidth="10" defaultColWidth="9.109375" defaultRowHeight="14.4" outlineLevelCol="1"/>
  <cols>
    <col min="1" max="1" width="19.33203125" customWidth="1" outlineLevel="1"/>
    <col min="2" max="2" width="32" bestFit="1" customWidth="1"/>
    <col min="3" max="3" width="11.5546875" customWidth="1"/>
    <col min="4" max="4" width="16.33203125" style="28" customWidth="1" outlineLevel="1"/>
    <col min="5" max="5" width="14.33203125" style="29" customWidth="1" outlineLevel="1"/>
    <col min="6" max="6" width="14.6640625" style="29" customWidth="1" outlineLevel="1"/>
    <col min="7" max="7" width="15.88671875" style="6" customWidth="1"/>
    <col min="8" max="8" width="12.109375" style="6" customWidth="1"/>
    <col min="9" max="9" width="14.6640625" style="6" customWidth="1"/>
    <col min="10" max="10" width="18.88671875" style="6" customWidth="1"/>
    <col min="11" max="11" width="14.33203125" style="6" customWidth="1" collapsed="1"/>
    <col min="12" max="12" width="13.109375" style="6" customWidth="1"/>
  </cols>
  <sheetData>
    <row r="1" spans="1:12">
      <c r="A1" s="8" t="s">
        <v>15</v>
      </c>
      <c r="B1" s="31" t="s">
        <v>16</v>
      </c>
      <c r="C1" s="32" t="s">
        <v>17</v>
      </c>
      <c r="D1" s="33" t="s">
        <v>18</v>
      </c>
      <c r="E1" s="34" t="s">
        <v>19</v>
      </c>
      <c r="F1" s="34" t="s">
        <v>20</v>
      </c>
      <c r="G1" s="35" t="s">
        <v>21</v>
      </c>
      <c r="H1" s="36" t="s">
        <v>22</v>
      </c>
      <c r="I1" s="36" t="s">
        <v>23</v>
      </c>
      <c r="J1" s="35" t="s">
        <v>24</v>
      </c>
      <c r="K1" s="32" t="s">
        <v>25</v>
      </c>
      <c r="L1" s="33" t="s">
        <v>26</v>
      </c>
    </row>
    <row r="2" spans="1:12">
      <c r="A2" t="str" cm="1">
        <f t="array" ref="A2:A58">+_xlfn.UNIQUE(Tabla1[Identificador])</f>
        <v>ITUB US Equity</v>
      </c>
      <c r="B2" s="37" t="str">
        <f>+_xll.BDP($A2,"Name")</f>
        <v>ITAU UNIBANCO H-SPON PRF ADR</v>
      </c>
      <c r="C2" s="38" t="str">
        <f>+INDEX(Tabla1[Moneda],MATCH('P&amp;L Total'!A2,Tabla1[Identificador],0))</f>
        <v>USD</v>
      </c>
      <c r="D2" s="28" t="str" cm="1">
        <f t="array" ref="D2">+IF(F2=0,"",_xll.BDP(A2,"PX_LAST"))</f>
        <v/>
      </c>
      <c r="E2" s="30">
        <v>0</v>
      </c>
      <c r="F2" s="30">
        <f>SUMIFS(
 Tabla1[Q],
 Tabla1[Identificador],A2,
 Tabla1[Stock],"stock"
)</f>
        <v>0</v>
      </c>
      <c r="G2" s="39">
        <f>SUMIFS(
 Tabla1[Monto compra],
 Tabla1[Identificador],A2
)</f>
        <v>39868.251499999998</v>
      </c>
      <c r="H2" s="39">
        <f>SUMIFS(
 Tabla2[Monto_venta],
 Tabla2[Identificador],A2
)</f>
        <v>46039.9205</v>
      </c>
      <c r="I2" s="39">
        <f>+IFERROR(VLOOKUP(A2,Tabla3[[#All],[Identificador]:[Monto_mon_ins]],7,FALSE),"")</f>
        <v>18.655349999999999</v>
      </c>
      <c r="J2" s="39" t="str">
        <f t="shared" ref="J2:J42" si="0">+IFERROR(D2*F2,"")</f>
        <v/>
      </c>
      <c r="K2" s="40">
        <f>+IF(J2="",0,J2)-G2+H2+IF(I2="",0,I2)</f>
        <v>6190.3243500000017</v>
      </c>
      <c r="L2" s="41">
        <f t="shared" ref="L2:L42" si="1">+K2/G2</f>
        <v>0.15526952191520116</v>
      </c>
    </row>
    <row r="3" spans="1:12">
      <c r="A3" t="str">
        <v>EEM US Equity</v>
      </c>
      <c r="B3" s="37" t="str">
        <f>+_xll.BDP($A3,"Name")</f>
        <v>ISHARES MSCI EMERGING MARKET</v>
      </c>
      <c r="C3" s="38" t="str">
        <f>+INDEX(Tabla1[Moneda],MATCH('P&amp;L Total'!A3,Tabla1[Identificador],0))</f>
        <v>USD</v>
      </c>
      <c r="D3" s="28" cm="1">
        <f t="array" ref="D3">+IF(F3=0,"",_xll.BDP(A3,"PX_LAST"))</f>
        <v>58.68</v>
      </c>
      <c r="E3" s="30">
        <v>0</v>
      </c>
      <c r="F3" s="30">
        <f>SUMIFS(
 Tabla1[Q],
 Tabla1[Identificador],A3,
 Tabla1[Stock],"stock"
)</f>
        <v>4425</v>
      </c>
      <c r="G3" s="39">
        <f>SUMIFS(
 Tabla1[Monto compra],
 Tabla1[Identificador],A3
)</f>
        <v>239499.38640000002</v>
      </c>
      <c r="H3" s="39">
        <f>SUMIFS(
 Tabla2[Monto_venta],
 Tabla2[Identificador],A3
)</f>
        <v>0</v>
      </c>
      <c r="I3" s="39">
        <f>+IFERROR(VLOOKUP(A3,Tabla3[[#All],[Identificador]:[Monto_mon_ins]],7,FALSE),"")</f>
        <v>3377.4255000000003</v>
      </c>
      <c r="J3" s="39">
        <f t="shared" si="0"/>
        <v>259659</v>
      </c>
      <c r="K3" s="40">
        <f t="shared" ref="K3:K42" si="2">+IF(J3="",0,J3)-G3+H3+IF(I3="",0,I3)</f>
        <v>23537.039099999984</v>
      </c>
      <c r="L3" s="41">
        <f t="shared" si="1"/>
        <v>9.8275989153014304E-2</v>
      </c>
    </row>
    <row r="4" spans="1:12">
      <c r="A4" t="str">
        <v>XLU US Equity</v>
      </c>
      <c r="B4" s="37" t="str">
        <f>+_xll.BDP($A4,"Name")</f>
        <v>ST SR UTL SL SE SPDR ETF-USD</v>
      </c>
      <c r="C4" s="38" t="str">
        <f>+INDEX(Tabla1[Moneda],MATCH('P&amp;L Total'!A4,Tabla1[Identificador],0))</f>
        <v>USD</v>
      </c>
      <c r="D4" s="28" cm="1">
        <f t="array" ref="D4">+IF(F4=0,"",_xll.BDP(A4,"PX_LAST"))</f>
        <v>46.56</v>
      </c>
      <c r="E4" s="30">
        <v>0</v>
      </c>
      <c r="F4" s="30">
        <f>SUMIFS(
 Tabla1[Q],
 Tabla1[Identificador],A4,
 Tabla1[Stock],"stock"
)</f>
        <v>4123</v>
      </c>
      <c r="G4" s="39">
        <f>SUMIFS(
 Tabla1[Monto compra],
 Tabla1[Identificador],A4
)</f>
        <v>179688.6177</v>
      </c>
      <c r="H4" s="39">
        <f>SUMIFS(
 Tabla2[Monto_venta],
 Tabla2[Identificador],A4
)</f>
        <v>0</v>
      </c>
      <c r="I4" s="39">
        <f>+IFERROR(VLOOKUP(A4,Tabla3[[#All],[Identificador]:[Monto_mon_ins]],7,FALSE),"")</f>
        <v>531.46079999999995</v>
      </c>
      <c r="J4" s="39">
        <f t="shared" si="0"/>
        <v>191966.88</v>
      </c>
      <c r="K4" s="40">
        <f t="shared" si="2"/>
        <v>12809.723100000003</v>
      </c>
      <c r="L4" s="41">
        <f t="shared" si="1"/>
        <v>7.1288450342394741E-2</v>
      </c>
    </row>
    <row r="5" spans="1:12">
      <c r="A5" t="str">
        <v>XLI US Equity</v>
      </c>
      <c r="B5" s="37" t="str">
        <f>+_xll.BDP($A5,"Name")</f>
        <v>SS INDUSTRIAL SELECT SECTOR</v>
      </c>
      <c r="C5" s="38" t="str">
        <f>+INDEX(Tabla1[Moneda],MATCH('P&amp;L Total'!A5,Tabla1[Identificador],0))</f>
        <v>USD</v>
      </c>
      <c r="D5" s="28" cm="1">
        <f t="array" ref="D5">+IF(F5=0,"",_xll.BDP(A5,"PX_LAST"))</f>
        <v>170.02</v>
      </c>
      <c r="E5" s="30">
        <v>0</v>
      </c>
      <c r="F5" s="30">
        <f>SUMIFS(
 Tabla1[Q],
 Tabla1[Identificador],A5,
 Tabla1[Stock],"stock"
)</f>
        <v>810</v>
      </c>
      <c r="G5" s="39">
        <f>SUMIFS(
 Tabla1[Monto compra],
 Tabla1[Identificador],A5
)</f>
        <v>129806.40280000001</v>
      </c>
      <c r="H5" s="39">
        <f>SUMIFS(
 Tabla2[Monto_venta],
 Tabla2[Identificador],A5
)</f>
        <v>0</v>
      </c>
      <c r="I5" s="39">
        <f>+IFERROR(VLOOKUP(A5,Tabla3[[#All],[Identificador]:[Monto_mon_ins]],7,FALSE),"")</f>
        <v>331.27480000000003</v>
      </c>
      <c r="J5" s="39">
        <f t="shared" si="0"/>
        <v>137716.20000000001</v>
      </c>
      <c r="K5" s="40">
        <f t="shared" si="2"/>
        <v>8241.0720000000001</v>
      </c>
      <c r="L5" s="41">
        <f t="shared" si="1"/>
        <v>6.3487407571855142E-2</v>
      </c>
    </row>
    <row r="6" spans="1:12">
      <c r="A6" t="str">
        <v>XLY US Equity</v>
      </c>
      <c r="B6" s="37" t="str">
        <f>+_xll.BDP($A6,"Name")</f>
        <v>SS CONSUMER DISC SELECT SECT</v>
      </c>
      <c r="C6" s="38" t="str">
        <f>+INDEX(Tabla1[Moneda],MATCH('P&amp;L Total'!A6,Tabla1[Identificador],0))</f>
        <v>USD</v>
      </c>
      <c r="D6" s="28" cm="1">
        <f t="array" ref="D6">+IF(F6=0,"",_xll.BDP(A6,"PX_LAST"))</f>
        <v>114.44</v>
      </c>
      <c r="E6" s="30">
        <v>0</v>
      </c>
      <c r="F6" s="30">
        <f>SUMIFS(
 Tabla1[Q],
 Tabla1[Identificador],A6,
 Tabla1[Stock],"stock"
)</f>
        <v>1104</v>
      </c>
      <c r="G6" s="39">
        <f>SUMIFS(
 Tabla1[Monto compra],
 Tabla1[Identificador],A6
)</f>
        <v>129694.13</v>
      </c>
      <c r="H6" s="39">
        <f>SUMIFS(
 Tabla2[Monto_venta],
 Tabla2[Identificador],A6
)</f>
        <v>0</v>
      </c>
      <c r="I6" s="39">
        <f>+IFERROR(VLOOKUP(A6,Tabla3[[#All],[Identificador]:[Monto_mon_ins]],7,FALSE),"")</f>
        <v>142.54249999999999</v>
      </c>
      <c r="J6" s="39">
        <f t="shared" si="0"/>
        <v>126341.75999999999</v>
      </c>
      <c r="K6" s="40">
        <f t="shared" si="2"/>
        <v>-3209.8275000000099</v>
      </c>
      <c r="L6" s="41">
        <f t="shared" si="1"/>
        <v>-2.4749211857159687E-2</v>
      </c>
    </row>
    <row r="7" spans="1:12">
      <c r="A7" t="str">
        <v>PLTR US Equity</v>
      </c>
      <c r="B7" s="37" t="str">
        <f>+_xll.BDP($A7,"Name")</f>
        <v>PALANTIR TECHNOLOGIES INC-A</v>
      </c>
      <c r="C7" s="38" t="str">
        <f>+INDEX(Tabla1[Moneda],MATCH('P&amp;L Total'!A7,Tabla1[Identificador],0))</f>
        <v>USD</v>
      </c>
      <c r="D7" s="28" t="str" cm="1">
        <f t="array" ref="D7">+IF(F7=0,"",_xll.BDP(A7,"PX_LAST"))</f>
        <v/>
      </c>
      <c r="E7" s="30">
        <v>0</v>
      </c>
      <c r="F7" s="30">
        <f>SUMIFS(
 Tabla1[Q],
 Tabla1[Identificador],A7,
 Tabla1[Stock],"stock"
)</f>
        <v>0</v>
      </c>
      <c r="G7" s="39">
        <f>SUMIFS(
 Tabla1[Monto compra],
 Tabla1[Identificador],A7
)</f>
        <v>887987.61722599994</v>
      </c>
      <c r="H7" s="39">
        <f>SUMIFS(
 Tabla2[Monto_venta],
 Tabla2[Identificador],A7
)</f>
        <v>930751.5477</v>
      </c>
      <c r="I7" s="39" t="str">
        <f>+IFERROR(VLOOKUP(A7,Tabla3[[#All],[Identificador]:[Monto_mon_ins]],7,FALSE),"")</f>
        <v/>
      </c>
      <c r="J7" s="39" t="str">
        <f t="shared" si="0"/>
        <v/>
      </c>
      <c r="K7" s="40">
        <f t="shared" si="2"/>
        <v>42763.930474000052</v>
      </c>
      <c r="L7" s="41">
        <f t="shared" si="1"/>
        <v>4.8158250908487937E-2</v>
      </c>
    </row>
    <row r="8" spans="1:12">
      <c r="A8" t="str">
        <v>SPY US Equity</v>
      </c>
      <c r="B8" s="37" t="str">
        <f>+_xll.BDP($A8,"Name")</f>
        <v>SS SPDR S&amp;P 500 ETF TRUST-US</v>
      </c>
      <c r="C8" s="38" t="str">
        <f>+INDEX(Tabla1[Moneda],MATCH('P&amp;L Total'!A8,Tabla1[Identificador],0))</f>
        <v>USD</v>
      </c>
      <c r="D8" s="28" t="str" cm="1">
        <f t="array" ref="D8">+IF(F8=0,"",_xll.BDP(A8,"PX_LAST"))</f>
        <v/>
      </c>
      <c r="E8" s="30">
        <v>0</v>
      </c>
      <c r="F8" s="30">
        <f>SUMIFS(
 Tabla1[Q],
 Tabla1[Identificador],A8,
 Tabla1[Stock],"stock"
)</f>
        <v>0</v>
      </c>
      <c r="G8" s="39">
        <f>SUMIFS(
 Tabla1[Monto compra],
 Tabla1[Identificador],A8
)</f>
        <v>208990.905</v>
      </c>
      <c r="H8" s="39">
        <f>SUMIFS(
 Tabla2[Monto_venta],
 Tabla2[Identificador],A8
)</f>
        <v>216710.196</v>
      </c>
      <c r="I8" s="39" t="str">
        <f>+IFERROR(VLOOKUP(A8,Tabla3[[#All],[Identificador]:[Monto_mon_ins]],7,FALSE),"")</f>
        <v/>
      </c>
      <c r="J8" s="39" t="str">
        <f t="shared" si="0"/>
        <v/>
      </c>
      <c r="K8" s="40">
        <f t="shared" si="2"/>
        <v>7719.2909999999974</v>
      </c>
      <c r="L8" s="41">
        <f t="shared" si="1"/>
        <v>3.6936014033720738E-2</v>
      </c>
    </row>
    <row r="9" spans="1:12">
      <c r="A9" t="str">
        <v>FDX US Equity</v>
      </c>
      <c r="B9" s="37" t="str">
        <f>+_xll.BDP($A9,"Name")</f>
        <v>FEDEX CORP</v>
      </c>
      <c r="C9" s="38" t="str">
        <f>+INDEX(Tabla1[Moneda],MATCH('P&amp;L Total'!A9,Tabla1[Identificador],0))</f>
        <v>USD</v>
      </c>
      <c r="D9" s="28" cm="1">
        <f t="array" ref="D9">+IF(F9=0,"",_xll.BDP(A9,"PX_LAST"))</f>
        <v>359.47</v>
      </c>
      <c r="E9" s="30">
        <v>0</v>
      </c>
      <c r="F9" s="30">
        <f>SUMIFS(
 Tabla1[Q],
 Tabla1[Identificador],A9,
 Tabla1[Stock],"stock"
)</f>
        <v>218</v>
      </c>
      <c r="G9" s="39">
        <f>SUMIFS(
 Tabla1[Monto compra],
 Tabla1[Identificador],A9
)</f>
        <v>49791.200000000004</v>
      </c>
      <c r="H9" s="39">
        <f>SUMIFS(
 Tabla2[Monto_venta],
 Tabla2[Identificador],A9
)</f>
        <v>0</v>
      </c>
      <c r="I9" s="39">
        <f>+IFERROR(VLOOKUP(A9,Tabla3[[#All],[Identificador]:[Monto_mon_ins]],7,FALSE),"")</f>
        <v>316.09999999999997</v>
      </c>
      <c r="J9" s="39">
        <f t="shared" si="0"/>
        <v>78364.460000000006</v>
      </c>
      <c r="K9" s="40">
        <f t="shared" si="2"/>
        <v>28889.360000000001</v>
      </c>
      <c r="L9" s="41">
        <f t="shared" si="1"/>
        <v>0.5802101576182136</v>
      </c>
    </row>
    <row r="10" spans="1:12">
      <c r="A10" t="str">
        <v>XPEV US Equity</v>
      </c>
      <c r="B10" s="37" t="str">
        <f>+_xll.BDP($A10,"Name")</f>
        <v>XPENG INC - ADR</v>
      </c>
      <c r="C10" s="38" t="str">
        <f>+INDEX(Tabla1[Moneda],MATCH('P&amp;L Total'!A10,Tabla1[Identificador],0))</f>
        <v>USD</v>
      </c>
      <c r="D10" s="28" t="str" cm="1">
        <f t="array" ref="D10">+IF(F10=0,"",_xll.BDP(A10,"PX_LAST"))</f>
        <v/>
      </c>
      <c r="E10" s="30">
        <v>0</v>
      </c>
      <c r="F10" s="30">
        <f>SUMIFS(
 Tabla1[Q],
 Tabla1[Identificador],A10,
 Tabla1[Stock],"stock"
)</f>
        <v>0</v>
      </c>
      <c r="G10" s="39">
        <f>SUMIFS(
 Tabla1[Monto compra],
 Tabla1[Identificador],A10
)</f>
        <v>54893.432421999998</v>
      </c>
      <c r="H10" s="39">
        <f>SUMIFS(
 Tabla2[Monto_venta],
 Tabla2[Identificador],A10
)</f>
        <v>69350</v>
      </c>
      <c r="I10" s="39" t="str">
        <f>+IFERROR(VLOOKUP(A10,Tabla3[[#All],[Identificador]:[Monto_mon_ins]],7,FALSE),"")</f>
        <v/>
      </c>
      <c r="J10" s="39" t="str">
        <f t="shared" si="0"/>
        <v/>
      </c>
      <c r="K10" s="40">
        <f t="shared" si="2"/>
        <v>14456.567578000002</v>
      </c>
      <c r="L10" s="41">
        <f t="shared" si="1"/>
        <v>0.26335696166461892</v>
      </c>
    </row>
    <row r="11" spans="1:12">
      <c r="A11" t="str">
        <v>EWP US Equity</v>
      </c>
      <c r="B11" s="37" t="str">
        <f>+_xll.BDP($A11,"Name")</f>
        <v>ISHARES MSCI SPAIN ETF</v>
      </c>
      <c r="C11" s="38" t="str">
        <f>+INDEX(Tabla1[Moneda],MATCH('P&amp;L Total'!A11,Tabla1[Identificador],0))</f>
        <v>USD</v>
      </c>
      <c r="D11" s="28" t="str" cm="1">
        <f t="array" ref="D11">+IF(F11=0,"",_xll.BDP(A11,"PX_LAST"))</f>
        <v/>
      </c>
      <c r="E11" s="30">
        <v>0</v>
      </c>
      <c r="F11" s="30">
        <f>SUMIFS(
 Tabla1[Q],
 Tabla1[Identificador],A11,
 Tabla1[Stock],"stock"
)</f>
        <v>0</v>
      </c>
      <c r="G11" s="39">
        <f>SUMIFS(
 Tabla1[Monto compra],
 Tabla1[Identificador],A11
)</f>
        <v>49907.709789999994</v>
      </c>
      <c r="H11" s="39">
        <f>SUMIFS(
 Tabla2[Monto_venta],
 Tabla2[Identificador],A11
)</f>
        <v>56736.033100000001</v>
      </c>
      <c r="I11" s="39">
        <f>+IFERROR(VLOOKUP(A11,Tabla3[[#All],[Identificador]:[Monto_mon_ins]],7,FALSE),"")</f>
        <v>763.32146999999998</v>
      </c>
      <c r="J11" s="39" t="str">
        <f t="shared" si="0"/>
        <v/>
      </c>
      <c r="K11" s="40">
        <f t="shared" si="2"/>
        <v>7591.6447800000069</v>
      </c>
      <c r="L11" s="41">
        <f t="shared" si="1"/>
        <v>0.15211366764661968</v>
      </c>
    </row>
    <row r="12" spans="1:12">
      <c r="A12" t="str">
        <v>NIO US Equity</v>
      </c>
      <c r="B12" s="37" t="str">
        <f>+_xll.BDP($A12,"Name")</f>
        <v>NIO INC - ADR</v>
      </c>
      <c r="C12" s="38" t="str">
        <f>+INDEX(Tabla1[Moneda],MATCH('P&amp;L Total'!A12,Tabla1[Identificador],0))</f>
        <v>USD</v>
      </c>
      <c r="D12" s="28" cm="1">
        <f t="array" ref="D12">+IF(F12=0,"",_xll.BDP(A12,"PX_LAST"))</f>
        <v>5.7</v>
      </c>
      <c r="E12" s="30">
        <v>0</v>
      </c>
      <c r="F12" s="30">
        <f>SUMIFS(
 Tabla1[Q],
 Tabla1[Identificador],A12,
 Tabla1[Stock],"stock"
)</f>
        <v>18368</v>
      </c>
      <c r="G12" s="39">
        <f>SUMIFS(
 Tabla1[Monto compra],
 Tabla1[Identificador],A12
)</f>
        <v>104519.95200000002</v>
      </c>
      <c r="H12" s="39">
        <f>SUMIFS(
 Tabla2[Monto_venta],
 Tabla2[Identificador],A12
)</f>
        <v>0</v>
      </c>
      <c r="I12" s="39" t="str">
        <f>+IFERROR(VLOOKUP(A12,Tabla3[[#All],[Identificador]:[Monto_mon_ins]],7,FALSE),"")</f>
        <v/>
      </c>
      <c r="J12" s="39">
        <f t="shared" si="0"/>
        <v>104697.60000000001</v>
      </c>
      <c r="K12" s="40">
        <f t="shared" si="2"/>
        <v>177.6479999999865</v>
      </c>
      <c r="L12" s="41">
        <f t="shared" si="1"/>
        <v>1.6996563488661616E-3</v>
      </c>
    </row>
    <row r="13" spans="1:12">
      <c r="A13" t="str">
        <v>PRU US Equity</v>
      </c>
      <c r="B13" s="37" t="str">
        <f>+_xll.BDP($A13,"Name")</f>
        <v>PRUDENTIAL FINANCIAL INC</v>
      </c>
      <c r="C13" s="38" t="str">
        <f>+INDEX(Tabla1[Moneda],MATCH('P&amp;L Total'!A13,Tabla1[Identificador],0))</f>
        <v>USD</v>
      </c>
      <c r="D13" s="28" cm="1">
        <f t="array" ref="D13">+IF(F13=0,"",_xll.BDP(A13,"PX_LAST"))</f>
        <v>95.47</v>
      </c>
      <c r="E13" s="30">
        <v>0</v>
      </c>
      <c r="F13" s="30">
        <f>SUMIFS(
 Tabla1[Q],
 Tabla1[Identificador],A13,
 Tabla1[Stock],"stock"
)</f>
        <v>483</v>
      </c>
      <c r="G13" s="39">
        <f>SUMIFS(
 Tabla1[Monto compra],
 Tabla1[Identificador],A13
)</f>
        <v>49924.087500000001</v>
      </c>
      <c r="H13" s="39">
        <f>SUMIFS(
 Tabla2[Monto_venta],
 Tabla2[Identificador],A13
)</f>
        <v>0</v>
      </c>
      <c r="I13" s="39">
        <f>+IFERROR(VLOOKUP(A13,Tabla3[[#All],[Identificador]:[Monto_mon_ins]],7,FALSE),"")</f>
        <v>652.05000000000007</v>
      </c>
      <c r="J13" s="39">
        <f t="shared" si="0"/>
        <v>46112.01</v>
      </c>
      <c r="K13" s="40">
        <f t="shared" si="2"/>
        <v>-3160.0274999999992</v>
      </c>
      <c r="L13" s="41">
        <f t="shared" si="1"/>
        <v>-6.3296650139073637E-2</v>
      </c>
    </row>
    <row r="14" spans="1:12">
      <c r="A14" t="str">
        <v>KMB US Equity</v>
      </c>
      <c r="B14" s="37" t="str">
        <f>+_xll.BDP($A14,"Name")</f>
        <v>KIMBERLY-CLARK CORP</v>
      </c>
      <c r="C14" s="38" t="str">
        <f>+INDEX(Tabla1[Moneda],MATCH('P&amp;L Total'!A14,Tabla1[Identificador],0))</f>
        <v>USD</v>
      </c>
      <c r="D14" s="28" cm="1">
        <f t="array" ref="D14">+IF(F14=0,"",_xll.BDP(A14,"PX_LAST"))</f>
        <v>101.71</v>
      </c>
      <c r="E14" s="30">
        <v>0</v>
      </c>
      <c r="F14" s="30">
        <f>SUMIFS(
 Tabla1[Q],
 Tabla1[Identificador],A14,
 Tabla1[Stock],"stock"
)</f>
        <v>802</v>
      </c>
      <c r="G14" s="39">
        <f>SUMIFS(
 Tabla1[Monto compra],
 Tabla1[Identificador],A14
)</f>
        <v>91600.339799999987</v>
      </c>
      <c r="H14" s="39">
        <f>SUMIFS(
 Tabla2[Monto_venta],
 Tabla2[Identificador],A14
)</f>
        <v>0</v>
      </c>
      <c r="I14" s="39">
        <f>+IFERROR(VLOOKUP(A14,Tabla3[[#All],[Identificador]:[Monto_mon_ins]],7,FALSE),"")</f>
        <v>506.52</v>
      </c>
      <c r="J14" s="39">
        <f t="shared" si="0"/>
        <v>81571.42</v>
      </c>
      <c r="K14" s="40">
        <f t="shared" si="2"/>
        <v>-9522.3997999999883</v>
      </c>
      <c r="L14" s="41">
        <f t="shared" si="1"/>
        <v>-0.10395594405862663</v>
      </c>
    </row>
    <row r="15" spans="1:12">
      <c r="A15" t="str">
        <v>UNH US Equity</v>
      </c>
      <c r="B15" s="37" t="str">
        <f>+_xll.BDP($A15,"Name")</f>
        <v>UNITEDHEALTH GROUP INC</v>
      </c>
      <c r="C15" s="38" t="str">
        <f>+INDEX(Tabla1[Moneda],MATCH('P&amp;L Total'!A15,Tabla1[Identificador],0))</f>
        <v>USD</v>
      </c>
      <c r="D15" s="28" cm="1">
        <f t="array" ref="D15">+IF(F15=0,"",_xll.BDP(A15,"PX_LAST"))</f>
        <v>282.33999999999997</v>
      </c>
      <c r="E15" s="30">
        <v>0</v>
      </c>
      <c r="F15" s="30">
        <f>SUMIFS(
 Tabla1[Q],
 Tabla1[Identificador],A15,
 Tabla1[Stock],"stock"
)</f>
        <v>437</v>
      </c>
      <c r="G15" s="39">
        <f>SUMIFS(
 Tabla1[Monto compra],
 Tabla1[Identificador],A15
)</f>
        <v>149607.39259999999</v>
      </c>
      <c r="H15" s="39">
        <f>SUMIFS(
 Tabla2[Monto_venta],
 Tabla2[Identificador],A15
)</f>
        <v>0</v>
      </c>
      <c r="I15" s="39">
        <f>+IFERROR(VLOOKUP(A15,Tabla3[[#All],[Identificador]:[Monto_mon_ins]],7,FALSE),"")</f>
        <v>965.77</v>
      </c>
      <c r="J15" s="39">
        <f t="shared" si="0"/>
        <v>123382.57999999999</v>
      </c>
      <c r="K15" s="40">
        <f t="shared" si="2"/>
        <v>-25259.042600000004</v>
      </c>
      <c r="L15" s="41">
        <f t="shared" si="1"/>
        <v>-0.16883552450870001</v>
      </c>
    </row>
    <row r="16" spans="1:12">
      <c r="A16" t="str">
        <v>KKR US Equity</v>
      </c>
      <c r="B16" s="37" t="str">
        <f>+_xll.BDP($A16,"Name")</f>
        <v>KKR &amp; CO INC</v>
      </c>
      <c r="C16" s="38" t="str">
        <f>+INDEX(Tabla1[Moneda],MATCH('P&amp;L Total'!A16,Tabla1[Identificador],0))</f>
        <v>USD</v>
      </c>
      <c r="D16" s="28" cm="1">
        <f t="array" ref="D16">+IF(F16=0,"",_xll.BDP(A16,"PX_LAST"))</f>
        <v>89.96</v>
      </c>
      <c r="E16" s="30">
        <v>0</v>
      </c>
      <c r="F16" s="30">
        <f>SUMIFS(
 Tabla1[Q],
 Tabla1[Identificador],A16,
 Tabla1[Stock],"stock"
)</f>
        <v>341</v>
      </c>
      <c r="G16" s="39">
        <f>SUMIFS(
 Tabla1[Monto compra],
 Tabla1[Identificador],A16
)</f>
        <v>49905.35</v>
      </c>
      <c r="H16" s="39">
        <f>SUMIFS(
 Tabla2[Monto_venta],
 Tabla2[Identificador],A16
)</f>
        <v>0</v>
      </c>
      <c r="I16" s="39">
        <f>+IFERROR(VLOOKUP(A16,Tabla3[[#All],[Identificador]:[Monto_mon_ins]],7,FALSE),"")</f>
        <v>63.085000000000001</v>
      </c>
      <c r="J16" s="39">
        <f t="shared" si="0"/>
        <v>30676.359999999997</v>
      </c>
      <c r="K16" s="40">
        <f t="shared" si="2"/>
        <v>-19165.905000000002</v>
      </c>
      <c r="L16" s="41">
        <f t="shared" si="1"/>
        <v>-0.38404509736932019</v>
      </c>
    </row>
    <row r="17" spans="1:12">
      <c r="A17" t="str">
        <v>EUFN US Equity</v>
      </c>
      <c r="B17" s="37" t="str">
        <f>+_xll.BDP($A17,"Name")</f>
        <v>ISHARES MSCI EUROPE FINANCIA</v>
      </c>
      <c r="C17" s="38" t="str">
        <f>+INDEX(Tabla1[Moneda],MATCH('P&amp;L Total'!A17,Tabla1[Identificador],0))</f>
        <v>USD</v>
      </c>
      <c r="D17" s="28" cm="1">
        <f t="array" ref="D17">+IF(F17=0,"",_xll.BDP(A17,"PX_LAST"))</f>
        <v>35.24</v>
      </c>
      <c r="E17" s="30">
        <v>0</v>
      </c>
      <c r="F17" s="30">
        <f>SUMIFS(
 Tabla1[Q],
 Tabla1[Identificador],A17,
 Tabla1[Stock],"stock"
)</f>
        <v>4135</v>
      </c>
      <c r="G17" s="39">
        <f>SUMIFS(
 Tabla1[Monto compra],
 Tabla1[Identificador],A17
)</f>
        <v>139739.281946</v>
      </c>
      <c r="H17" s="39">
        <f>SUMIFS(
 Tabla2[Monto_venta],
 Tabla2[Identificador],A17
)</f>
        <v>0</v>
      </c>
      <c r="I17" s="39">
        <f>+IFERROR(VLOOKUP(A17,Tabla3[[#All],[Identificador]:[Monto_mon_ins]],7,FALSE),"")</f>
        <v>2132.1713999999997</v>
      </c>
      <c r="J17" s="39">
        <f t="shared" si="0"/>
        <v>145717.4</v>
      </c>
      <c r="K17" s="40">
        <f t="shared" si="2"/>
        <v>8110.2894539999907</v>
      </c>
      <c r="L17" s="41">
        <f t="shared" si="1"/>
        <v>5.8038722834815204E-2</v>
      </c>
    </row>
    <row r="18" spans="1:12">
      <c r="A18" t="str">
        <v>EZU US Equity</v>
      </c>
      <c r="B18" s="37" t="str">
        <f>+_xll.BDP($A18,"Name")</f>
        <v>ISHARES MSCI EUROZONE ETF</v>
      </c>
      <c r="C18" s="38" t="str">
        <f>+INDEX(Tabla1[Moneda],MATCH('P&amp;L Total'!A18,Tabla1[Identificador],0))</f>
        <v>USD</v>
      </c>
      <c r="D18" s="28" cm="1">
        <f t="array" ref="D18">+IF(F18=0,"",_xll.BDP(A18,"PX_LAST"))</f>
        <v>64.040000000000006</v>
      </c>
      <c r="E18" s="30">
        <v>0</v>
      </c>
      <c r="F18" s="30">
        <f>SUMIFS(
 Tabla1[Q],
 Tabla1[Identificador],A18,
 Tabla1[Stock],"stock"
)</f>
        <v>2391</v>
      </c>
      <c r="G18" s="39">
        <f>SUMIFS(
 Tabla1[Monto compra],
 Tabla1[Identificador],A18
)</f>
        <v>149745.94233600001</v>
      </c>
      <c r="H18" s="39">
        <f>SUMIFS(
 Tabla2[Monto_venta],
 Tabla2[Identificador],A18
)</f>
        <v>0</v>
      </c>
      <c r="I18" s="39">
        <f>+IFERROR(VLOOKUP(A18,Tabla3[[#All],[Identificador]:[Monto_mon_ins]],7,FALSE),"")</f>
        <v>1458.6534600000002</v>
      </c>
      <c r="J18" s="39">
        <f t="shared" si="0"/>
        <v>153119.64000000001</v>
      </c>
      <c r="K18" s="40">
        <f t="shared" si="2"/>
        <v>4832.3511240000071</v>
      </c>
      <c r="L18" s="41">
        <f t="shared" si="1"/>
        <v>3.22703309927235E-2</v>
      </c>
    </row>
    <row r="19" spans="1:12">
      <c r="A19" t="str">
        <v>EWZ US Equity</v>
      </c>
      <c r="B19" s="37" t="str">
        <f>+_xll.BDP($A19,"Name")</f>
        <v>ISHARES MSCI BRAZIL ETF</v>
      </c>
      <c r="C19" s="38" t="str">
        <f>+INDEX(Tabla1[Moneda],MATCH('P&amp;L Total'!A19,Tabla1[Identificador],0))</f>
        <v>USD</v>
      </c>
      <c r="D19" s="28" cm="1">
        <f t="array" ref="D19">+IF(F19=0,"",_xll.BDP(A19,"PX_LAST"))</f>
        <v>37.53</v>
      </c>
      <c r="E19" s="30">
        <v>0</v>
      </c>
      <c r="F19" s="30">
        <f>SUMIFS(
 Tabla1[Q],
 Tabla1[Identificador],A19,
 Tabla1[Stock],"stock"
)</f>
        <v>5124</v>
      </c>
      <c r="G19" s="39">
        <f>SUMIFS(
 Tabla1[Monto compra],
 Tabla1[Identificador],A19
)</f>
        <v>767526.56</v>
      </c>
      <c r="H19" s="39">
        <f>SUMIFS(
 Tabla2[Monto_venta],
 Tabla2[Identificador],A19
)</f>
        <v>599192.46500000008</v>
      </c>
      <c r="I19" s="39" t="str">
        <f>+IFERROR(VLOOKUP(A19,Tabla3[[#All],[Identificador]:[Monto_mon_ins]],7,FALSE),"")</f>
        <v/>
      </c>
      <c r="J19" s="39">
        <f t="shared" si="0"/>
        <v>192303.72</v>
      </c>
      <c r="K19" s="40">
        <f t="shared" si="2"/>
        <v>23969.625</v>
      </c>
      <c r="L19" s="41">
        <f t="shared" si="1"/>
        <v>3.1229701028196336E-2</v>
      </c>
    </row>
    <row r="20" spans="1:12">
      <c r="A20" t="str">
        <v>EWZS US Equity</v>
      </c>
      <c r="B20" s="37" t="str">
        <f>+_xll.BDP($A20,"Name")</f>
        <v>ISHARES MSCI BRAZIL SMALL-CA</v>
      </c>
      <c r="C20" s="38" t="str">
        <f>+INDEX(Tabla1[Moneda],MATCH('P&amp;L Total'!A20,Tabla1[Identificador],0))</f>
        <v>USD</v>
      </c>
      <c r="D20" s="28" t="str" cm="1">
        <f t="array" ref="D20">+IF(F20=0,"",_xll.BDP(A20,"PX_LAST"))</f>
        <v/>
      </c>
      <c r="E20" s="30">
        <v>0</v>
      </c>
      <c r="F20" s="30">
        <f>SUMIFS(
 Tabla1[Q],
 Tabla1[Identificador],A20,
 Tabla1[Stock],"stock"
)</f>
        <v>0</v>
      </c>
      <c r="G20" s="39">
        <f>SUMIFS(
 Tabla1[Monto compra],
 Tabla1[Identificador],A20
)</f>
        <v>89696.639999999985</v>
      </c>
      <c r="H20" s="39">
        <f>SUMIFS(
 Tabla2[Monto_venta],
 Tabla2[Identificador],A20
)</f>
        <v>91712.543999999994</v>
      </c>
      <c r="I20" s="39" t="str">
        <f>+IFERROR(VLOOKUP(A20,Tabla3[[#All],[Identificador]:[Monto_mon_ins]],7,FALSE),"")</f>
        <v/>
      </c>
      <c r="J20" s="39" t="str">
        <f t="shared" si="0"/>
        <v/>
      </c>
      <c r="K20" s="40">
        <f t="shared" si="2"/>
        <v>2015.9040000000095</v>
      </c>
      <c r="L20" s="41">
        <f t="shared" si="1"/>
        <v>2.247468801506957E-2</v>
      </c>
    </row>
    <row r="21" spans="1:12">
      <c r="A21" t="str">
        <v>FERREYC1 pe Equity</v>
      </c>
      <c r="B21" s="37" t="str">
        <f>+_xll.BDP($A21,"Name")</f>
        <v>FERREYCORP SAA</v>
      </c>
      <c r="C21" s="38" t="str">
        <f>+INDEX(Tabla1[Moneda],MATCH('P&amp;L Total'!A21,Tabla1[Identificador],0))</f>
        <v>PEN</v>
      </c>
      <c r="D21" s="28" cm="1">
        <f t="array" ref="D21">+IF(F21=0,"",_xll.BDP(A21,"PX_LAST"))</f>
        <v>4.0999999999999996</v>
      </c>
      <c r="E21" s="30">
        <v>0</v>
      </c>
      <c r="F21" s="30">
        <f>SUMIFS(
 Tabla1[Q],
 Tabla1[Identificador],A21,
 Tabla1[Stock],"stock"
)</f>
        <v>103492</v>
      </c>
      <c r="G21" s="39">
        <f>SUMIFS(
 Tabla1[Monto compra],
 Tabla1[Identificador],A21
)</f>
        <v>343347.30000000005</v>
      </c>
      <c r="H21" s="39">
        <f>SUMIFS(
 Tabla2[Monto_venta],
 Tabla2[Identificador],A21
)</f>
        <v>0</v>
      </c>
      <c r="I21" s="39">
        <f>+IFERROR(VLOOKUP(A21,Tabla3[[#All],[Identificador]:[Monto_mon_ins]],7,FALSE),"")</f>
        <v>10939.207892</v>
      </c>
      <c r="J21" s="39">
        <f t="shared" si="0"/>
        <v>424317.19999999995</v>
      </c>
      <c r="K21" s="40">
        <f t="shared" si="2"/>
        <v>91909.107891999913</v>
      </c>
      <c r="L21" s="41">
        <f t="shared" si="1"/>
        <v>0.26768554140952877</v>
      </c>
    </row>
    <row r="22" spans="1:12">
      <c r="A22" t="str">
        <v>BIDU US Equity</v>
      </c>
      <c r="B22" s="37" t="str">
        <f>+_xll.BDP($A22,"Name")</f>
        <v>BAIDU INC - SPON ADR</v>
      </c>
      <c r="C22" s="38" t="str">
        <f>+INDEX(Tabla1[Moneda],MATCH('P&amp;L Total'!A22,Tabla1[Identificador],0))</f>
        <v>USD</v>
      </c>
      <c r="D22" s="28" cm="1">
        <f t="array" ref="D22">+IF(F22=0,"",_xll.BDP(A22,"PX_LAST"))</f>
        <v>125.5</v>
      </c>
      <c r="E22" s="30">
        <v>0</v>
      </c>
      <c r="F22" s="30">
        <f>SUMIFS(
 Tabla1[Q],
 Tabla1[Identificador],A22,
 Tabla1[Stock],"stock"
)</f>
        <v>1031</v>
      </c>
      <c r="G22" s="39">
        <f>SUMIFS(
 Tabla1[Monto compra],
 Tabla1[Identificador],A22
)</f>
        <v>129767.84999999998</v>
      </c>
      <c r="H22" s="39">
        <f>SUMIFS(
 Tabla2[Monto_venta],
 Tabla2[Identificador],A22
)</f>
        <v>0</v>
      </c>
      <c r="I22" s="39" t="str">
        <f>+IFERROR(VLOOKUP(A22,Tabla3[[#All],[Identificador]:[Monto_mon_ins]],7,FALSE),"")</f>
        <v/>
      </c>
      <c r="J22" s="39">
        <f t="shared" si="0"/>
        <v>129390.5</v>
      </c>
      <c r="K22" s="40">
        <f t="shared" si="2"/>
        <v>-377.34999999997672</v>
      </c>
      <c r="L22" s="41">
        <f t="shared" si="1"/>
        <v>-2.9078851194650817E-3</v>
      </c>
    </row>
    <row r="23" spans="1:12">
      <c r="A23" t="str">
        <v>TCHI US Equity</v>
      </c>
      <c r="B23" s="37" t="str">
        <f>+_xll.BDP($A23,"Name")</f>
        <v>ISHARES MSCI CHINA TECH</v>
      </c>
      <c r="C23" s="38" t="str">
        <f>+INDEX(Tabla1[Moneda],MATCH('P&amp;L Total'!A23,Tabla1[Identificador],0))</f>
        <v>USD</v>
      </c>
      <c r="D23" s="28" cm="1">
        <f t="array" ref="D23">+IF(F23=0,"",_xll.BDP(A23,"PX_LAST"))</f>
        <v>23.085000000000001</v>
      </c>
      <c r="E23" s="30">
        <v>0</v>
      </c>
      <c r="F23" s="30">
        <f>SUMIFS(
 Tabla1[Q],
 Tabla1[Identificador],A23,
 Tabla1[Stock],"stock"
)</f>
        <v>7312</v>
      </c>
      <c r="G23" s="39">
        <f>SUMIFS(
 Tabla1[Monto compra],
 Tabla1[Identificador],A23
)</f>
        <v>182005.6</v>
      </c>
      <c r="H23" s="39">
        <f>SUMIFS(
 Tabla2[Monto_venta],
 Tabla2[Identificador],A23
)</f>
        <v>0</v>
      </c>
      <c r="I23" s="39">
        <f>+IFERROR(VLOOKUP(A23,Tabla3[[#All],[Identificador]:[Monto_mon_ins]],7,FALSE),"")</f>
        <v>2423.9555599999999</v>
      </c>
      <c r="J23" s="39">
        <f t="shared" si="0"/>
        <v>168797.52000000002</v>
      </c>
      <c r="K23" s="40">
        <f t="shared" si="2"/>
        <v>-10784.124439999987</v>
      </c>
      <c r="L23" s="41">
        <f t="shared" si="1"/>
        <v>-5.9251607862615144E-2</v>
      </c>
    </row>
    <row r="24" spans="1:12">
      <c r="A24" t="str">
        <v>CQQQ US Equity</v>
      </c>
      <c r="B24" s="37" t="str">
        <f>+_xll.BDP($A24,"Name")</f>
        <v>INVESCO CHINA TECHNOLOGY ETF</v>
      </c>
      <c r="C24" s="38" t="str">
        <f>+INDEX(Tabla1[Moneda],MATCH('P&amp;L Total'!A24,Tabla1[Identificador],0))</f>
        <v>USD</v>
      </c>
      <c r="D24" s="28" cm="1">
        <f t="array" ref="D24">+IF(F24=0,"",_xll.BDP(A24,"PX_LAST"))</f>
        <v>50.94</v>
      </c>
      <c r="E24" s="30">
        <v>0</v>
      </c>
      <c r="F24" s="30">
        <f>SUMIFS(
 Tabla1[Q],
 Tabla1[Identificador],A24,
 Tabla1[Stock],"stock"
)</f>
        <v>2722</v>
      </c>
      <c r="G24" s="39">
        <f>SUMIFS(
 Tabla1[Monto compra],
 Tabla1[Identificador],A24
)</f>
        <v>149719.37</v>
      </c>
      <c r="H24" s="39">
        <f>SUMIFS(
 Tabla2[Monto_venta],
 Tabla2[Identificador],A24
)</f>
        <v>0</v>
      </c>
      <c r="I24" s="39">
        <f>+IFERROR(VLOOKUP(A24,Tabla3[[#All],[Identificador]:[Monto_mon_ins]],7,FALSE),"")</f>
        <v>764.66264000000001</v>
      </c>
      <c r="J24" s="39">
        <f t="shared" si="0"/>
        <v>138658.68</v>
      </c>
      <c r="K24" s="40">
        <f t="shared" si="2"/>
        <v>-10296.027360000002</v>
      </c>
      <c r="L24" s="41">
        <f t="shared" si="1"/>
        <v>-6.8768839729956135E-2</v>
      </c>
    </row>
    <row r="25" spans="1:12">
      <c r="A25" t="str">
        <v>MINSURI1 pe Equity</v>
      </c>
      <c r="B25" s="37" t="str">
        <f>+_xll.BDP($A25,"Name")</f>
        <v>MINSUR SA-INVERSIONES</v>
      </c>
      <c r="C25" s="38" t="str">
        <f>+INDEX(Tabla1[Moneda],MATCH('P&amp;L Total'!A25,Tabla1[Identificador],0))</f>
        <v>PEN</v>
      </c>
      <c r="D25" s="28" cm="1">
        <f t="array" ref="D25">+IF(F25=0,"",_xll.BDP(A25,"PX_LAST"))</f>
        <v>6.56</v>
      </c>
      <c r="E25" s="30">
        <v>0</v>
      </c>
      <c r="F25" s="30">
        <f>SUMIFS(
 Tabla1[Q],
 Tabla1[Identificador],A25,
 Tabla1[Stock],"stock"
)</f>
        <v>153985</v>
      </c>
      <c r="G25" s="39">
        <f>SUMIFS(
 Tabla1[Monto compra],
 Tabla1[Identificador],A25
)</f>
        <v>801482.4</v>
      </c>
      <c r="H25" s="39">
        <f>SUMIFS(
 Tabla2[Monto_venta],
 Tabla2[Identificador],A25
)</f>
        <v>0</v>
      </c>
      <c r="I25" s="39">
        <f>+IFERROR(VLOOKUP(A25,Tabla3[[#All],[Identificador]:[Monto_mon_ins]],7,FALSE),"")</f>
        <v>33975.145116</v>
      </c>
      <c r="J25" s="39">
        <f t="shared" si="0"/>
        <v>1010141.6</v>
      </c>
      <c r="K25" s="40">
        <f t="shared" si="2"/>
        <v>242634.34511599995</v>
      </c>
      <c r="L25" s="41">
        <f t="shared" si="1"/>
        <v>0.30273196905633853</v>
      </c>
    </row>
    <row r="26" spans="1:12">
      <c r="A26" t="str">
        <v>SIDERC1 PE Equity</v>
      </c>
      <c r="B26" s="37" t="str">
        <f>+_xll.BDP($A26,"Name")</f>
        <v>EMPRESA SIDERURGICA PERU SAA</v>
      </c>
      <c r="C26" s="38" t="str">
        <f>+INDEX(Tabla1[Moneda],MATCH('P&amp;L Total'!A26,Tabla1[Identificador],0))</f>
        <v>PEN</v>
      </c>
      <c r="D26" s="28" cm="1">
        <f t="array" ref="D26">+IF(F26=0,"",_xll.BDP(A26,"PX_LAST"))</f>
        <v>2.5</v>
      </c>
      <c r="E26" s="30">
        <v>0</v>
      </c>
      <c r="F26" s="30">
        <f>SUMIFS(
 Tabla1[Q],
 Tabla1[Identificador],A26,
 Tabla1[Stock],"stock"
)</f>
        <v>74649</v>
      </c>
      <c r="G26" s="39">
        <f>SUMIFS(
 Tabla1[Monto compra],
 Tabla1[Identificador],A26
)</f>
        <v>138882.23999999999</v>
      </c>
      <c r="H26" s="39">
        <f>SUMIFS(
 Tabla2[Monto_venta],
 Tabla2[Identificador],A26
)</f>
        <v>0</v>
      </c>
      <c r="I26" s="39" t="str">
        <f>+IFERROR(VLOOKUP(A26,Tabla3[[#All],[Identificador]:[Monto_mon_ins]],7,FALSE),"")</f>
        <v/>
      </c>
      <c r="J26" s="39">
        <f t="shared" si="0"/>
        <v>186622.5</v>
      </c>
      <c r="K26" s="40">
        <f t="shared" si="2"/>
        <v>47740.260000000009</v>
      </c>
      <c r="L26" s="41">
        <f t="shared" si="1"/>
        <v>0.34374632782420567</v>
      </c>
    </row>
    <row r="27" spans="1:12">
      <c r="A27" t="str">
        <v>BVN us Equity</v>
      </c>
      <c r="B27" s="37" t="str">
        <f>+_xll.BDP($A27,"Name")</f>
        <v>CIA DE MINAS BUENAVENTUR-ADR</v>
      </c>
      <c r="C27" s="38" t="str">
        <f>+INDEX(Tabla1[Moneda],MATCH('P&amp;L Total'!A27,Tabla1[Identificador],0))</f>
        <v>USD</v>
      </c>
      <c r="D27" s="28" cm="1">
        <f t="array" ref="D27">+IF(F27=0,"",_xll.BDP(A27,"PX_LAST"))</f>
        <v>38.9</v>
      </c>
      <c r="E27" s="30">
        <v>0</v>
      </c>
      <c r="F27" s="30">
        <f>SUMIFS(
 Tabla1[Q],
 Tabla1[Identificador],A27,
 Tabla1[Stock],"stock"
)</f>
        <v>2640</v>
      </c>
      <c r="G27" s="39">
        <f>SUMIFS(
 Tabla1[Monto compra],
 Tabla1[Identificador],A27
)</f>
        <v>205391.11560000002</v>
      </c>
      <c r="H27" s="39">
        <f>SUMIFS(
 Tabla2[Monto_venta],
 Tabla2[Identificador],A27
)</f>
        <v>115813.14</v>
      </c>
      <c r="I27" s="39">
        <f>+IFERROR(VLOOKUP(A27,Tabla3[[#All],[Identificador]:[Monto_mon_ins]],7,FALSE),"")</f>
        <v>377.6952</v>
      </c>
      <c r="J27" s="39">
        <f t="shared" si="0"/>
        <v>102696</v>
      </c>
      <c r="K27" s="40">
        <f t="shared" si="2"/>
        <v>13495.71959999998</v>
      </c>
      <c r="L27" s="41">
        <f t="shared" si="1"/>
        <v>6.5707416606485283E-2</v>
      </c>
    </row>
    <row r="28" spans="1:12">
      <c r="A28" t="str">
        <v>AUNA us Equity</v>
      </c>
      <c r="B28" s="37" t="str">
        <f>+_xll.BDP($A28,"Name")</f>
        <v>AUNA SA-CLASS A</v>
      </c>
      <c r="C28" s="38" t="str">
        <f>+INDEX(Tabla1[Moneda],MATCH('P&amp;L Total'!A28,Tabla1[Identificador],0))</f>
        <v>USD</v>
      </c>
      <c r="D28" s="28" cm="1">
        <f t="array" ref="D28">+IF(F28=0,"",_xll.BDP(A28,"PX_LAST"))</f>
        <v>4.8</v>
      </c>
      <c r="E28" s="30">
        <v>0</v>
      </c>
      <c r="F28" s="30">
        <f>SUMIFS(
 Tabla1[Q],
 Tabla1[Identificador],A28,
 Tabla1[Stock],"stock"
)</f>
        <v>38890</v>
      </c>
      <c r="G28" s="39">
        <f>SUMIFS(
 Tabla1[Monto compra],
 Tabla1[Identificador],A28
)</f>
        <v>204307.95500000002</v>
      </c>
      <c r="H28" s="39">
        <f>SUMIFS(
 Tabla2[Monto_venta],
 Tabla2[Identificador],A28
)</f>
        <v>0</v>
      </c>
      <c r="I28" s="39" t="str">
        <f>+IFERROR(VLOOKUP(A28,Tabla3[[#All],[Identificador]:[Monto_mon_ins]],7,FALSE),"")</f>
        <v/>
      </c>
      <c r="J28" s="39">
        <f t="shared" si="0"/>
        <v>186672</v>
      </c>
      <c r="K28" s="40">
        <f t="shared" si="2"/>
        <v>-17635.955000000016</v>
      </c>
      <c r="L28" s="41">
        <f t="shared" si="1"/>
        <v>-8.6320451888425076E-2</v>
      </c>
    </row>
    <row r="29" spans="1:12">
      <c r="A29" t="str">
        <v>PFE US Equity</v>
      </c>
      <c r="B29" s="37" t="str">
        <f>+_xll.BDP($A29,"Name")</f>
        <v>PFIZER INC</v>
      </c>
      <c r="C29" s="38" t="str">
        <f>+INDEX(Tabla1[Moneda],MATCH('P&amp;L Total'!A29,Tabla1[Identificador],0))</f>
        <v>USD</v>
      </c>
      <c r="D29" s="28" cm="1">
        <f t="array" ref="D29">+IF(F29=0,"",_xll.BDP(A29,"PX_LAST"))</f>
        <v>27.16</v>
      </c>
      <c r="E29" s="30">
        <v>0</v>
      </c>
      <c r="F29" s="30">
        <f>SUMIFS(
 Tabla1[Q],
 Tabla1[Identificador],A29,
 Tabla1[Stock],"stock"
)</f>
        <v>3195</v>
      </c>
      <c r="G29" s="39">
        <f>SUMIFS(
 Tabla1[Monto compra],
 Tabla1[Identificador],A29
)</f>
        <v>79969.575194999998</v>
      </c>
      <c r="H29" s="39">
        <f>SUMIFS(
 Tabla2[Monto_venta],
 Tabla2[Identificador],A29
)</f>
        <v>0</v>
      </c>
      <c r="I29" s="39">
        <f>+IFERROR(VLOOKUP(A29,Tabla3[[#All],[Identificador]:[Monto_mon_ins]],7,FALSE),"")</f>
        <v>1373.85</v>
      </c>
      <c r="J29" s="39">
        <f t="shared" si="0"/>
        <v>86776.2</v>
      </c>
      <c r="K29" s="40">
        <f t="shared" si="2"/>
        <v>8180.4748049999998</v>
      </c>
      <c r="L29" s="41">
        <f t="shared" si="1"/>
        <v>0.10229483881904471</v>
      </c>
    </row>
    <row r="30" spans="1:12">
      <c r="A30" t="str">
        <v>VOLCABC1 pe Equity</v>
      </c>
      <c r="B30" s="37" t="str">
        <f>+_xll.BDP($A30,"Name")</f>
        <v>VOLCAN CIA MINERA SAA-CMN B</v>
      </c>
      <c r="C30" s="38" t="str">
        <f>+INDEX(Tabla1[Moneda],MATCH('P&amp;L Total'!A30,Tabla1[Identificador],0))</f>
        <v>PEN</v>
      </c>
      <c r="D30" s="28" cm="1">
        <f t="array" ref="D30">+IF(F30=0,"",_xll.BDP(A30,"PX_LAST"))</f>
        <v>0.75</v>
      </c>
      <c r="E30" s="30">
        <v>0</v>
      </c>
      <c r="F30" s="30">
        <f>SUMIFS(
 Tabla1[Q],
 Tabla1[Identificador],A30,
 Tabla1[Stock],"stock"
)</f>
        <v>639144</v>
      </c>
      <c r="G30" s="39">
        <f>SUMIFS(
 Tabla1[Monto compra],
 Tabla1[Identificador],A30
)</f>
        <v>672689.39</v>
      </c>
      <c r="H30" s="39">
        <f>SUMIFS(
 Tabla2[Monto_venta],
 Tabla2[Identificador],A30
)</f>
        <v>214494</v>
      </c>
      <c r="I30" s="39" t="str">
        <f>+IFERROR(VLOOKUP(A30,Tabla3[[#All],[Identificador]:[Monto_mon_ins]],7,FALSE),"")</f>
        <v/>
      </c>
      <c r="J30" s="39">
        <f t="shared" si="0"/>
        <v>479358</v>
      </c>
      <c r="K30" s="40">
        <f t="shared" si="2"/>
        <v>21162.609999999986</v>
      </c>
      <c r="L30" s="41">
        <f t="shared" si="1"/>
        <v>3.145970534781288E-2</v>
      </c>
    </row>
    <row r="31" spans="1:12">
      <c r="A31" t="str">
        <v>EWQ US Equity</v>
      </c>
      <c r="B31" s="37" t="str">
        <f>+_xll.BDP($A31,"Name")</f>
        <v>ISHARES MSCI FRANCE ETF</v>
      </c>
      <c r="C31" s="38" t="str">
        <f>+INDEX(Tabla1[Moneda],MATCH('P&amp;L Total'!A31,Tabla1[Identificador],0))</f>
        <v>USD</v>
      </c>
      <c r="D31" s="28" t="str" cm="1">
        <f t="array" ref="D31">+IF(F31=0,"",_xll.BDP(A31,"PX_LAST"))</f>
        <v/>
      </c>
      <c r="E31" s="30">
        <v>0</v>
      </c>
      <c r="F31" s="30">
        <f>SUMIFS(
 Tabla1[Q],
 Tabla1[Identificador],A31,
 Tabla1[Stock],"stock"
)</f>
        <v>0</v>
      </c>
      <c r="G31" s="39">
        <f>SUMIFS(
 Tabla1[Monto compra],
 Tabla1[Identificador],A31
)</f>
        <v>79959.72</v>
      </c>
      <c r="H31" s="39">
        <f>SUMIFS(
 Tabla2[Monto_venta],
 Tabla2[Identificador],A31
)</f>
        <v>84520.504365000001</v>
      </c>
      <c r="I31" s="39">
        <f>+IFERROR(VLOOKUP(A31,Tabla3[[#All],[Identificador]:[Monto_mon_ins]],7,FALSE),"")</f>
        <v>419.43912</v>
      </c>
      <c r="J31" s="39" t="str">
        <f t="shared" si="0"/>
        <v/>
      </c>
      <c r="K31" s="40">
        <f t="shared" si="2"/>
        <v>4980.2234849999995</v>
      </c>
      <c r="L31" s="41">
        <f t="shared" si="1"/>
        <v>6.2284153633854637E-2</v>
      </c>
    </row>
    <row r="32" spans="1:12">
      <c r="A32" t="str">
        <v>QQQ US Equity</v>
      </c>
      <c r="B32" s="37" t="str">
        <f>+_xll.BDP($A32,"Name")</f>
        <v>INVESCO QQQ TRUST SERIES 1</v>
      </c>
      <c r="C32" s="38" t="str">
        <f>+INDEX(Tabla1[Moneda],MATCH('P&amp;L Total'!A32,Tabla1[Identificador],0))</f>
        <v>USD</v>
      </c>
      <c r="D32" s="28" cm="1">
        <f t="array" ref="D32">+IF(F32=0,"",_xll.BDP(A32,"PX_LAST"))</f>
        <v>607.77</v>
      </c>
      <c r="E32" s="30">
        <v>0</v>
      </c>
      <c r="F32" s="30">
        <f>SUMIFS(
 Tabla1[Q],
 Tabla1[Identificador],A32,
 Tabla1[Stock],"stock"
)</f>
        <v>167</v>
      </c>
      <c r="G32" s="39">
        <f>SUMIFS(
 Tabla1[Monto compra],
 Tabla1[Identificador],A32
)</f>
        <v>398549.14</v>
      </c>
      <c r="H32" s="39">
        <f>SUMIFS(
 Tabla2[Monto_venta],
 Tabla2[Identificador],A32
)</f>
        <v>305040.30249999999</v>
      </c>
      <c r="I32" s="39" t="str">
        <f>+IFERROR(VLOOKUP(A32,Tabla3[[#All],[Identificador]:[Monto_mon_ins]],7,FALSE),"")</f>
        <v/>
      </c>
      <c r="J32" s="39">
        <f t="shared" si="0"/>
        <v>101497.59</v>
      </c>
      <c r="K32" s="40">
        <f t="shared" si="2"/>
        <v>7988.7524999999441</v>
      </c>
      <c r="L32" s="41">
        <f t="shared" si="1"/>
        <v>2.0044585970000948E-2</v>
      </c>
    </row>
    <row r="33" spans="1:12">
      <c r="A33" t="str">
        <v>BAP US Equity</v>
      </c>
      <c r="B33" s="37" t="str">
        <f>+_xll.BDP($A33,"Name")</f>
        <v>CREDICORP LTD</v>
      </c>
      <c r="C33" s="38" t="str">
        <f>+INDEX(Tabla1[Moneda],MATCH('P&amp;L Total'!A33,Tabla1[Identificador],0))</f>
        <v>USD</v>
      </c>
      <c r="D33" s="28" cm="1">
        <f t="array" ref="D33">+IF(F33=0,"",_xll.BDP(A33,"PX_LAST"))</f>
        <v>341.28</v>
      </c>
      <c r="E33" s="30">
        <v>0</v>
      </c>
      <c r="F33" s="30">
        <f>SUMIFS(
 Tabla1[Q],
 Tabla1[Identificador],A33,
 Tabla1[Stock],"stock"
)</f>
        <v>843</v>
      </c>
      <c r="G33" s="39">
        <f>SUMIFS(
 Tabla1[Monto compra],
 Tabla1[Identificador],A33
)</f>
        <v>249223.505</v>
      </c>
      <c r="H33" s="39">
        <f>SUMIFS(
 Tabla2[Monto_venta],
 Tabla2[Identificador],A33
)</f>
        <v>0</v>
      </c>
      <c r="I33" s="39" t="str">
        <f>+IFERROR(VLOOKUP(A33,Tabla3[[#All],[Identificador]:[Monto_mon_ins]],7,FALSE),"")</f>
        <v/>
      </c>
      <c r="J33" s="39">
        <f t="shared" si="0"/>
        <v>287699.03999999998</v>
      </c>
      <c r="K33" s="40">
        <f t="shared" si="2"/>
        <v>38475.534999999974</v>
      </c>
      <c r="L33" s="41">
        <f t="shared" si="1"/>
        <v>0.15438164630579276</v>
      </c>
    </row>
    <row r="34" spans="1:12">
      <c r="A34" t="str">
        <v>TTWO US Equity</v>
      </c>
      <c r="B34" s="37" t="str">
        <f>+_xll.BDP($A34,"Name")</f>
        <v>TAKE-TWO INTERACTIVE SOFTWRE</v>
      </c>
      <c r="C34" s="38" t="str">
        <f>+INDEX(Tabla1[Moneda],MATCH('P&amp;L Total'!A34,Tabla1[Identificador],0))</f>
        <v>USD</v>
      </c>
      <c r="D34" s="28" cm="1">
        <f t="array" ref="D34">+IF(F34=0,"",_xll.BDP(A34,"PX_LAST"))</f>
        <v>209.08</v>
      </c>
      <c r="E34" s="30">
        <v>0</v>
      </c>
      <c r="F34" s="30">
        <f>SUMIFS(
 Tabla1[Q],
 Tabla1[Identificador],A34,
 Tabla1[Stock],"stock"
)</f>
        <v>330</v>
      </c>
      <c r="G34" s="39">
        <f>SUMIFS(
 Tabla1[Monto compra],
 Tabla1[Identificador],A34
)</f>
        <v>79701.600000000006</v>
      </c>
      <c r="H34" s="39">
        <f>SUMIFS(
 Tabla2[Monto_venta],
 Tabla2[Identificador],A34
)</f>
        <v>0</v>
      </c>
      <c r="I34" s="39" t="str">
        <f>+IFERROR(VLOOKUP(A34,Tabla3[[#All],[Identificador]:[Monto_mon_ins]],7,FALSE),"")</f>
        <v/>
      </c>
      <c r="J34" s="39">
        <f t="shared" si="0"/>
        <v>68996.400000000009</v>
      </c>
      <c r="K34" s="40">
        <f t="shared" si="2"/>
        <v>-10705.199999999997</v>
      </c>
      <c r="L34" s="41">
        <f t="shared" si="1"/>
        <v>-0.13431599867505792</v>
      </c>
    </row>
    <row r="35" spans="1:12">
      <c r="A35" t="str">
        <v>TAN US Equity</v>
      </c>
      <c r="B35" s="37" t="str">
        <f>+_xll.BDP($A35,"Name")</f>
        <v>INVESCO SOLAR ETF</v>
      </c>
      <c r="C35" s="38" t="str">
        <f>+INDEX(Tabla1[Moneda],MATCH('P&amp;L Total'!A35,Tabla1[Identificador],0))</f>
        <v>USD</v>
      </c>
      <c r="D35" s="28" cm="1">
        <f t="array" ref="D35">+IF(F35=0,"",_xll.BDP(A35,"PX_LAST"))</f>
        <v>54.9</v>
      </c>
      <c r="E35" s="30">
        <v>0</v>
      </c>
      <c r="F35" s="30">
        <f>SUMIFS(
 Tabla1[Q],
 Tabla1[Identificador],A35,
 Tabla1[Stock],"stock"
)</f>
        <v>1019</v>
      </c>
      <c r="G35" s="39">
        <f>SUMIFS(
 Tabla1[Monto compra],
 Tabla1[Identificador],A35
)</f>
        <v>49931</v>
      </c>
      <c r="H35" s="39">
        <f>SUMIFS(
 Tabla2[Monto_venta],
 Tabla2[Identificador],A35
)</f>
        <v>0</v>
      </c>
      <c r="I35" s="39" t="str">
        <f>+IFERROR(VLOOKUP(A35,Tabla3[[#All],[Identificador]:[Monto_mon_ins]],7,FALSE),"")</f>
        <v/>
      </c>
      <c r="J35" s="39">
        <f t="shared" si="0"/>
        <v>55943.1</v>
      </c>
      <c r="K35" s="40">
        <f t="shared" si="2"/>
        <v>6012.0999999999985</v>
      </c>
      <c r="L35" s="41">
        <f t="shared" si="1"/>
        <v>0.1204081632653061</v>
      </c>
    </row>
    <row r="36" spans="1:12">
      <c r="A36" t="str">
        <v>ICLN US Equity</v>
      </c>
      <c r="B36" s="37" t="str">
        <f>+_xll.BDP($A36,"Name")</f>
        <v>ISHARES GLOBAL CLEAN ENERGY</v>
      </c>
      <c r="C36" s="38" t="str">
        <f>+INDEX(Tabla1[Moneda],MATCH('P&amp;L Total'!A36,Tabla1[Identificador],0))</f>
        <v>USD</v>
      </c>
      <c r="D36" s="28" cm="1">
        <f t="array" ref="D36">+IF(F36=0,"",_xll.BDP(A36,"PX_LAST"))</f>
        <v>18.25</v>
      </c>
      <c r="E36" s="30">
        <v>0</v>
      </c>
      <c r="F36" s="30">
        <f>SUMIFS(
 Tabla1[Q],
 Tabla1[Identificador],A36,
 Tabla1[Stock],"stock"
)</f>
        <v>4702</v>
      </c>
      <c r="G36" s="39">
        <f>SUMIFS(
 Tabla1[Monto compra],
 Tabla1[Identificador],A36
)</f>
        <v>79886.5098</v>
      </c>
      <c r="H36" s="39">
        <f>SUMIFS(
 Tabla2[Monto_venta],
 Tabla2[Identificador],A36
)</f>
        <v>0</v>
      </c>
      <c r="I36" s="39">
        <f>+IFERROR(VLOOKUP(A36,Tabla3[[#All],[Identificador]:[Monto_mon_ins]],7,FALSE),"")</f>
        <v>602.79640000000006</v>
      </c>
      <c r="J36" s="39">
        <f t="shared" si="0"/>
        <v>85811.5</v>
      </c>
      <c r="K36" s="40">
        <f t="shared" si="2"/>
        <v>6527.7866000000004</v>
      </c>
      <c r="L36" s="41">
        <f t="shared" si="1"/>
        <v>8.1713253168058678E-2</v>
      </c>
    </row>
    <row r="37" spans="1:12">
      <c r="A37" t="str">
        <v>DIS US Equity</v>
      </c>
      <c r="B37" s="37" t="str">
        <f>+_xll.BDP($A37,"Name")</f>
        <v>WALT DISNEY CO/THE</v>
      </c>
      <c r="C37" s="38" t="str">
        <f>+INDEX(Tabla1[Moneda],MATCH('P&amp;L Total'!A37,Tabla1[Identificador],0))</f>
        <v>USD</v>
      </c>
      <c r="D37" s="28" cm="1">
        <f t="array" ref="D37">+IF(F37=0,"",_xll.BDP(A37,"PX_LAST"))</f>
        <v>101.32</v>
      </c>
      <c r="E37" s="30">
        <v>0</v>
      </c>
      <c r="F37" s="30">
        <f>SUMIFS(
 Tabla1[Q],
 Tabla1[Identificador],A37,
 Tabla1[Stock],"stock"
)</f>
        <v>752</v>
      </c>
      <c r="G37" s="39">
        <f>SUMIFS(
 Tabla1[Monto compra],
 Tabla1[Identificador],A37
)</f>
        <v>79817.279999999999</v>
      </c>
      <c r="H37" s="39">
        <f>SUMIFS(
 Tabla2[Monto_venta],
 Tabla2[Identificador],A37
)</f>
        <v>0</v>
      </c>
      <c r="I37" s="39">
        <f>+IFERROR(VLOOKUP(A37,Tabla3[[#All],[Identificador]:[Monto_mon_ins]],7,FALSE),"")</f>
        <v>564</v>
      </c>
      <c r="J37" s="39">
        <f t="shared" si="0"/>
        <v>76192.639999999999</v>
      </c>
      <c r="K37" s="40">
        <f t="shared" si="2"/>
        <v>-3060.6399999999994</v>
      </c>
      <c r="L37" s="41">
        <f t="shared" si="1"/>
        <v>-3.8345581307706794E-2</v>
      </c>
    </row>
    <row r="38" spans="1:12">
      <c r="A38" t="str">
        <v>ORYGENC1 pe Equity</v>
      </c>
      <c r="B38" s="37" t="str">
        <f>+_xll.BDP($A38,"Name")</f>
        <v>ORYGEN PERU SAA</v>
      </c>
      <c r="C38" s="38" t="str">
        <f>+INDEX(Tabla1[Moneda],MATCH('P&amp;L Total'!A38,Tabla1[Identificador],0))</f>
        <v>PEN</v>
      </c>
      <c r="D38" s="28" cm="1">
        <f t="array" ref="D38">+IF(F38=0,"",_xll.BDP(A38,"PX_LAST"))</f>
        <v>3.03</v>
      </c>
      <c r="E38" s="30">
        <v>0</v>
      </c>
      <c r="F38" s="30">
        <f>SUMIFS(
 Tabla1[Q],
 Tabla1[Identificador],A38,
 Tabla1[Stock],"stock"
)</f>
        <v>48829</v>
      </c>
      <c r="G38" s="39">
        <f>SUMIFS(
 Tabla1[Monto compra],
 Tabla1[Identificador],A38
)</f>
        <v>117639.6</v>
      </c>
      <c r="H38" s="39">
        <f>SUMIFS(
 Tabla2[Monto_venta],
 Tabla2[Identificador],A38
)</f>
        <v>0</v>
      </c>
      <c r="I38" s="39">
        <f>+IFERROR(VLOOKUP(A38,Tabla3[[#All],[Identificador]:[Monto_mon_ins]],7,FALSE),"")</f>
        <v>5414.7454680000001</v>
      </c>
      <c r="J38" s="39">
        <f t="shared" si="0"/>
        <v>147951.87</v>
      </c>
      <c r="K38" s="40">
        <f t="shared" si="2"/>
        <v>35727.015467999991</v>
      </c>
      <c r="L38" s="41">
        <f t="shared" si="1"/>
        <v>0.30369888598737149</v>
      </c>
    </row>
    <row r="39" spans="1:12">
      <c r="A39" t="str">
        <v>JAVA US Equity</v>
      </c>
      <c r="B39" s="37" t="str">
        <f>+_xll.BDP($A39,"Name")</f>
        <v>JPMORGAN ACTIVE VALUE ETF</v>
      </c>
      <c r="C39" s="38" t="str">
        <f>+INDEX(Tabla1[Moneda],MATCH('P&amp;L Total'!A39,Tabla1[Identificador],0))</f>
        <v>USD</v>
      </c>
      <c r="D39" s="28" cm="1">
        <f t="array" ref="D39">+IF(F39=0,"",_xll.BDP(A39,"PX_LAST"))</f>
        <v>72.95</v>
      </c>
      <c r="E39" s="30">
        <v>0</v>
      </c>
      <c r="F39" s="30">
        <f>SUMIFS(
 Tabla1[Q],
 Tabla1[Identificador],A39,
 Tabla1[Stock],"stock"
)</f>
        <v>1000</v>
      </c>
      <c r="G39" s="39">
        <f>SUMIFS(
 Tabla1[Monto compra],
 Tabla1[Identificador],A39
)</f>
        <v>72660</v>
      </c>
      <c r="H39" s="39">
        <f>SUMIFS(
 Tabla2[Monto_venta],
 Tabla2[Identificador],A39
)</f>
        <v>0</v>
      </c>
      <c r="I39" s="39">
        <f>+IFERROR(VLOOKUP(A39,Tabla3[[#All],[Identificador]:[Monto_mon_ins]],7,FALSE),"")</f>
        <v>295.89999999999998</v>
      </c>
      <c r="J39" s="39">
        <f t="shared" si="0"/>
        <v>72950</v>
      </c>
      <c r="K39" s="40">
        <f t="shared" si="2"/>
        <v>585.9</v>
      </c>
      <c r="L39" s="41">
        <f t="shared" si="1"/>
        <v>8.0635838150289012E-3</v>
      </c>
    </row>
    <row r="40" spans="1:12">
      <c r="A40" t="str">
        <v>JDOC US Equity</v>
      </c>
      <c r="B40" s="37" t="str">
        <f>+_xll.BDP($A40,"Name")</f>
        <v>JPMORGAN HEALTHCARE LEAD ETF</v>
      </c>
      <c r="C40" s="38" t="str">
        <f>+INDEX(Tabla1[Moneda],MATCH('P&amp;L Total'!A40,Tabla1[Identificador],0))</f>
        <v>USD</v>
      </c>
      <c r="D40" s="28" cm="1">
        <f t="array" ref="D40">+IF(F40=0,"",_xll.BDP(A40,"PX_LAST"))</f>
        <v>57.091700000000003</v>
      </c>
      <c r="E40" s="30">
        <v>0</v>
      </c>
      <c r="F40" s="30">
        <f>SUMIFS(
 Tabla1[Q],
 Tabla1[Identificador],A40,
 Tabla1[Stock],"stock"
)</f>
        <v>2352</v>
      </c>
      <c r="G40" s="39">
        <f>SUMIFS(
 Tabla1[Monto compra],
 Tabla1[Identificador],A40
)</f>
        <v>136937.90506799999</v>
      </c>
      <c r="H40" s="39">
        <f>SUMIFS(
 Tabla2[Monto_venta],
 Tabla2[Identificador],A40
)</f>
        <v>0</v>
      </c>
      <c r="I40" s="39">
        <f>+IFERROR(VLOOKUP(A40,Tabla3[[#All],[Identificador]:[Monto_mon_ins]],7,FALSE),"")</f>
        <v>768.15</v>
      </c>
      <c r="J40" s="39">
        <f t="shared" si="0"/>
        <v>134279.6784</v>
      </c>
      <c r="K40" s="40">
        <f t="shared" si="2"/>
        <v>-1890.0766679999883</v>
      </c>
      <c r="L40" s="41">
        <f t="shared" si="1"/>
        <v>-1.3802435980464451E-2</v>
      </c>
    </row>
    <row r="41" spans="1:12">
      <c r="A41" t="str">
        <v>CPACASC1 PE Equity</v>
      </c>
      <c r="B41" s="37" t="str">
        <f>+_xll.BDP($A41,"Name")</f>
        <v>CEMENTOS PACASMAYO SAA-CMN</v>
      </c>
      <c r="C41" s="38" t="str">
        <f>+INDEX(Tabla1[Moneda],MATCH('P&amp;L Total'!A41,Tabla1[Identificador],0))</f>
        <v>PEN</v>
      </c>
      <c r="D41" s="28" cm="1">
        <f t="array" ref="D41">+IF(F41=0,"",_xll.BDP(A41,"PX_LAST"))</f>
        <v>6.98</v>
      </c>
      <c r="E41" s="30">
        <v>0</v>
      </c>
      <c r="F41" s="30">
        <f>SUMIFS(
 Tabla1[Q],
 Tabla1[Identificador],A41,
 Tabla1[Stock],"stock"
)</f>
        <v>15000</v>
      </c>
      <c r="G41" s="39">
        <f>SUMIFS(
 Tabla1[Monto compra],
 Tabla1[Identificador],A41
)</f>
        <v>103800</v>
      </c>
      <c r="H41" s="39">
        <f>SUMIFS(
 Tabla2[Monto_venta],
 Tabla2[Identificador],A41
)</f>
        <v>0</v>
      </c>
      <c r="I41" s="39" t="str">
        <f>+IFERROR(VLOOKUP(A41,Tabla3[[#All],[Identificador]:[Monto_mon_ins]],7,FALSE),"")</f>
        <v/>
      </c>
      <c r="J41" s="39">
        <f t="shared" si="0"/>
        <v>104700</v>
      </c>
      <c r="K41" s="40">
        <f t="shared" si="2"/>
        <v>900</v>
      </c>
      <c r="L41" s="41">
        <f t="shared" si="1"/>
        <v>8.670520231213872E-3</v>
      </c>
    </row>
    <row r="42" spans="1:12">
      <c r="A42" t="str">
        <v>INRETC1 PE Equity</v>
      </c>
      <c r="B42" s="42" t="str">
        <f>+_xll.BDP($A42,"Name")</f>
        <v>INRETAIL PERU CORP</v>
      </c>
      <c r="C42" s="43" t="str">
        <f>+INDEX(Tabla1[Moneda],MATCH('P&amp;L Total'!A42,Tabla1[Identificador],0))</f>
        <v>USD</v>
      </c>
      <c r="D42" s="44" cm="1">
        <f t="array" ref="D42">+IF(F42=0,"",_xll.BDP(A42,"PX_LAST"))</f>
        <v>28.3</v>
      </c>
      <c r="E42" s="45">
        <v>0</v>
      </c>
      <c r="F42" s="45">
        <f>SUMIFS(
 Tabla1[Q],
 Tabla1[Identificador],A42,
 Tabla1[Stock],"stock"
)</f>
        <v>5100</v>
      </c>
      <c r="G42" s="46">
        <f>SUMIFS(
 Tabla1[Monto compra],
 Tabla1[Identificador],A42
)</f>
        <v>134805</v>
      </c>
      <c r="H42" s="46">
        <f>SUMIFS(
 Tabla2[Monto_venta],
 Tabla2[Identificador],A42
)</f>
        <v>0</v>
      </c>
      <c r="I42" s="46" t="str">
        <f>+IFERROR(VLOOKUP(A42,Tabla3[[#All],[Identificador]:[Monto_mon_ins]],7,FALSE),"")</f>
        <v/>
      </c>
      <c r="J42" s="46">
        <f t="shared" si="0"/>
        <v>144330</v>
      </c>
      <c r="K42" s="47">
        <f t="shared" si="2"/>
        <v>9525</v>
      </c>
      <c r="L42" s="48">
        <f t="shared" si="1"/>
        <v>7.0657616557249364E-2</v>
      </c>
    </row>
    <row r="43" spans="1:12">
      <c r="A43" t="str">
        <v>NFLX US Equity</v>
      </c>
      <c r="B43" s="42" t="str">
        <f>+_xll.BDP($A43,"Name")</f>
        <v>NETFLIX INC</v>
      </c>
      <c r="C43" s="43" t="str">
        <f>+INDEX(Tabla1[Moneda],MATCH('P&amp;L Total'!A43,Tabla1[Identificador],0))</f>
        <v>USD</v>
      </c>
      <c r="D43" s="44" cm="1">
        <f t="array" ref="D43">+IF(F43=0,"",_xll.BDP(A43,"PX_LAST"))</f>
        <v>96.94</v>
      </c>
      <c r="E43" s="45">
        <v>0</v>
      </c>
      <c r="F43" s="45">
        <f>SUMIFS(
 Tabla1[Q],
 Tabla1[Identificador],A43,
 Tabla1[Stock],"stock"
)</f>
        <v>1187</v>
      </c>
      <c r="G43" s="46">
        <f>SUMIFS(
 Tabla1[Monto compra],
 Tabla1[Identificador],A43
)</f>
        <v>100040.36</v>
      </c>
      <c r="H43" s="46">
        <f>SUMIFS(
 Tabla2[Monto_venta],
 Tabla2[Identificador],A43
)</f>
        <v>0</v>
      </c>
      <c r="I43" s="46" t="str">
        <f>+IFERROR(VLOOKUP(A43,Tabla3[[#All],[Identificador]:[Monto_mon_ins]],7,FALSE),"")</f>
        <v/>
      </c>
      <c r="J43" s="46">
        <f t="shared" ref="J43:J44" si="3">+IFERROR(D43*F43,"")</f>
        <v>115067.78</v>
      </c>
      <c r="K43" s="47">
        <f t="shared" ref="K43:K44" si="4">+IF(J43="",0,J43)-G43+H43+IF(I43="",0,I43)</f>
        <v>15027.419999999998</v>
      </c>
      <c r="L43" s="48">
        <f t="shared" ref="L43:L44" si="5">+K43/G43</f>
        <v>0.15021357380161365</v>
      </c>
    </row>
    <row r="44" spans="1:12">
      <c r="A44" t="str">
        <v>TQQQ US Equity</v>
      </c>
      <c r="B44" s="42" t="str">
        <f>+_xll.BDP($A44,"Name")</f>
        <v>PROSHARES ULTRAPRO QQQ</v>
      </c>
      <c r="C44" s="43" t="str">
        <f>+INDEX(Tabla1[Moneda],MATCH('P&amp;L Total'!A44,Tabla1[Identificador],0))</f>
        <v>USD</v>
      </c>
      <c r="D44" s="44" t="str" cm="1">
        <f t="array" ref="D44">+IF(F44=0,"",_xll.BDP(A44,"PX_LAST"))</f>
        <v/>
      </c>
      <c r="E44" s="45">
        <v>0</v>
      </c>
      <c r="F44" s="45">
        <f>SUMIFS(
 Tabla1[Q],
 Tabla1[Identificador],A44,
 Tabla1[Stock],"stock"
)</f>
        <v>0</v>
      </c>
      <c r="G44" s="46">
        <f>SUMIFS(
 Tabla1[Monto compra],
 Tabla1[Identificador],A44
)</f>
        <v>648251.51610000012</v>
      </c>
      <c r="H44" s="46">
        <f>SUMIFS(
 Tabla2[Monto_venta],
 Tabla2[Identificador],A44
)</f>
        <v>660263.06050000002</v>
      </c>
      <c r="I44" s="46" t="str">
        <f>+IFERROR(VLOOKUP(A44,Tabla3[[#All],[Identificador]:[Monto_mon_ins]],7,FALSE),"")</f>
        <v/>
      </c>
      <c r="J44" s="46" t="str">
        <f t="shared" si="3"/>
        <v/>
      </c>
      <c r="K44" s="47">
        <f t="shared" si="4"/>
        <v>12011.544399999897</v>
      </c>
      <c r="L44" s="48">
        <f t="shared" si="5"/>
        <v>1.852914200997716E-2</v>
      </c>
    </row>
    <row r="45" spans="1:12">
      <c r="A45" t="str">
        <v>EWL US Equity</v>
      </c>
      <c r="B45" s="42" t="str">
        <f>+_xll.BDP($A45,"Name")</f>
        <v>ISHARES MSCI SWITZERLAND ETF</v>
      </c>
      <c r="C45" s="43" t="str">
        <f>+INDEX(Tabla1[Moneda],MATCH('P&amp;L Total'!A45,Tabla1[Identificador],0))</f>
        <v>USD</v>
      </c>
      <c r="D45" s="44" cm="1">
        <f t="array" ref="D45">+IF(F45=0,"",_xll.BDP(A45,"PX_LAST"))</f>
        <v>60.24</v>
      </c>
      <c r="E45" s="45">
        <v>0</v>
      </c>
      <c r="F45" s="45">
        <f>SUMIFS(
 Tabla1[Q],
 Tabla1[Identificador],A45,
 Tabla1[Stock],"stock"
)</f>
        <v>1645</v>
      </c>
      <c r="G45" s="46">
        <f>SUMIFS(
 Tabla1[Monto compra],
 Tabla1[Identificador],A45
)</f>
        <v>99854.79</v>
      </c>
      <c r="H45" s="46">
        <f>SUMIFS(
 Tabla2[Monto_venta],
 Tabla2[Identificador],A45
)</f>
        <v>0</v>
      </c>
      <c r="I45" s="46" t="str">
        <f>+IFERROR(VLOOKUP(A45,Tabla3[[#All],[Identificador]:[Monto_mon_ins]],7,FALSE),"")</f>
        <v/>
      </c>
      <c r="J45" s="46">
        <f t="shared" ref="J45" si="6">+IFERROR(D45*F45,"")</f>
        <v>99094.8</v>
      </c>
      <c r="K45" s="47">
        <f t="shared" ref="K45" si="7">+IF(J45="",0,J45)-G45+H45+IF(I45="",0,I45)</f>
        <v>-759.98999999999069</v>
      </c>
      <c r="L45" s="48">
        <f t="shared" ref="L45" si="8">+K45/G45</f>
        <v>-7.6109518632004611E-3</v>
      </c>
    </row>
    <row r="46" spans="1:12">
      <c r="A46" t="str">
        <v>CIB US Equity</v>
      </c>
      <c r="B46" s="42" t="str">
        <f>+_xll.BDP($A46,"Name")</f>
        <v>GRUPO CIBEST SA-ADR</v>
      </c>
      <c r="C46" s="43" t="str">
        <f>+INDEX(Tabla1[Moneda],MATCH('P&amp;L Total'!A46,Tabla1[Identificador],0))</f>
        <v>USD</v>
      </c>
      <c r="D46" s="44" cm="1">
        <f t="array" ref="D46">+IF(F46=0,"",_xll.BDP(A46,"PX_LAST"))</f>
        <v>70.209999999999994</v>
      </c>
      <c r="E46" s="45">
        <v>0</v>
      </c>
      <c r="F46" s="45">
        <f>SUMIFS(
 Tabla1[Q],
 Tabla1[Identificador],A46,
 Tabla1[Stock],"stock"
)</f>
        <v>3705</v>
      </c>
      <c r="G46" s="46">
        <f>SUMIFS(
 Tabla1[Monto compra],
 Tabla1[Identificador],A46
)</f>
        <v>299155</v>
      </c>
      <c r="H46" s="46">
        <f>SUMIFS(
 Tabla2[Monto_venta],
 Tabla2[Identificador],A46
)</f>
        <v>0</v>
      </c>
      <c r="I46" s="46" t="str">
        <f>+IFERROR(VLOOKUP(A46,Tabla3[[#All],[Identificador]:[Monto_mon_ins]],7,FALSE),"")</f>
        <v/>
      </c>
      <c r="J46" s="46">
        <f t="shared" ref="J46" si="9">+IFERROR(D46*F46,"")</f>
        <v>260128.05</v>
      </c>
      <c r="K46" s="47">
        <f t="shared" ref="K46" si="10">+IF(J46="",0,J46)-G46+H46+IF(I46="",0,I46)</f>
        <v>-39026.950000000012</v>
      </c>
      <c r="L46" s="48">
        <f t="shared" ref="L46" si="11">+K46/G46</f>
        <v>-0.13045728802794543</v>
      </c>
    </row>
    <row r="47" spans="1:12">
      <c r="A47" t="str">
        <v>SMH us Equity</v>
      </c>
      <c r="B47" s="42" t="str">
        <f>+_xll.BDP($A47,"Name")</f>
        <v>VANECK SEMICONDUCTOR ETF</v>
      </c>
      <c r="C47" s="43" t="str">
        <f>+INDEX(Tabla1[Moneda],MATCH('P&amp;L Total'!A47,Tabla1[Identificador],0))</f>
        <v>USD</v>
      </c>
      <c r="D47" s="44" cm="1">
        <f t="array" ref="D47">+IF(F47=0,"",_xll.BDP(A47,"PX_LAST"))</f>
        <v>397.33</v>
      </c>
      <c r="E47" s="45">
        <v>0</v>
      </c>
      <c r="F47" s="45">
        <f>SUMIFS(
 Tabla1[Q],
 Tabla1[Identificador],A47,
 Tabla1[Stock],"stock"
)</f>
        <v>357</v>
      </c>
      <c r="G47" s="46">
        <f>SUMIFS(
 Tabla1[Monto compra],
 Tabla1[Identificador],A47
)</f>
        <v>248533.17360000001</v>
      </c>
      <c r="H47" s="46">
        <f>SUMIFS(
 Tabla2[Monto_venta],
 Tabla2[Identificador],A47
)</f>
        <v>112216.52639999999</v>
      </c>
      <c r="I47" s="46" t="str">
        <f>+IFERROR(VLOOKUP(A47,Tabla3[[#All],[Identificador]:[Monto_mon_ins]],7,FALSE),"")</f>
        <v/>
      </c>
      <c r="J47" s="46">
        <f t="shared" ref="J47:J48" si="12">+IFERROR(D47*F47,"")</f>
        <v>141846.81</v>
      </c>
      <c r="K47" s="47">
        <f t="shared" ref="K47:K48" si="13">+IF(J47="",0,J47)-G47+H47+IF(I47="",0,I47)</f>
        <v>5530.1627999999764</v>
      </c>
      <c r="L47" s="48">
        <f t="shared" ref="L47:L48" si="14">+K47/G47</f>
        <v>2.2251205824540987E-2</v>
      </c>
    </row>
    <row r="48" spans="1:12">
      <c r="A48" t="str">
        <v>AMZN us Equity</v>
      </c>
      <c r="B48" s="42" t="str">
        <f>+_xll.BDP($A48,"Name")</f>
        <v>AMAZON.COM INC</v>
      </c>
      <c r="C48" s="43" t="str">
        <f>+INDEX(Tabla1[Moneda],MATCH('P&amp;L Total'!A48,Tabla1[Identificador],0))</f>
        <v>USD</v>
      </c>
      <c r="D48" s="44" cm="1">
        <f t="array" ref="D48">+IF(F48=0,"",_xll.BDP(A48,"PX_LAST"))</f>
        <v>214.33</v>
      </c>
      <c r="E48" s="45">
        <v>0</v>
      </c>
      <c r="F48" s="45">
        <f>SUMIFS(
 Tabla1[Q],
 Tabla1[Identificador],A48,
 Tabla1[Stock],"stock"
)</f>
        <v>978</v>
      </c>
      <c r="G48" s="46">
        <f>SUMIFS(
 Tabla1[Monto compra],
 Tabla1[Identificador],A48
)</f>
        <v>199658.7</v>
      </c>
      <c r="H48" s="46">
        <f>SUMIFS(
 Tabla2[Monto_venta],
 Tabla2[Identificador],A48
)</f>
        <v>0</v>
      </c>
      <c r="I48" s="46" t="str">
        <f>+IFERROR(VLOOKUP(A48,Tabla3[[#All],[Identificador]:[Monto_mon_ins]],7,FALSE),"")</f>
        <v/>
      </c>
      <c r="J48" s="46">
        <f t="shared" si="12"/>
        <v>209614.74000000002</v>
      </c>
      <c r="K48" s="47">
        <f t="shared" si="13"/>
        <v>9956.0400000000081</v>
      </c>
      <c r="L48" s="48">
        <f t="shared" si="14"/>
        <v>4.9865295126132782E-2</v>
      </c>
    </row>
    <row r="49" spans="1:12">
      <c r="A49" t="str">
        <v>EC US Equity</v>
      </c>
      <c r="B49" s="42" t="str">
        <f>+_xll.BDP($A49,"Name")</f>
        <v>ECOPETROL SA-SPONSORED ADR</v>
      </c>
      <c r="C49" s="43" t="str">
        <f>+INDEX(Tabla1[Moneda],MATCH('P&amp;L Total'!A49,Tabla1[Identificador],0))</f>
        <v>USD</v>
      </c>
      <c r="D49" s="44" cm="1">
        <f t="array" ref="D49">+IF(F49=0,"",_xll.BDP(A49,"PX_LAST"))</f>
        <v>12.9</v>
      </c>
      <c r="E49" s="45">
        <v>0</v>
      </c>
      <c r="F49" s="45">
        <f>SUMIFS(
 Tabla1[Q],
 Tabla1[Identificador],A49,
 Tabla1[Stock],"stock"
)</f>
        <v>12482</v>
      </c>
      <c r="G49" s="46">
        <f>SUMIFS(
 Tabla1[Monto compra],
 Tabla1[Identificador],A49
)</f>
        <v>149383.30283599999</v>
      </c>
      <c r="H49" s="46">
        <f>SUMIFS(
 Tabla2[Monto_venta],
 Tabla2[Identificador],A49
)</f>
        <v>0</v>
      </c>
      <c r="I49" s="46" t="str">
        <f>+IFERROR(VLOOKUP(A49,Tabla3[[#All],[Identificador]:[Monto_mon_ins]],7,FALSE),"")</f>
        <v/>
      </c>
      <c r="J49" s="46">
        <f t="shared" ref="J49:J52" si="15">+IFERROR(D49*F49,"")</f>
        <v>161017.80000000002</v>
      </c>
      <c r="K49" s="47">
        <f t="shared" ref="K49:K52" si="16">+IF(J49="",0,J49)-G49+H49+IF(I49="",0,I49)</f>
        <v>11634.497164000029</v>
      </c>
      <c r="L49" s="48">
        <f t="shared" ref="L49:L52" si="17">+K49/G49</f>
        <v>7.7883518058058515E-2</v>
      </c>
    </row>
    <row r="50" spans="1:12">
      <c r="A50" t="str">
        <v>MSFT US Equity</v>
      </c>
      <c r="B50" s="42" t="str">
        <f>+_xll.BDP($A50,"Name")</f>
        <v>MICROSOFT CORP</v>
      </c>
      <c r="C50" s="43" t="str">
        <f>+INDEX(Tabla1[Moneda],MATCH('P&amp;L Total'!A50,Tabla1[Identificador],0))</f>
        <v>USD</v>
      </c>
      <c r="D50" s="44" cm="1">
        <f t="array" ref="D50">+IF(F50=0,"",_xll.BDP(A50,"PX_LAST"))</f>
        <v>405.76</v>
      </c>
      <c r="E50" s="45">
        <v>0</v>
      </c>
      <c r="F50" s="45">
        <f>SUMIFS(
 Tabla1[Q],
 Tabla1[Identificador],A50,
 Tabla1[Stock],"stock"
)</f>
        <v>369</v>
      </c>
      <c r="G50" s="46">
        <f>SUMIFS(
 Tabla1[Monto compra],
 Tabla1[Identificador],A50
)</f>
        <v>149532.78510000001</v>
      </c>
      <c r="H50" s="46">
        <f>SUMIFS(
 Tabla2[Monto_venta],
 Tabla2[Identificador],A50
)</f>
        <v>0</v>
      </c>
      <c r="I50" s="46" t="str">
        <f>+IFERROR(VLOOKUP(A50,Tabla3[[#All],[Identificador]:[Monto_mon_ins]],7,FALSE),"")</f>
        <v/>
      </c>
      <c r="J50" s="46">
        <f t="shared" si="15"/>
        <v>149725.44</v>
      </c>
      <c r="K50" s="47">
        <f t="shared" si="16"/>
        <v>192.65489999999409</v>
      </c>
      <c r="L50" s="48">
        <f t="shared" si="17"/>
        <v>1.2883789991014758E-3</v>
      </c>
    </row>
    <row r="51" spans="1:12">
      <c r="A51" t="str">
        <v>COLO US Equity</v>
      </c>
      <c r="B51" s="42" t="str">
        <f>+_xll.BDP($A51,"Name")</f>
        <v>GLOBAL X MSCI COLOMBIA ETF</v>
      </c>
      <c r="C51" s="43" t="str">
        <f>+INDEX(Tabla1[Moneda],MATCH('P&amp;L Total'!A51,Tabla1[Identificador],0))</f>
        <v>USD</v>
      </c>
      <c r="D51" s="44" cm="1">
        <f t="array" ref="D51">+IF(F51=0,"",_xll.BDP(A51,"PX_LAST"))</f>
        <v>38.54</v>
      </c>
      <c r="E51" s="45">
        <v>0</v>
      </c>
      <c r="F51" s="45">
        <f>SUMIFS(
 Tabla1[Q],
 Tabla1[Identificador],A51,
 Tabla1[Stock],"stock"
)</f>
        <v>5108</v>
      </c>
      <c r="G51" s="46">
        <f>SUMIFS(
 Tabla1[Monto compra],
 Tabla1[Identificador],A51
)</f>
        <v>199814.75932400001</v>
      </c>
      <c r="H51" s="46">
        <f>SUMIFS(
 Tabla2[Monto_venta],
 Tabla2[Identificador],A51
)</f>
        <v>0</v>
      </c>
      <c r="I51" s="46" t="str">
        <f>+IFERROR(VLOOKUP(A51,Tabla3[[#All],[Identificador]:[Monto_mon_ins]],7,FALSE),"")</f>
        <v/>
      </c>
      <c r="J51" s="46">
        <f t="shared" si="15"/>
        <v>196862.32</v>
      </c>
      <c r="K51" s="47">
        <f t="shared" si="16"/>
        <v>-2952.4393240000063</v>
      </c>
      <c r="L51" s="48">
        <f t="shared" si="17"/>
        <v>-1.4775882091936064E-2</v>
      </c>
    </row>
    <row r="52" spans="1:12">
      <c r="A52" t="str">
        <v>YINN US Equity</v>
      </c>
      <c r="B52" s="42" t="str">
        <f>+_xll.BDP($A52,"Name")</f>
        <v>DIREXION DLY FTSE CH BL3X-UI</v>
      </c>
      <c r="C52" s="43" t="str">
        <f>+INDEX(Tabla1[Moneda],MATCH('P&amp;L Total'!A52,Tabla1[Identificador],0))</f>
        <v>USD</v>
      </c>
      <c r="D52" s="44" cm="1">
        <f t="array" ref="D52">+IF(F52=0,"",_xll.BDP(A52,"PX_LAST"))</f>
        <v>35.450000000000003</v>
      </c>
      <c r="E52" s="45">
        <v>0</v>
      </c>
      <c r="F52" s="45">
        <f>SUMIFS(
 Tabla1[Q],
 Tabla1[Identificador],A52,
 Tabla1[Stock],"stock"
)</f>
        <v>2590</v>
      </c>
      <c r="G52" s="46">
        <f>SUMIFS(
 Tabla1[Monto compra],
 Tabla1[Identificador],A52
)</f>
        <v>99520.749999999985</v>
      </c>
      <c r="H52" s="46">
        <f>SUMIFS(
 Tabla2[Monto_venta],
 Tabla2[Identificador],A52
)</f>
        <v>0</v>
      </c>
      <c r="I52" s="46" t="str">
        <f>+IFERROR(VLOOKUP(A52,Tabla3[[#All],[Identificador]:[Monto_mon_ins]],7,FALSE),"")</f>
        <v/>
      </c>
      <c r="J52" s="46">
        <f t="shared" si="15"/>
        <v>91815.500000000015</v>
      </c>
      <c r="K52" s="47">
        <f t="shared" si="16"/>
        <v>-7705.2499999999709</v>
      </c>
      <c r="L52" s="48">
        <f t="shared" si="17"/>
        <v>-7.7423552374755733E-2</v>
      </c>
    </row>
    <row r="53" spans="1:12">
      <c r="A53" t="str">
        <v>EWW US Equity</v>
      </c>
      <c r="B53" s="42" t="str">
        <f>+_xll.BDP($A53,"Name")</f>
        <v>ISHARES MSCI MEXICO ETF</v>
      </c>
      <c r="C53" s="43" t="str">
        <f>+INDEX(Tabla1[Moneda],MATCH('P&amp;L Total'!A53,Tabla1[Identificador],0))</f>
        <v>USD</v>
      </c>
      <c r="D53" s="44" cm="1">
        <f t="array" ref="D53">+IF(F53=0,"",_xll.BDP(A53,"PX_LAST"))</f>
        <v>74.760000000000005</v>
      </c>
      <c r="E53" s="45">
        <v>0</v>
      </c>
      <c r="F53" s="45">
        <f>SUMIFS(
 Tabla1[Q],
 Tabla1[Identificador],A53,
 Tabla1[Stock],"stock"
)</f>
        <v>2484</v>
      </c>
      <c r="G53" s="46">
        <f>SUMIFS(
 Tabla1[Monto compra],
 Tabla1[Identificador],A53
)</f>
        <v>199763.03159999999</v>
      </c>
      <c r="H53" s="46">
        <f>SUMIFS(
 Tabla2[Monto_venta],
 Tabla2[Identificador],A53
)</f>
        <v>0</v>
      </c>
      <c r="I53" s="46" t="str">
        <f>+IFERROR(VLOOKUP(A53,Tabla3[[#All],[Identificador]:[Monto_mon_ins]],7,FALSE),"")</f>
        <v/>
      </c>
      <c r="J53" s="46">
        <f t="shared" ref="J53:J54" si="18">+IFERROR(D53*F53,"")</f>
        <v>185703.84000000003</v>
      </c>
      <c r="K53" s="47">
        <f t="shared" ref="K53:K54" si="19">+IF(J53="",0,J53)-G53+H53+IF(I53="",0,I53)</f>
        <v>-14059.191599999962</v>
      </c>
      <c r="L53" s="48">
        <f t="shared" ref="L53:L54" si="20">+K53/G53</f>
        <v>-7.0379346405553669E-2</v>
      </c>
    </row>
    <row r="54" spans="1:12">
      <c r="A54" t="str">
        <v>EZA US Equity</v>
      </c>
      <c r="B54" s="42" t="str">
        <f>+_xll.BDP($A54,"Name")</f>
        <v>ISHARES MSCI SOUTH AFRICA ET</v>
      </c>
      <c r="C54" s="43" t="str">
        <f>+INDEX(Tabla1[Moneda],MATCH('P&amp;L Total'!A54,Tabla1[Identificador],0))</f>
        <v>USD</v>
      </c>
      <c r="D54" s="44" cm="1">
        <f t="array" ref="D54">+IF(F54=0,"",_xll.BDP(A54,"PX_LAST"))</f>
        <v>73.040000000000006</v>
      </c>
      <c r="E54" s="45">
        <v>0</v>
      </c>
      <c r="F54" s="45">
        <f>SUMIFS(
 Tabla1[Q],
 Tabla1[Identificador],A54,
 Tabla1[Stock],"stock"
)</f>
        <v>3676</v>
      </c>
      <c r="G54" s="46">
        <f>SUMIFS(
 Tabla1[Monto compra],
 Tabla1[Identificador],A54
)</f>
        <v>299850.95240000001</v>
      </c>
      <c r="H54" s="46">
        <f>SUMIFS(
 Tabla2[Monto_venta],
 Tabla2[Identificador],A54
)</f>
        <v>0</v>
      </c>
      <c r="I54" s="46" t="str">
        <f>+IFERROR(VLOOKUP(A54,Tabla3[[#All],[Identificador]:[Monto_mon_ins]],7,FALSE),"")</f>
        <v/>
      </c>
      <c r="J54" s="46">
        <f t="shared" si="18"/>
        <v>268495.04000000004</v>
      </c>
      <c r="K54" s="47">
        <f t="shared" si="19"/>
        <v>-31355.912399999972</v>
      </c>
      <c r="L54" s="48">
        <f t="shared" si="20"/>
        <v>-0.10457166185075613</v>
      </c>
    </row>
    <row r="55" spans="1:12">
      <c r="A55" t="str">
        <v>EWY US Equity</v>
      </c>
      <c r="B55" s="42" t="str">
        <f>+_xll.BDP($A55,"Name")</f>
        <v>ISHARES MSCI SOUTH KOREA ETF</v>
      </c>
      <c r="C55" s="43" t="str">
        <f>+INDEX(Tabla1[Moneda],MATCH('P&amp;L Total'!A55,Tabla1[Identificador],0))</f>
        <v>USD</v>
      </c>
      <c r="D55" s="44" cm="1">
        <f t="array" ref="D55">+IF(F55=0,"",_xll.BDP(A55,"PX_LAST"))</f>
        <v>130.30000000000001</v>
      </c>
      <c r="E55" s="45">
        <v>0</v>
      </c>
      <c r="F55" s="45">
        <f>SUMIFS(
 Tabla1[Q],
 Tabla1[Identificador],A55,
 Tabla1[Stock],"stock"
)</f>
        <v>1327</v>
      </c>
      <c r="G55" s="46">
        <f>SUMIFS(
 Tabla1[Monto compra],
 Tabla1[Identificador],A55
)</f>
        <v>199820.259804</v>
      </c>
      <c r="H55" s="46">
        <f>SUMIFS(
 Tabla2[Monto_venta],
 Tabla2[Identificador],A55
)</f>
        <v>0</v>
      </c>
      <c r="I55" s="46" t="str">
        <f>+IFERROR(VLOOKUP(A55,Tabla3[[#All],[Identificador]:[Monto_mon_ins]],7,FALSE),"")</f>
        <v/>
      </c>
      <c r="J55" s="46">
        <f t="shared" ref="J55" si="21">+IFERROR(D55*F55,"")</f>
        <v>172908.1</v>
      </c>
      <c r="K55" s="47">
        <f t="shared" ref="K55" si="22">+IF(J55="",0,J55)-G55+H55+IF(I55="",0,I55)</f>
        <v>-26912.159803999995</v>
      </c>
      <c r="L55" s="48">
        <f t="shared" ref="L55" si="23">+K55/G55</f>
        <v>-0.13468183771954673</v>
      </c>
    </row>
    <row r="56" spans="1:12">
      <c r="A56" t="str">
        <v>GLD US Equity</v>
      </c>
      <c r="B56" s="42" t="str">
        <f>+_xll.BDP($A56,"Name")</f>
        <v>SPDR GOLD SHARES</v>
      </c>
      <c r="C56" s="43" t="str">
        <f>+INDEX(Tabla1[Moneda],MATCH('P&amp;L Total'!A56,Tabla1[Identificador],0))</f>
        <v>USD</v>
      </c>
      <c r="D56" s="44" cm="1">
        <f t="array" ref="D56">+IF(F56=0,"",_xll.BDP(A56,"PX_LAST"))</f>
        <v>477.86</v>
      </c>
      <c r="E56" s="79">
        <v>0</v>
      </c>
      <c r="F56" s="79">
        <f>SUMIFS(
 Tabla1[Q],
 Tabla1[Identificador],A56,
 Tabla1[Stock],"stock"
)</f>
        <v>609</v>
      </c>
      <c r="G56" s="46">
        <f>SUMIFS(
 Tabla1[Monto compra],
 Tabla1[Identificador],A56
)</f>
        <v>298367.30910000001</v>
      </c>
      <c r="H56" s="46">
        <f>SUMIFS(
 Tabla2[Monto_venta],
 Tabla2[Identificador],A56
)</f>
        <v>0</v>
      </c>
      <c r="I56" s="46" t="str">
        <f>+IFERROR(VLOOKUP(A56,Tabla3[[#All],[Identificador]:[Monto_mon_ins]],7,FALSE),"")</f>
        <v/>
      </c>
      <c r="J56" s="46">
        <f>+IFERROR(D56*F56,"")</f>
        <v>291016.74</v>
      </c>
      <c r="K56" s="47">
        <f>+IF(J56="",0,J56)-G56+H56+IF(I56="",0,I56)</f>
        <v>-7350.5691000000224</v>
      </c>
      <c r="L56" s="48">
        <f>+K56/G56</f>
        <v>-2.4635973432117608E-2</v>
      </c>
    </row>
    <row r="57" spans="1:12">
      <c r="A57" t="str">
        <v>KORU US Equity</v>
      </c>
      <c r="B57" s="42" t="str">
        <f>+_xll.BDP($A57,"Name")</f>
        <v>DIREXION DLY M SK BULL 3X-UI</v>
      </c>
      <c r="C57" s="43" t="str">
        <f>+INDEX(Tabla1[Moneda],MATCH('P&amp;L Total'!A57,Tabla1[Identificador],0))</f>
        <v>USD</v>
      </c>
      <c r="D57" s="44" t="str" cm="1">
        <f t="array" ref="D57">+IF(F57=0,"",_xll.BDP(A57,"PX_LAST"))</f>
        <v/>
      </c>
      <c r="E57" s="79">
        <v>0</v>
      </c>
      <c r="F57" s="79">
        <f>SUMIFS(
 Tabla1[Q],
 Tabla1[Identificador],A57,
 Tabla1[Stock],"stock"
)</f>
        <v>0</v>
      </c>
      <c r="G57" s="46">
        <f>SUMIFS(
 Tabla1[Monto compra],
 Tabla1[Identificador],A57
)</f>
        <v>338559.58689999999</v>
      </c>
      <c r="H57" s="46">
        <f>SUMIFS(
 Tabla2[Monto_venta],
 Tabla2[Identificador],A57
)</f>
        <v>365155.554</v>
      </c>
      <c r="I57" s="46" t="str">
        <f>+IFERROR(VLOOKUP(A57,Tabla3[[#All],[Identificador]:[Monto_mon_ins]],7,FALSE),"")</f>
        <v/>
      </c>
      <c r="J57" s="46" t="str">
        <f>+IFERROR(D57*F57,"")</f>
        <v/>
      </c>
      <c r="K57" s="47">
        <f>+IF(J57="",0,J57)-G57+H57+IF(I57="",0,I57)</f>
        <v>26595.967100000009</v>
      </c>
      <c r="L57" s="48">
        <f>+K57/G57</f>
        <v>7.8556236860767528E-2</v>
      </c>
    </row>
    <row r="58" spans="1:12">
      <c r="A58" t="str">
        <v>EPU US Equity</v>
      </c>
      <c r="B58" s="42" t="str">
        <f>+_xll.BDP($A58,"Name")</f>
        <v>ISHARES MSCI PERU AND GLOBAL</v>
      </c>
      <c r="C58" s="43" t="str">
        <f>+INDEX(Tabla1[Moneda],MATCH('P&amp;L Total'!A58,Tabla1[Identificador],0))</f>
        <v>USD</v>
      </c>
      <c r="D58" s="44" cm="1">
        <f t="array" ref="D58">+IF(F58=0,"",_xll.BDP(A58,"PX_LAST"))</f>
        <v>86.87</v>
      </c>
      <c r="E58" s="79">
        <v>0</v>
      </c>
      <c r="F58" s="79">
        <f>SUMIFS(
 Tabla1[Q],
 Tabla1[Identificador],A58,
 Tabla1[Stock],"stock"
)</f>
        <v>2369</v>
      </c>
      <c r="G58" s="46">
        <f>SUMIFS(
 Tabla1[Monto compra],
 Tabla1[Identificador],A58
)</f>
        <v>198753.772119</v>
      </c>
      <c r="H58" s="46">
        <f>SUMIFS(
 Tabla2[Monto_venta],
 Tabla2[Identificador],A58
)</f>
        <v>0</v>
      </c>
      <c r="I58" s="46" t="str">
        <f>+IFERROR(VLOOKUP(A58,Tabla3[[#All],[Identificador]:[Monto_mon_ins]],7,FALSE),"")</f>
        <v/>
      </c>
      <c r="J58" s="46">
        <f>+IFERROR(D58*F58,"")</f>
        <v>205795.03</v>
      </c>
      <c r="K58" s="47">
        <f>+IF(J58="",0,J58)-G58+H58+IF(I58="",0,I58)</f>
        <v>7041.2578809999977</v>
      </c>
      <c r="L58" s="48">
        <f>+K58/G58</f>
        <v>3.5427040231388311E-2</v>
      </c>
    </row>
  </sheetData>
  <autoFilter ref="A1:L46" xr:uid="{00000000-0001-0000-0000-000000000000}"/>
  <conditionalFormatting sqref="L2:L58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{F47EA075-7F9D-4D3F-82A2-3CE1A7F233F9}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{5ACF22BC-4DEE-4AAE-B2C6-B45CDAF276CA}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7EA075-7F9D-4D3F-82A2-3CE1A7F23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CF22BC-4DEE-4AAE-B2C6-B45CDAF276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L2:L58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 filterMode="1">
    <tabColor rgb="FFA6C9EC"/>
  </sheetPr>
  <dimension ref="A1:O49"/>
  <sheetViews>
    <sheetView showGridLines="0" topLeftCell="B16" zoomScale="70" zoomScaleNormal="70" workbookViewId="0">
      <selection activeCell="F47" sqref="F47"/>
    </sheetView>
  </sheetViews>
  <sheetFormatPr baseColWidth="10" defaultColWidth="9.109375" defaultRowHeight="14.4" outlineLevelCol="1"/>
  <cols>
    <col min="1" max="1" width="19.33203125" bestFit="1" customWidth="1"/>
    <col min="2" max="4" width="19.33203125" customWidth="1"/>
    <col min="5" max="5" width="38.6640625" customWidth="1"/>
    <col min="6" max="6" width="15.88671875" customWidth="1" outlineLevel="1"/>
    <col min="7" max="7" width="17.44140625" customWidth="1" outlineLevel="1"/>
    <col min="8" max="9" width="16.33203125" customWidth="1" outlineLevel="1"/>
    <col min="10" max="10" width="24.33203125" customWidth="1" outlineLevel="1"/>
    <col min="11" max="12" width="23" customWidth="1" outlineLevel="1"/>
    <col min="13" max="13" width="12.6640625" style="52" customWidth="1" outlineLevel="1"/>
    <col min="14" max="14" width="14.33203125" customWidth="1"/>
    <col min="15" max="15" width="13.109375" customWidth="1"/>
  </cols>
  <sheetData>
    <row r="1" spans="1:15">
      <c r="A1" s="8" t="s">
        <v>15</v>
      </c>
      <c r="B1" s="8" t="s">
        <v>27</v>
      </c>
      <c r="C1" s="8" t="s">
        <v>17</v>
      </c>
      <c r="D1" s="8" t="s">
        <v>28</v>
      </c>
      <c r="E1" s="8" t="s">
        <v>16</v>
      </c>
      <c r="F1" s="8" t="s">
        <v>29</v>
      </c>
      <c r="G1" s="8" t="s">
        <v>30</v>
      </c>
      <c r="H1" s="9" t="s">
        <v>31</v>
      </c>
      <c r="I1" s="3" t="s">
        <v>32</v>
      </c>
      <c r="J1" s="3" t="s">
        <v>33</v>
      </c>
      <c r="K1" s="9" t="s">
        <v>34</v>
      </c>
      <c r="L1" s="9" t="s">
        <v>35</v>
      </c>
      <c r="M1" s="50" t="s">
        <v>36</v>
      </c>
      <c r="N1" s="9" t="s">
        <v>26</v>
      </c>
      <c r="O1" s="10" t="s">
        <v>37</v>
      </c>
    </row>
    <row r="2" spans="1:15">
      <c r="A2" t="str" cm="1">
        <f t="array" ref="A2:A49">+_xlfn.UNIQUE(_xlfn._xlws.FILTER(Tabla1[Identificador],(Tabla1[Stock]="stock"),))</f>
        <v>EEM US Equity</v>
      </c>
      <c r="B2" t="str" cm="1">
        <f t="array" ref="B2">_xll.BDP(A2,"ID_ISIN")</f>
        <v>US4642872349</v>
      </c>
      <c r="C2" t="str">
        <f>+INDEX(Tabla1[Moneda],MATCH(A2,Tabla1[Identificador],0))</f>
        <v>USD</v>
      </c>
      <c r="D2" t="str" cm="1">
        <f t="array" ref="D2">_xll.BDP(A2, "DS213")</f>
        <v>ETP</v>
      </c>
      <c r="E2" t="str">
        <f>+_xll.BDP($A2,"Name")</f>
        <v>ISHARES MSCI EMERGING MARKET</v>
      </c>
      <c r="F2" s="17">
        <f>SUMIFS(
 Tabla1[Q],
 Tabla1[Identificador],A2,
 Tabla1[Stock],"stock"
)</f>
        <v>4425</v>
      </c>
      <c r="G2" s="17" cm="1">
        <f t="array" ref="G2">SUMPRODUCT(
 (Tabla1[Identificador]=A2)*
 (Tabla1[Stock]="stock")*
 Tabla1[Q]*
 Tabla1[P]
)
/SUMIFS(
 Tabla1[Q],
 Tabla1[Identificador],A2,
 Tabla1[Stock],"stock"
)</f>
        <v>54.124155118644069</v>
      </c>
      <c r="H2" cm="1">
        <f t="array" ref="H2">+_xll.BDP(A2,"PX_LAST")</f>
        <v>58.68</v>
      </c>
      <c r="I2" cm="1">
        <f t="array" ref="I2">+_xll.BDP(A2,"PX_CLOSE_1D")</f>
        <v>58.45</v>
      </c>
      <c r="J2" s="24">
        <f>+F2*G2</f>
        <v>239499.38640000002</v>
      </c>
      <c r="K2" s="17">
        <f>+H2*F2</f>
        <v>259659</v>
      </c>
      <c r="L2" s="17">
        <f>+I2*F2</f>
        <v>258641.25</v>
      </c>
      <c r="M2" s="51">
        <f t="shared" ref="M2:M37" si="0">+IF(C2="USD",K2/SUMIF(C:C,C2,K:K),K2/SUMIF(C:C,C2,K:K))</f>
        <v>4.2838039327715384E-2</v>
      </c>
      <c r="N2" s="25">
        <f>+(H2*F2)/(F2*G2)-1</f>
        <v>8.4173967637354963E-2</v>
      </c>
      <c r="O2" s="25" cm="1">
        <f t="array" ref="O2">+_xll.BDP(A2,"CURRENT_TRR_1D")/100</f>
        <v>0</v>
      </c>
    </row>
    <row r="3" spans="1:15" hidden="1">
      <c r="A3" t="str">
        <v>XLU US Equity</v>
      </c>
      <c r="B3" t="str" cm="1">
        <f t="array" ref="B3">_xll.BDP(A3,"ID_ISIN")</f>
        <v>US81369Y8865</v>
      </c>
      <c r="C3" t="str">
        <f>+INDEX(Tabla1[Moneda],MATCH(A3,Tabla1[Identificador],0))</f>
        <v>USD</v>
      </c>
      <c r="D3" t="str" cm="1">
        <f t="array" ref="D3">_xll.BDP(A3, "DS213")</f>
        <v>ETP</v>
      </c>
      <c r="E3" t="str">
        <f>+_xll.BDP($A3,"Name")</f>
        <v>ST SR UTL SL SE SPDR ETF-USD</v>
      </c>
      <c r="F3" s="17">
        <f>SUMIFS(
 Tabla1[Q],
 Tabla1[Identificador],A3,
 Tabla1[Stock],"stock"
)</f>
        <v>4123</v>
      </c>
      <c r="G3" s="17" cm="1">
        <f t="array" ref="G3">SUMPRODUCT(
 (Tabla1[Identificador]=A3)*
 (Tabla1[Stock]="stock")*
 Tabla1[Q]*
 Tabla1[P]
)
/SUMIFS(
 Tabla1[Q],
 Tabla1[Identificador],A3,
 Tabla1[Stock],"stock"
)</f>
        <v>43.582007688576283</v>
      </c>
      <c r="H3" cm="1">
        <f t="array" ref="H3">+_xll.BDP(A3,"PX_LAST")</f>
        <v>46.56</v>
      </c>
      <c r="I3" cm="1">
        <f t="array" ref="I3">+_xll.BDP(A3,"PX_CLOSE_1D")</f>
        <v>46.85</v>
      </c>
      <c r="J3" s="24">
        <f t="shared" ref="J3:J34" si="1">+F3*G3</f>
        <v>179688.6177</v>
      </c>
      <c r="K3" s="17">
        <f t="shared" ref="K3:K34" si="2">+H3*F3</f>
        <v>191966.88</v>
      </c>
      <c r="L3" s="17">
        <f>+I3*F3</f>
        <v>193162.55000000002</v>
      </c>
      <c r="M3" s="51">
        <f t="shared" si="0"/>
        <v>3.1670324367954972E-2</v>
      </c>
      <c r="N3" s="25">
        <f t="shared" ref="N3:N34" si="3">+(H3*F3)/(F3*G3)-1</f>
        <v>6.8330773852906201E-2</v>
      </c>
      <c r="O3" s="25" cm="1">
        <f t="array" ref="O3">+_xll.BDP(A3,"CURRENT_TRR_1D")/100</f>
        <v>0</v>
      </c>
    </row>
    <row r="4" spans="1:15" hidden="1">
      <c r="A4" t="str">
        <v>XLI US Equity</v>
      </c>
      <c r="B4" t="str" cm="1">
        <f t="array" ref="B4">_xll.BDP(A4,"ID_ISIN")</f>
        <v>US81369Y7040</v>
      </c>
      <c r="C4" t="str">
        <f>+INDEX(Tabla1[Moneda],MATCH(A4,Tabla1[Identificador],0))</f>
        <v>USD</v>
      </c>
      <c r="D4" t="str" cm="1">
        <f t="array" ref="D4">_xll.BDP(A4, "DS213")</f>
        <v>ETP</v>
      </c>
      <c r="E4" t="str">
        <f>+_xll.BDP($A4,"Name")</f>
        <v>SS INDUSTRIAL SELECT SECTOR</v>
      </c>
      <c r="F4" s="17">
        <f>SUMIFS(
 Tabla1[Q],
 Tabla1[Identificador],A4,
 Tabla1[Stock],"stock"
)</f>
        <v>810</v>
      </c>
      <c r="G4" s="17" cm="1">
        <f t="array" ref="G4">SUMPRODUCT(
 (Tabla1[Identificador]=A4)*
 (Tabla1[Stock]="stock")*
 Tabla1[Q]*
 Tabla1[P]
)
/SUMIFS(
 Tabla1[Q],
 Tabla1[Identificador],A4,
 Tabla1[Stock],"stock"
)</f>
        <v>160.25481827160496</v>
      </c>
      <c r="H4" cm="1">
        <f t="array" ref="H4">+_xll.BDP(A4,"PX_LAST")</f>
        <v>170.02</v>
      </c>
      <c r="I4" cm="1">
        <f t="array" ref="I4">+_xll.BDP(A4,"PX_CLOSE_1D")</f>
        <v>170.94</v>
      </c>
      <c r="J4" s="24">
        <f t="shared" si="1"/>
        <v>129806.40280000003</v>
      </c>
      <c r="K4" s="17">
        <f t="shared" si="2"/>
        <v>137716.20000000001</v>
      </c>
      <c r="L4" s="17">
        <f t="shared" ref="L4:L34" si="4">+I4*F4</f>
        <v>138461.4</v>
      </c>
      <c r="M4" s="51">
        <f t="shared" si="0"/>
        <v>2.2720152167510152E-2</v>
      </c>
      <c r="N4" s="25">
        <f t="shared" si="3"/>
        <v>6.0935339315943082E-2</v>
      </c>
      <c r="O4" s="25" cm="1">
        <f t="array" ref="O4">+_xll.BDP(A4,"CURRENT_TRR_1D")/100</f>
        <v>0</v>
      </c>
    </row>
    <row r="5" spans="1:15" hidden="1">
      <c r="A5" t="str">
        <v>XLY US Equity</v>
      </c>
      <c r="B5" t="str" cm="1">
        <f t="array" ref="B5">_xll.BDP(A5,"ID_ISIN")</f>
        <v>US81369Y4070</v>
      </c>
      <c r="C5" t="str">
        <f>+INDEX(Tabla1[Moneda],MATCH(A5,Tabla1[Identificador],0))</f>
        <v>USD</v>
      </c>
      <c r="D5" t="str" cm="1">
        <f t="array" ref="D5">_xll.BDP(A5, "DS213")</f>
        <v>ETP</v>
      </c>
      <c r="E5" t="str">
        <f>+_xll.BDP($A5,"Name")</f>
        <v>SS CONSUMER DISC SELECT SECT</v>
      </c>
      <c r="F5" s="17">
        <f>SUMIFS(
 Tabla1[Q],
 Tabla1[Identificador],A5,
 Tabla1[Stock],"stock"
)</f>
        <v>1104</v>
      </c>
      <c r="G5" s="17" cm="1">
        <f t="array" ref="G5">SUMPRODUCT(
 (Tabla1[Identificador]=A5)*
 (Tabla1[Stock]="stock")*
 Tabla1[Q]*
 Tabla1[P]
)
/SUMIFS(
 Tabla1[Q],
 Tabla1[Identificador],A5,
 Tabla1[Stock],"stock"
)</f>
        <v>117.47656702898551</v>
      </c>
      <c r="H5" cm="1">
        <f t="array" ref="H5">+_xll.BDP(A5,"PX_LAST")</f>
        <v>114.44</v>
      </c>
      <c r="I5" cm="1">
        <f t="array" ref="I5">+_xll.BDP(A5,"PX_CLOSE_1D")</f>
        <v>114.59</v>
      </c>
      <c r="J5" s="24">
        <f t="shared" si="1"/>
        <v>129694.13</v>
      </c>
      <c r="K5" s="17">
        <f t="shared" si="2"/>
        <v>126341.75999999999</v>
      </c>
      <c r="L5" s="17">
        <f t="shared" si="4"/>
        <v>126507.36</v>
      </c>
      <c r="M5" s="51">
        <f t="shared" si="0"/>
        <v>2.0843619068134662E-2</v>
      </c>
      <c r="N5" s="25">
        <f t="shared" si="3"/>
        <v>-2.5848278561258042E-2</v>
      </c>
      <c r="O5" s="25" cm="1">
        <f t="array" ref="O5">+_xll.BDP(A5,"CURRENT_TRR_1D")/100</f>
        <v>0</v>
      </c>
    </row>
    <row r="6" spans="1:15" hidden="1">
      <c r="A6" t="str">
        <v>FDX US Equity</v>
      </c>
      <c r="B6" t="str" cm="1">
        <f t="array" ref="B6">_xll.BDP(A6,"ID_ISIN")</f>
        <v>US31428X1063</v>
      </c>
      <c r="C6" t="str">
        <f>+INDEX(Tabla1[Moneda],MATCH(A6,Tabla1[Identificador],0))</f>
        <v>USD</v>
      </c>
      <c r="D6" t="str" cm="1">
        <f t="array" ref="D6">_xll.BDP(A6, "DS213")</f>
        <v>Common Stock</v>
      </c>
      <c r="E6" t="str">
        <f>+_xll.BDP($A6,"Name")</f>
        <v>FEDEX CORP</v>
      </c>
      <c r="F6" s="17">
        <f>SUMIFS(
 Tabla1[Q],
 Tabla1[Identificador],A6,
 Tabla1[Stock],"stock"
)</f>
        <v>218</v>
      </c>
      <c r="G6" s="17" cm="1">
        <f t="array" ref="G6">SUMPRODUCT(
 (Tabla1[Identificador]=A6)*
 (Tabla1[Stock]="stock")*
 Tabla1[Q]*
 Tabla1[P]
)
/SUMIFS(
 Tabla1[Q],
 Tabla1[Identificador],A6,
 Tabla1[Stock],"stock"
)</f>
        <v>228.40000000000003</v>
      </c>
      <c r="H6" cm="1">
        <f t="array" ref="H6">+_xll.BDP(A6,"PX_LAST")</f>
        <v>359.47</v>
      </c>
      <c r="I6" cm="1">
        <f t="array" ref="I6">+_xll.BDP(A6,"PX_CLOSE_1D")</f>
        <v>361.1</v>
      </c>
      <c r="J6" s="24">
        <f t="shared" si="1"/>
        <v>49791.200000000004</v>
      </c>
      <c r="K6" s="17">
        <f t="shared" si="2"/>
        <v>78364.460000000006</v>
      </c>
      <c r="L6" s="17">
        <f t="shared" si="4"/>
        <v>78719.8</v>
      </c>
      <c r="M6" s="51">
        <f t="shared" si="0"/>
        <v>1.2928416959840327E-2</v>
      </c>
      <c r="N6" s="25">
        <f t="shared" si="3"/>
        <v>0.57386164623467595</v>
      </c>
      <c r="O6" s="25" cm="1">
        <f t="array" ref="O6">+_xll.BDP(A6,"CURRENT_TRR_1D")/100</f>
        <v>0</v>
      </c>
    </row>
    <row r="7" spans="1:15">
      <c r="A7" t="str">
        <v>NIO US Equity</v>
      </c>
      <c r="B7" t="str" cm="1">
        <f t="array" ref="B7">_xll.BDP(A7,"ID_ISIN")</f>
        <v>US62914V1061</v>
      </c>
      <c r="C7" t="str">
        <f>+INDEX(Tabla1[Moneda],MATCH(A7,Tabla1[Identificador],0))</f>
        <v>USD</v>
      </c>
      <c r="D7" t="str" cm="1">
        <f t="array" ref="D7">_xll.BDP(A7, "DS213")</f>
        <v>ADR</v>
      </c>
      <c r="E7" t="str">
        <f>+_xll.BDP($A7,"Name")</f>
        <v>NIO INC - ADR</v>
      </c>
      <c r="F7" s="17">
        <f>SUMIFS(
 Tabla1[Q],
 Tabla1[Identificador],A7,
 Tabla1[Stock],"stock"
)</f>
        <v>18368</v>
      </c>
      <c r="G7" s="17" cm="1">
        <f t="array" ref="G7">SUMPRODUCT(
 (Tabla1[Identificador]=A7)*
 (Tabla1[Stock]="stock")*
 Tabla1[Q]*
 Tabla1[P]
)
/SUMIFS(
 Tabla1[Q],
 Tabla1[Identificador],A7,
 Tabla1[Stock],"stock"
)</f>
        <v>5.6903283972125447</v>
      </c>
      <c r="H7" cm="1">
        <f t="array" ref="H7">+_xll.BDP(A7,"PX_LAST")</f>
        <v>5.7</v>
      </c>
      <c r="I7" cm="1">
        <f t="array" ref="I7">+_xll.BDP(A7,"PX_CLOSE_1D")</f>
        <v>4.9400000000000004</v>
      </c>
      <c r="J7" s="24">
        <f t="shared" si="1"/>
        <v>104519.95200000002</v>
      </c>
      <c r="K7" s="17">
        <f t="shared" si="2"/>
        <v>104697.60000000001</v>
      </c>
      <c r="L7" s="17">
        <f t="shared" si="4"/>
        <v>90737.920000000013</v>
      </c>
      <c r="M7" s="51">
        <f t="shared" si="0"/>
        <v>1.7272807437128751E-2</v>
      </c>
      <c r="N7" s="25">
        <f t="shared" si="3"/>
        <v>1.699656348866263E-3</v>
      </c>
      <c r="O7" s="25" cm="1">
        <f t="array" ref="O7">+_xll.BDP(A7,"CURRENT_TRR_1D")/100</f>
        <v>0</v>
      </c>
    </row>
    <row r="8" spans="1:15">
      <c r="A8" t="str">
        <v>PRU US Equity</v>
      </c>
      <c r="B8" t="str" cm="1">
        <f t="array" ref="B8">_xll.BDP(A8,"ID_ISIN")</f>
        <v>US7443201022</v>
      </c>
      <c r="C8" t="str">
        <f>+INDEX(Tabla1[Moneda],MATCH(A8,Tabla1[Identificador],0))</f>
        <v>USD</v>
      </c>
      <c r="D8" t="str" cm="1">
        <f t="array" ref="D8">_xll.BDP(A8, "DS213")</f>
        <v>Common Stock</v>
      </c>
      <c r="E8" t="str">
        <f>+_xll.BDP($A8,"Name")</f>
        <v>PRUDENTIAL FINANCIAL INC</v>
      </c>
      <c r="F8" s="17">
        <f>SUMIFS(
 Tabla1[Q],
 Tabla1[Identificador],A8,
 Tabla1[Stock],"stock"
)</f>
        <v>483</v>
      </c>
      <c r="G8" s="17" cm="1">
        <f t="array" ref="G8">SUMPRODUCT(
 (Tabla1[Identificador]=A8)*
 (Tabla1[Stock]="stock")*
 Tabla1[Q]*
 Tabla1[P]
)
/SUMIFS(
 Tabla1[Q],
 Tabla1[Identificador],A8,
 Tabla1[Stock],"stock"
)</f>
        <v>103.3625</v>
      </c>
      <c r="H8" cm="1">
        <f t="array" ref="H8">+_xll.BDP(A8,"PX_LAST")</f>
        <v>95.47</v>
      </c>
      <c r="I8" cm="1">
        <f t="array" ref="I8">+_xll.BDP(A8,"PX_CLOSE_1D")</f>
        <v>95.93</v>
      </c>
      <c r="J8" s="24">
        <f t="shared" si="1"/>
        <v>49924.087500000001</v>
      </c>
      <c r="K8" s="17">
        <f t="shared" si="2"/>
        <v>46112.01</v>
      </c>
      <c r="L8" s="17">
        <f t="shared" si="4"/>
        <v>46334.19</v>
      </c>
      <c r="M8" s="51">
        <f t="shared" si="0"/>
        <v>7.6074701738048948E-3</v>
      </c>
      <c r="N8" s="25">
        <f t="shared" si="3"/>
        <v>-7.6357479743620726E-2</v>
      </c>
      <c r="O8" s="25" cm="1">
        <f t="array" ref="O8">+_xll.BDP(A8,"CURRENT_TRR_1D")/100</f>
        <v>0</v>
      </c>
    </row>
    <row r="9" spans="1:15">
      <c r="A9" t="str">
        <v>KMB US Equity</v>
      </c>
      <c r="B9" t="str" cm="1">
        <f t="array" ref="B9">_xll.BDP(A9,"ID_ISIN")</f>
        <v>US4943681035</v>
      </c>
      <c r="C9" t="str">
        <f>+INDEX(Tabla1[Moneda],MATCH(A9,Tabla1[Identificador],0))</f>
        <v>USD</v>
      </c>
      <c r="D9" t="str" cm="1">
        <f t="array" ref="D9">_xll.BDP(A9, "DS213")</f>
        <v>Common Stock</v>
      </c>
      <c r="E9" t="str">
        <f>+_xll.BDP($A9,"Name")</f>
        <v>KIMBERLY-CLARK CORP</v>
      </c>
      <c r="F9" s="17">
        <f>SUMIFS(
 Tabla1[Q],
 Tabla1[Identificador],A9,
 Tabla1[Stock],"stock"
)</f>
        <v>802</v>
      </c>
      <c r="G9" s="17" cm="1">
        <f t="array" ref="G9">SUMPRODUCT(
 (Tabla1[Identificador]=A9)*
 (Tabla1[Stock]="stock")*
 Tabla1[Q]*
 Tabla1[P]
)
/SUMIFS(
 Tabla1[Q],
 Tabla1[Identificador],A9,
 Tabla1[Stock],"stock"
)</f>
        <v>114.21488753117205</v>
      </c>
      <c r="H9" cm="1">
        <f t="array" ref="H9">+_xll.BDP(A9,"PX_LAST")</f>
        <v>101.71</v>
      </c>
      <c r="I9" cm="1">
        <f t="array" ref="I9">+_xll.BDP(A9,"PX_CLOSE_1D")</f>
        <v>102.85</v>
      </c>
      <c r="J9" s="24">
        <f t="shared" si="1"/>
        <v>91600.339799999987</v>
      </c>
      <c r="K9" s="17">
        <f t="shared" si="2"/>
        <v>81571.42</v>
      </c>
      <c r="L9" s="17">
        <f t="shared" si="4"/>
        <v>82485.7</v>
      </c>
      <c r="M9" s="51">
        <f t="shared" si="0"/>
        <v>1.3457495014529015E-2</v>
      </c>
      <c r="N9" s="25">
        <f t="shared" si="3"/>
        <v>-0.10948561786885413</v>
      </c>
      <c r="O9" s="25" cm="1">
        <f t="array" ref="O9">+_xll.BDP(A9,"CURRENT_TRR_1D")/100</f>
        <v>0</v>
      </c>
    </row>
    <row r="10" spans="1:15">
      <c r="A10" t="str">
        <v>UNH US Equity</v>
      </c>
      <c r="B10" t="str" cm="1">
        <f t="array" ref="B10">_xll.BDP(A10,"ID_ISIN")</f>
        <v>US91324P1021</v>
      </c>
      <c r="C10" t="str">
        <f>+INDEX(Tabla1[Moneda],MATCH(A10,Tabla1[Identificador],0))</f>
        <v>USD</v>
      </c>
      <c r="D10" t="str" cm="1">
        <f t="array" ref="D10">_xll.BDP(A10, "DS213")</f>
        <v>Common Stock</v>
      </c>
      <c r="E10" t="str">
        <f>+_xll.BDP($A10,"Name")</f>
        <v>UNITEDHEALTH GROUP INC</v>
      </c>
      <c r="F10" s="17">
        <f>SUMIFS(
 Tabla1[Q],
 Tabla1[Identificador],A10,
 Tabla1[Stock],"stock"
)</f>
        <v>437</v>
      </c>
      <c r="G10" s="17" cm="1">
        <f t="array" ref="G10">SUMPRODUCT(
 (Tabla1[Identificador]=A10)*
 (Tabla1[Stock]="stock")*
 Tabla1[Q]*
 Tabla1[P]
)
/SUMIFS(
 Tabla1[Q],
 Tabla1[Identificador],A10,
 Tabla1[Stock],"stock"
)</f>
        <v>342.35101281464529</v>
      </c>
      <c r="H10" cm="1">
        <f t="array" ref="H10">+_xll.BDP(A10,"PX_LAST")</f>
        <v>282.33999999999997</v>
      </c>
      <c r="I10" cm="1">
        <f t="array" ref="I10">+_xll.BDP(A10,"PX_CLOSE_1D")</f>
        <v>285.17</v>
      </c>
      <c r="J10" s="24">
        <f t="shared" si="1"/>
        <v>149607.39259999999</v>
      </c>
      <c r="K10" s="17">
        <f t="shared" si="2"/>
        <v>123382.57999999999</v>
      </c>
      <c r="L10" s="17">
        <f t="shared" si="4"/>
        <v>124619.29000000001</v>
      </c>
      <c r="M10" s="51">
        <f t="shared" si="0"/>
        <v>2.0355419278341939E-2</v>
      </c>
      <c r="N10" s="25">
        <f t="shared" si="3"/>
        <v>-0.17529088733012255</v>
      </c>
      <c r="O10" s="25" cm="1">
        <f t="array" ref="O10">+_xll.BDP(A10,"CURRENT_TRR_1D")/100</f>
        <v>0</v>
      </c>
    </row>
    <row r="11" spans="1:15">
      <c r="A11" t="str">
        <v>KKR US Equity</v>
      </c>
      <c r="B11" t="str" cm="1">
        <f t="array" ref="B11">_xll.BDP(A11,"ID_ISIN")</f>
        <v>US48251W1045</v>
      </c>
      <c r="C11" t="str">
        <f>+INDEX(Tabla1[Moneda],MATCH(A11,Tabla1[Identificador],0))</f>
        <v>USD</v>
      </c>
      <c r="D11" t="str" cm="1">
        <f t="array" ref="D11">_xll.BDP(A11, "DS213")</f>
        <v>Common Stock</v>
      </c>
      <c r="E11" t="str">
        <f>+_xll.BDP($A11,"Name")</f>
        <v>KKR &amp; CO INC</v>
      </c>
      <c r="F11" s="17">
        <f>SUMIFS(
 Tabla1[Q],
 Tabla1[Identificador],A11,
 Tabla1[Stock],"stock"
)</f>
        <v>341</v>
      </c>
      <c r="G11" s="17" cm="1">
        <f t="array" ref="G11">SUMPRODUCT(
 (Tabla1[Identificador]=A11)*
 (Tabla1[Stock]="stock")*
 Tabla1[Q]*
 Tabla1[P]
)
/SUMIFS(
 Tabla1[Q],
 Tabla1[Identificador],A11,
 Tabla1[Stock],"stock"
)</f>
        <v>146.35</v>
      </c>
      <c r="H11" cm="1">
        <f t="array" ref="H11">+_xll.BDP(A11,"PX_LAST")</f>
        <v>89.96</v>
      </c>
      <c r="I11" cm="1">
        <f t="array" ref="I11">+_xll.BDP(A11,"PX_CLOSE_1D")</f>
        <v>90.94</v>
      </c>
      <c r="J11" s="24">
        <f t="shared" si="1"/>
        <v>49905.35</v>
      </c>
      <c r="K11" s="17">
        <f t="shared" si="2"/>
        <v>30676.359999999997</v>
      </c>
      <c r="L11" s="17">
        <f t="shared" si="4"/>
        <v>31010.54</v>
      </c>
      <c r="M11" s="51">
        <f t="shared" si="0"/>
        <v>5.0609265078859393E-3</v>
      </c>
      <c r="N11" s="25">
        <f t="shared" si="3"/>
        <v>-0.38530919029723265</v>
      </c>
      <c r="O11" s="25" cm="1">
        <f t="array" ref="O11">+_xll.BDP(A11,"CURRENT_TRR_1D")/100</f>
        <v>0</v>
      </c>
    </row>
    <row r="12" spans="1:15">
      <c r="A12" t="str">
        <v>EUFN US Equity</v>
      </c>
      <c r="B12" t="str" cm="1">
        <f t="array" ref="B12">_xll.BDP(A12,"ID_ISIN")</f>
        <v>US4642891802</v>
      </c>
      <c r="C12" t="str">
        <f>+INDEX(Tabla1[Moneda],MATCH(A12,Tabla1[Identificador],0))</f>
        <v>USD</v>
      </c>
      <c r="D12" t="str" cm="1">
        <f t="array" ref="D12">_xll.BDP(A12, "DS213")</f>
        <v>ETP</v>
      </c>
      <c r="E12" t="str">
        <f>+_xll.BDP($A12,"Name")</f>
        <v>ISHARES MSCI EUROPE FINANCIA</v>
      </c>
      <c r="F12" s="17">
        <f>SUMIFS(
 Tabla1[Q],
 Tabla1[Identificador],A12,
 Tabla1[Stock],"stock"
)</f>
        <v>4135</v>
      </c>
      <c r="G12" s="17" cm="1">
        <f t="array" ref="G12">SUMPRODUCT(
 (Tabla1[Identificador]=A12)*
 (Tabla1[Stock]="stock")*
 Tabla1[Q]*
 Tabla1[P]
)
/SUMIFS(
 Tabla1[Q],
 Tabla1[Identificador],A12,
 Tabla1[Stock],"stock"
)</f>
        <v>33.79426407400242</v>
      </c>
      <c r="H12" cm="1">
        <f t="array" ref="H12">+_xll.BDP(A12,"PX_LAST")</f>
        <v>35.24</v>
      </c>
      <c r="I12" cm="1">
        <f t="array" ref="I12">+_xll.BDP(A12,"PX_CLOSE_1D")</f>
        <v>35.200000000000003</v>
      </c>
      <c r="J12" s="24">
        <f t="shared" si="1"/>
        <v>139739.281946</v>
      </c>
      <c r="K12" s="17">
        <f t="shared" si="2"/>
        <v>145717.4</v>
      </c>
      <c r="L12" s="17">
        <f t="shared" si="4"/>
        <v>145552</v>
      </c>
      <c r="M12" s="51">
        <f t="shared" si="0"/>
        <v>2.4040174659582119E-2</v>
      </c>
      <c r="N12" s="25">
        <f t="shared" si="3"/>
        <v>4.2780512184899644E-2</v>
      </c>
      <c r="O12" s="25" cm="1">
        <f t="array" ref="O12">+_xll.BDP(A12,"CURRENT_TRR_1D")/100</f>
        <v>0</v>
      </c>
    </row>
    <row r="13" spans="1:15">
      <c r="A13" t="str">
        <v>EZU US Equity</v>
      </c>
      <c r="B13" t="str" cm="1">
        <f t="array" ref="B13">_xll.BDP(A13,"ID_ISIN")</f>
        <v>US4642866085</v>
      </c>
      <c r="C13" t="str">
        <f>+INDEX(Tabla1[Moneda],MATCH(A13,Tabla1[Identificador],0))</f>
        <v>USD</v>
      </c>
      <c r="D13" t="str" cm="1">
        <f t="array" ref="D13">_xll.BDP(A13, "DS213")</f>
        <v>ETP</v>
      </c>
      <c r="E13" t="str">
        <f>+_xll.BDP($A13,"Name")</f>
        <v>ISHARES MSCI EUROZONE ETF</v>
      </c>
      <c r="F13" s="17">
        <f>SUMIFS(
 Tabla1[Q],
 Tabla1[Identificador],A13,
 Tabla1[Stock],"stock"
)</f>
        <v>2391</v>
      </c>
      <c r="G13" s="17" cm="1">
        <f t="array" ref="G13">SUMPRODUCT(
 (Tabla1[Identificador]=A13)*
 (Tabla1[Stock]="stock")*
 Tabla1[Q]*
 Tabla1[P]
)
/SUMIFS(
 Tabla1[Q],
 Tabla1[Identificador],A13,
 Tabla1[Stock],"stock"
)</f>
        <v>62.629001395232123</v>
      </c>
      <c r="H13" cm="1">
        <f t="array" ref="H13">+_xll.BDP(A13,"PX_LAST")</f>
        <v>64.040000000000006</v>
      </c>
      <c r="I13" cm="1">
        <f t="array" ref="I13">+_xll.BDP(A13,"PX_CLOSE_1D")</f>
        <v>63.87</v>
      </c>
      <c r="J13" s="24">
        <f t="shared" si="1"/>
        <v>149745.94233600001</v>
      </c>
      <c r="K13" s="17">
        <f t="shared" si="2"/>
        <v>153119.64000000001</v>
      </c>
      <c r="L13" s="17">
        <f t="shared" si="4"/>
        <v>152713.16999999998</v>
      </c>
      <c r="M13" s="51">
        <f t="shared" si="0"/>
        <v>2.5261381889961923E-2</v>
      </c>
      <c r="N13" s="25">
        <f t="shared" si="3"/>
        <v>2.2529476334190779E-2</v>
      </c>
      <c r="O13" s="25" cm="1">
        <f t="array" ref="O13">+_xll.BDP(A13,"CURRENT_TRR_1D")/100</f>
        <v>0</v>
      </c>
    </row>
    <row r="14" spans="1:15">
      <c r="A14" t="str">
        <v>FERREYC1 pe Equity</v>
      </c>
      <c r="B14" t="str" cm="1">
        <f t="array" ref="B14">_xll.BDP(A14,"ID_ISIN")</f>
        <v>PEP736001004</v>
      </c>
      <c r="C14" t="str">
        <f>+INDEX(Tabla1[Moneda],MATCH(A14,Tabla1[Identificador],0))</f>
        <v>PEN</v>
      </c>
      <c r="D14" t="str" cm="1">
        <f t="array" ref="D14">_xll.BDP(A14, "DS213")</f>
        <v>Common Stock</v>
      </c>
      <c r="E14" t="str">
        <f>+_xll.BDP($A14,"Name")</f>
        <v>FERREYCORP SAA</v>
      </c>
      <c r="F14" s="17">
        <f>SUMIFS(
 Tabla1[Q],
 Tabla1[Identificador],A14,
 Tabla1[Stock],"stock"
)</f>
        <v>103492</v>
      </c>
      <c r="G14" s="17" cm="1">
        <f t="array" ref="G14">SUMPRODUCT(
 (Tabla1[Identificador]=A14)*
 (Tabla1[Stock]="stock")*
 Tabla1[Q]*
 Tabla1[P]
)
/SUMIFS(
 Tabla1[Q],
 Tabla1[Identificador],A14,
 Tabla1[Stock],"stock"
)</f>
        <v>3.3176216519151245</v>
      </c>
      <c r="H14" cm="1">
        <f t="array" ref="H14">+_xll.BDP(A14,"PX_LAST")</f>
        <v>4.0999999999999996</v>
      </c>
      <c r="I14" cm="1">
        <f t="array" ref="I14">+_xll.BDP(A14,"PX_CLOSE_1D")</f>
        <v>4.05</v>
      </c>
      <c r="J14" s="24">
        <f t="shared" si="1"/>
        <v>343347.30000000005</v>
      </c>
      <c r="K14" s="17">
        <f t="shared" si="2"/>
        <v>424317.19999999995</v>
      </c>
      <c r="L14" s="17">
        <f t="shared" si="4"/>
        <v>419142.6</v>
      </c>
      <c r="M14" s="51">
        <f t="shared" si="0"/>
        <v>0.18032331488456521</v>
      </c>
      <c r="N14" s="25">
        <f t="shared" si="3"/>
        <v>0.23582506692203453</v>
      </c>
      <c r="O14" s="25" cm="1">
        <f t="array" ref="O14">+_xll.BDP(A14,"CURRENT_TRR_1D")/100</f>
        <v>0</v>
      </c>
    </row>
    <row r="15" spans="1:15" hidden="1">
      <c r="A15" t="str">
        <v>BIDU US Equity</v>
      </c>
      <c r="B15" t="str" cm="1">
        <f t="array" ref="B15">_xll.BDP(A15,"ID_ISIN")</f>
        <v>US0567521085</v>
      </c>
      <c r="C15" t="str">
        <f>+INDEX(Tabla1[Moneda],MATCH(A15,Tabla1[Identificador],0))</f>
        <v>USD</v>
      </c>
      <c r="D15" t="str" cm="1">
        <f t="array" ref="D15">_xll.BDP(A15, "DS213")</f>
        <v>ADR</v>
      </c>
      <c r="E15" t="str">
        <f>+_xll.BDP($A15,"Name")</f>
        <v>BAIDU INC - SPON ADR</v>
      </c>
      <c r="F15" s="17">
        <f>SUMIFS(
 Tabla1[Q],
 Tabla1[Identificador],A15,
 Tabla1[Stock],"stock"
)</f>
        <v>1031</v>
      </c>
      <c r="G15" s="17" cm="1">
        <f t="array" ref="G15">SUMPRODUCT(
 (Tabla1[Identificador]=A15)*
 (Tabla1[Stock]="stock")*
 Tabla1[Q]*
 Tabla1[P]
)
/SUMIFS(
 Tabla1[Q],
 Tabla1[Identificador],A15,
 Tabla1[Stock],"stock"
)</f>
        <v>125.8660038797284</v>
      </c>
      <c r="H15" cm="1">
        <f t="array" ref="H15">+_xll.BDP(A15,"PX_LAST")</f>
        <v>125.5</v>
      </c>
      <c r="I15" cm="1">
        <f t="array" ref="I15">+_xll.BDP(A15,"PX_CLOSE_1D")</f>
        <v>122.48</v>
      </c>
      <c r="J15" s="24">
        <f t="shared" si="1"/>
        <v>129767.84999999998</v>
      </c>
      <c r="K15" s="17">
        <f t="shared" si="2"/>
        <v>129390.5</v>
      </c>
      <c r="L15" s="17">
        <f t="shared" si="4"/>
        <v>126276.88</v>
      </c>
      <c r="M15" s="51">
        <f t="shared" si="0"/>
        <v>2.134659429341081E-2</v>
      </c>
      <c r="N15" s="25">
        <f t="shared" si="3"/>
        <v>-2.9078851194650479E-3</v>
      </c>
      <c r="O15" s="25" cm="1">
        <f t="array" ref="O15">+_xll.BDP(A15,"CURRENT_TRR_1D")/100</f>
        <v>0</v>
      </c>
    </row>
    <row r="16" spans="1:15">
      <c r="A16" t="str">
        <v>TCHI US Equity</v>
      </c>
      <c r="B16" t="str" cm="1">
        <f t="array" ref="B16">_xll.BDP(A16,"ID_ISIN")</f>
        <v>US46436E4290</v>
      </c>
      <c r="C16" t="str">
        <f>+INDEX(Tabla1[Moneda],MATCH(A16,Tabla1[Identificador],0))</f>
        <v>USD</v>
      </c>
      <c r="D16" t="str" cm="1">
        <f t="array" ref="D16">_xll.BDP(A16, "DS213")</f>
        <v>ETP</v>
      </c>
      <c r="E16" t="str">
        <f>+_xll.BDP($A16,"Name")</f>
        <v>ISHARES MSCI CHINA TECH</v>
      </c>
      <c r="F16" s="17">
        <f>SUMIFS(
 Tabla1[Q],
 Tabla1[Identificador],A16,
 Tabla1[Stock],"stock"
)</f>
        <v>7312</v>
      </c>
      <c r="G16" s="17" cm="1">
        <f t="array" ref="G16">SUMPRODUCT(
 (Tabla1[Identificador]=A16)*
 (Tabla1[Stock]="stock")*
 Tabla1[Q]*
 Tabla1[P]
)
/SUMIFS(
 Tabla1[Q],
 Tabla1[Identificador],A16,
 Tabla1[Stock],"stock"
)</f>
        <v>24.891356673960612</v>
      </c>
      <c r="H16" cm="1">
        <f t="array" ref="H16">+_xll.BDP(A16,"PX_LAST")</f>
        <v>23.085000000000001</v>
      </c>
      <c r="I16" cm="1">
        <f t="array" ref="I16">+_xll.BDP(A16,"PX_CLOSE_1D")</f>
        <v>22.5275</v>
      </c>
      <c r="J16" s="24">
        <f t="shared" si="1"/>
        <v>182005.6</v>
      </c>
      <c r="K16" s="17">
        <f t="shared" si="2"/>
        <v>168797.52000000002</v>
      </c>
      <c r="L16" s="17">
        <f t="shared" si="4"/>
        <v>164721.07999999999</v>
      </c>
      <c r="M16" s="51">
        <f t="shared" si="0"/>
        <v>2.7847888192517205E-2</v>
      </c>
      <c r="N16" s="25">
        <f t="shared" si="3"/>
        <v>-7.2569635220015138E-2</v>
      </c>
      <c r="O16" s="25" cm="1">
        <f t="array" ref="O16">+_xll.BDP(A16,"CURRENT_TRR_1D")/100</f>
        <v>0</v>
      </c>
    </row>
    <row r="17" spans="1:15">
      <c r="A17" t="str">
        <v>CQQQ US Equity</v>
      </c>
      <c r="B17" t="str" cm="1">
        <f t="array" ref="B17">_xll.BDP(A17,"ID_ISIN")</f>
        <v>US46138E8003</v>
      </c>
      <c r="C17" t="str">
        <f>+INDEX(Tabla1[Moneda],MATCH(A17,Tabla1[Identificador],0))</f>
        <v>USD</v>
      </c>
      <c r="D17" t="str" cm="1">
        <f t="array" ref="D17">_xll.BDP(A17, "DS213")</f>
        <v>ETP</v>
      </c>
      <c r="E17" t="str">
        <f>+_xll.BDP($A17,"Name")</f>
        <v>INVESCO CHINA TECHNOLOGY ETF</v>
      </c>
      <c r="F17" s="17">
        <f>SUMIFS(
 Tabla1[Q],
 Tabla1[Identificador],A17,
 Tabla1[Stock],"stock"
)</f>
        <v>2722</v>
      </c>
      <c r="G17" s="17" cm="1">
        <f t="array" ref="G17">SUMPRODUCT(
 (Tabla1[Identificador]=A17)*
 (Tabla1[Stock]="stock")*
 Tabla1[Q]*
 Tabla1[P]
)
/SUMIFS(
 Tabla1[Q],
 Tabla1[Identificador],A17,
 Tabla1[Stock],"stock"
)</f>
        <v>55.003442321822185</v>
      </c>
      <c r="H17" cm="1">
        <f t="array" ref="H17">+_xll.BDP(A17,"PX_LAST")</f>
        <v>50.94</v>
      </c>
      <c r="I17" cm="1">
        <f t="array" ref="I17">+_xll.BDP(A17,"PX_CLOSE_1D")</f>
        <v>50.25</v>
      </c>
      <c r="J17" s="24">
        <f t="shared" si="1"/>
        <v>149719.37</v>
      </c>
      <c r="K17" s="17">
        <f t="shared" si="2"/>
        <v>138658.68</v>
      </c>
      <c r="L17" s="17">
        <f t="shared" si="4"/>
        <v>136780.5</v>
      </c>
      <c r="M17" s="51">
        <f t="shared" si="0"/>
        <v>2.2875640694022169E-2</v>
      </c>
      <c r="N17" s="25">
        <f t="shared" si="3"/>
        <v>-7.3876145751882394E-2</v>
      </c>
      <c r="O17" s="25" cm="1">
        <f t="array" ref="O17">+_xll.BDP(A17,"CURRENT_TRR_1D")/100</f>
        <v>0</v>
      </c>
    </row>
    <row r="18" spans="1:15">
      <c r="A18" t="str">
        <v>MINSURI1 pe Equity</v>
      </c>
      <c r="B18" t="str" cm="1">
        <f t="array" ref="B18">_xll.BDP(A18,"ID_ISIN")</f>
        <v>PEP622005002</v>
      </c>
      <c r="C18" t="str">
        <f>+INDEX(Tabla1[Moneda],MATCH(A18,Tabla1[Identificador],0))</f>
        <v>PEN</v>
      </c>
      <c r="D18" t="str" cm="1">
        <f t="array" ref="D18">_xll.BDP(A18, "DS213")</f>
        <v>Common Stock</v>
      </c>
      <c r="E18" t="str">
        <f>+_xll.BDP($A18,"Name")</f>
        <v>MINSUR SA-INVERSIONES</v>
      </c>
      <c r="F18" s="64">
        <f>SUMIFS(
 Tabla1[Q],
 Tabla1[Identificador],A18,
 Tabla1[Stock],"stock"
)</f>
        <v>153985</v>
      </c>
      <c r="G18" s="17" cm="1">
        <f t="array" ref="G18">SUMPRODUCT(
 (Tabla1[Identificador]=A18)*
 (Tabla1[Stock]="stock")*
 Tabla1[Q]*
 Tabla1[P]
)
/SUMIFS(
 Tabla1[Q],
 Tabla1[Identificador],A18,
 Tabla1[Stock],"stock"
)</f>
        <v>5.2049381433256485</v>
      </c>
      <c r="H18" cm="1">
        <f t="array" ref="H18">+_xll.BDP(A18,"PX_LAST")</f>
        <v>6.56</v>
      </c>
      <c r="I18" cm="1">
        <f t="array" ref="I18">+_xll.BDP(A18,"PX_CLOSE_1D")</f>
        <v>6.4</v>
      </c>
      <c r="J18">
        <f>+F18*G18</f>
        <v>801482.4</v>
      </c>
      <c r="K18" s="17">
        <f t="shared" si="2"/>
        <v>1010141.6</v>
      </c>
      <c r="L18" s="17">
        <f t="shared" si="4"/>
        <v>985504</v>
      </c>
      <c r="M18" s="51">
        <f t="shared" si="0"/>
        <v>0.42928281440110966</v>
      </c>
      <c r="N18" s="25">
        <f t="shared" si="3"/>
        <v>0.26034158703921628</v>
      </c>
      <c r="O18" s="25" cm="1">
        <f t="array" ref="O18">+_xll.BDP(A18,"CURRENT_TRR_1D")/100</f>
        <v>0</v>
      </c>
    </row>
    <row r="19" spans="1:15">
      <c r="A19" t="str">
        <v>SIDERC1 PE Equity</v>
      </c>
      <c r="B19" t="str" cm="1">
        <f t="array" ref="B19">_xll.BDP(A19,"ID_ISIN")</f>
        <v>PEP531001001</v>
      </c>
      <c r="C19" t="str">
        <f>+INDEX(Tabla1[Moneda],MATCH(A19,Tabla1[Identificador],0))</f>
        <v>PEN</v>
      </c>
      <c r="D19" t="str" cm="1">
        <f t="array" ref="D19">_xll.BDP(A19, "DS213")</f>
        <v>Common Stock</v>
      </c>
      <c r="E19" t="str">
        <f>+_xll.BDP($A19,"Name")</f>
        <v>EMPRESA SIDERURGICA PERU SAA</v>
      </c>
      <c r="F19" s="17">
        <f>SUMIFS(
 Tabla1[Q],
 Tabla1[Identificador],A19,
 Tabla1[Stock],"stock"
)</f>
        <v>74649</v>
      </c>
      <c r="G19" s="17" cm="1">
        <f t="array" ref="G19">SUMPRODUCT(
 (Tabla1[Identificador]=A19)*
 (Tabla1[Stock]="stock")*
 Tabla1[Q]*
 Tabla1[P]
)
/SUMIFS(
 Tabla1[Q],
 Tabla1[Identificador],A19,
 Tabla1[Stock],"stock"
)</f>
        <v>1.8604702005385201</v>
      </c>
      <c r="H19" cm="1">
        <f t="array" ref="H19">+_xll.BDP(A19,"PX_LAST")</f>
        <v>2.5</v>
      </c>
      <c r="I19" cm="1">
        <f t="array" ref="I19">+_xll.BDP(A19,"PX_CLOSE_1D")</f>
        <v>2.5</v>
      </c>
      <c r="J19" s="24">
        <f t="shared" si="1"/>
        <v>138882.23999999999</v>
      </c>
      <c r="K19" s="17">
        <f t="shared" si="2"/>
        <v>186622.5</v>
      </c>
      <c r="L19" s="17">
        <f t="shared" si="4"/>
        <v>186622.5</v>
      </c>
      <c r="M19" s="51">
        <f t="shared" si="0"/>
        <v>7.9309506737046662E-2</v>
      </c>
      <c r="N19" s="25">
        <f t="shared" si="3"/>
        <v>0.34374632782420567</v>
      </c>
      <c r="O19" s="25" cm="1">
        <f t="array" ref="O19">+_xll.BDP(A19,"CURRENT_TRR_1D")/100</f>
        <v>0</v>
      </c>
    </row>
    <row r="20" spans="1:15">
      <c r="A20" t="str">
        <v>AUNA us Equity</v>
      </c>
      <c r="B20" t="str" cm="1">
        <f t="array" ref="B20">_xll.BDP(A20,"ID_ISIN")</f>
        <v>LU2791994721</v>
      </c>
      <c r="C20" t="str">
        <f>+INDEX(Tabla1[Moneda],MATCH(A20,Tabla1[Identificador],0))</f>
        <v>USD</v>
      </c>
      <c r="D20" t="str" cm="1">
        <f t="array" ref="D20">_xll.BDP(A20, "DS213")</f>
        <v>Common Stock</v>
      </c>
      <c r="E20" t="str">
        <f>+_xll.BDP($A20,"Name")</f>
        <v>AUNA SA-CLASS A</v>
      </c>
      <c r="F20" s="17">
        <f>SUMIFS(
 Tabla1[Q],
 Tabla1[Identificador],A20,
 Tabla1[Stock],"stock"
)</f>
        <v>38890</v>
      </c>
      <c r="G20" s="17" cm="1">
        <f t="array" ref="G20">SUMPRODUCT(
 (Tabla1[Identificador]=A20)*
 (Tabla1[Stock]="stock")*
 Tabla1[Q]*
 Tabla1[P]
)
/SUMIFS(
 Tabla1[Q],
 Tabla1[Identificador],A20,
 Tabla1[Stock],"stock"
)</f>
        <v>5.253483029056313</v>
      </c>
      <c r="H20" cm="1">
        <f t="array" ref="H20">+_xll.BDP(A20,"PX_LAST")</f>
        <v>4.8</v>
      </c>
      <c r="I20" cm="1">
        <f t="array" ref="I20">+_xll.BDP(A20,"PX_CLOSE_1D")</f>
        <v>4.7699999999999996</v>
      </c>
      <c r="J20" s="24">
        <f t="shared" si="1"/>
        <v>204307.95500000002</v>
      </c>
      <c r="K20" s="17">
        <f t="shared" si="2"/>
        <v>186672</v>
      </c>
      <c r="L20" s="17">
        <f t="shared" si="4"/>
        <v>185505.3</v>
      </c>
      <c r="M20" s="51">
        <f t="shared" si="0"/>
        <v>3.0796785312210577E-2</v>
      </c>
      <c r="N20" s="25">
        <f t="shared" si="3"/>
        <v>-8.6320451888425076E-2</v>
      </c>
      <c r="O20" s="25" cm="1">
        <f t="array" ref="O20">+_xll.BDP(A20,"CURRENT_TRR_1D")/100</f>
        <v>0</v>
      </c>
    </row>
    <row r="21" spans="1:15">
      <c r="A21" t="str">
        <v>PFE US Equity</v>
      </c>
      <c r="B21" t="str" cm="1">
        <f t="array" ref="B21">_xll.BDP(A21,"ID_ISIN")</f>
        <v>US7170811035</v>
      </c>
      <c r="C21" t="str">
        <f>+INDEX(Tabla1[Moneda],MATCH(A21,Tabla1[Identificador],0))</f>
        <v>USD</v>
      </c>
      <c r="D21" t="str" cm="1">
        <f t="array" ref="D21">_xll.BDP(A21, "DS213")</f>
        <v>Common Stock</v>
      </c>
      <c r="E21" t="str">
        <f>+_xll.BDP($A21,"Name")</f>
        <v>PFIZER INC</v>
      </c>
      <c r="F21" s="17">
        <f>SUMIFS(
 Tabla1[Q],
 Tabla1[Identificador],A21,
 Tabla1[Stock],"stock"
)</f>
        <v>3195</v>
      </c>
      <c r="G21" s="17" cm="1">
        <f t="array" ref="G21">SUMPRODUCT(
 (Tabla1[Identificador]=A21)*
 (Tabla1[Stock]="stock")*
 Tabla1[Q]*
 Tabla1[P]
)
/SUMIFS(
 Tabla1[Q],
 Tabla1[Identificador],A21,
 Tabla1[Stock],"stock"
)</f>
        <v>25.029601</v>
      </c>
      <c r="H21" cm="1">
        <f t="array" ref="H21">+_xll.BDP(A21,"PX_LAST")</f>
        <v>27.16</v>
      </c>
      <c r="I21" cm="1">
        <f t="array" ref="I21">+_xll.BDP(A21,"PX_CLOSE_1D")</f>
        <v>26.81</v>
      </c>
      <c r="J21" s="24">
        <f t="shared" si="1"/>
        <v>79969.575194999998</v>
      </c>
      <c r="K21" s="17">
        <f t="shared" si="2"/>
        <v>86776.2</v>
      </c>
      <c r="L21" s="17">
        <f t="shared" si="4"/>
        <v>85657.95</v>
      </c>
      <c r="M21" s="51">
        <f t="shared" si="0"/>
        <v>1.4316169546634993E-2</v>
      </c>
      <c r="N21" s="25">
        <f t="shared" si="3"/>
        <v>8.5115180222010034E-2</v>
      </c>
      <c r="O21" s="25" cm="1">
        <f t="array" ref="O21">+_xll.BDP(A21,"CURRENT_TRR_1D")/100</f>
        <v>0</v>
      </c>
    </row>
    <row r="22" spans="1:15">
      <c r="A22" t="str">
        <v>BAP US Equity</v>
      </c>
      <c r="B22" t="str" cm="1">
        <f t="array" ref="B22">_xll.BDP(A22,"ID_ISIN")</f>
        <v>BMG2519Y1084</v>
      </c>
      <c r="C22" t="str">
        <f>+INDEX(Tabla1[Moneda],MATCH(A22,Tabla1[Identificador],0))</f>
        <v>USD</v>
      </c>
      <c r="D22" t="str" cm="1">
        <f t="array" ref="D22">_xll.BDP(A22, "DS213")</f>
        <v>Common Stock</v>
      </c>
      <c r="E22" t="str">
        <f>+_xll.BDP($A22,"Name")</f>
        <v>CREDICORP LTD</v>
      </c>
      <c r="F22" s="17">
        <f>SUMIFS(
 Tabla1[Q],
 Tabla1[Identificador],A22,
 Tabla1[Stock],"stock"
)</f>
        <v>843</v>
      </c>
      <c r="G22" s="17" cm="1">
        <f t="array" ref="G22">SUMPRODUCT(
 (Tabla1[Identificador]=A22)*
 (Tabla1[Stock]="stock")*
 Tabla1[Q]*
 Tabla1[P]
)
/SUMIFS(
 Tabla1[Q],
 Tabla1[Identificador],A22,
 Tabla1[Stock],"stock"
)</f>
        <v>295.63879596678532</v>
      </c>
      <c r="H22" cm="1">
        <f t="array" ref="H22">+_xll.BDP(A22,"PX_LAST")</f>
        <v>341.28</v>
      </c>
      <c r="I22" cm="1">
        <f t="array" ref="I22">+_xll.BDP(A22,"PX_CLOSE_1D")</f>
        <v>329.6</v>
      </c>
      <c r="J22" s="24">
        <f t="shared" si="1"/>
        <v>249223.50500000003</v>
      </c>
      <c r="K22" s="17">
        <f t="shared" si="2"/>
        <v>287699.03999999998</v>
      </c>
      <c r="L22" s="17">
        <f t="shared" si="4"/>
        <v>277852.80000000005</v>
      </c>
      <c r="M22" s="51">
        <f t="shared" si="0"/>
        <v>4.7464030863809695E-2</v>
      </c>
      <c r="N22" s="25">
        <f t="shared" si="3"/>
        <v>0.15438164630579254</v>
      </c>
      <c r="O22" s="25" cm="1">
        <f t="array" ref="O22">+_xll.BDP(A22,"CURRENT_TRR_1D")/100</f>
        <v>0</v>
      </c>
    </row>
    <row r="23" spans="1:15">
      <c r="A23" t="str">
        <v>TTWO US Equity</v>
      </c>
      <c r="B23" t="str" cm="1">
        <f t="array" ref="B23">_xll.BDP(A23,"ID_ISIN")</f>
        <v>US8740541094</v>
      </c>
      <c r="C23" t="str">
        <f>+INDEX(Tabla1[Moneda],MATCH(A23,Tabla1[Identificador],0))</f>
        <v>USD</v>
      </c>
      <c r="D23" t="str" cm="1">
        <f t="array" ref="D23">_xll.BDP(A23, "DS213")</f>
        <v>Common Stock</v>
      </c>
      <c r="E23" t="str">
        <f>+_xll.BDP($A23,"Name")</f>
        <v>TAKE-TWO INTERACTIVE SOFTWRE</v>
      </c>
      <c r="F23" s="17">
        <f>SUMIFS(
 Tabla1[Q],
 Tabla1[Identificador],A23,
 Tabla1[Stock],"stock"
)</f>
        <v>330</v>
      </c>
      <c r="G23" s="17" cm="1">
        <f t="array" ref="G23">SUMPRODUCT(
 (Tabla1[Identificador]=A23)*
 (Tabla1[Stock]="stock")*
 Tabla1[Q]*
 Tabla1[P]
)
/SUMIFS(
 Tabla1[Q],
 Tabla1[Identificador],A23,
 Tabla1[Stock],"stock"
)</f>
        <v>241.52</v>
      </c>
      <c r="H23" cm="1">
        <f t="array" ref="H23">+_xll.BDP(A23,"PX_LAST")</f>
        <v>209.08</v>
      </c>
      <c r="I23" cm="1">
        <f t="array" ref="I23">+_xll.BDP(A23,"PX_CLOSE_1D")</f>
        <v>214.63</v>
      </c>
      <c r="J23" s="24">
        <f t="shared" si="1"/>
        <v>79701.600000000006</v>
      </c>
      <c r="K23" s="17">
        <f t="shared" si="2"/>
        <v>68996.400000000009</v>
      </c>
      <c r="L23" s="17">
        <f t="shared" si="4"/>
        <v>70827.899999999994</v>
      </c>
      <c r="M23" s="51">
        <f t="shared" si="0"/>
        <v>1.1382892550116815E-2</v>
      </c>
      <c r="N23" s="25">
        <f t="shared" si="3"/>
        <v>-0.13431599867505795</v>
      </c>
      <c r="O23" s="25" cm="1">
        <f t="array" ref="O23">+_xll.BDP(A23,"CURRENT_TRR_1D")/100</f>
        <v>0</v>
      </c>
    </row>
    <row r="24" spans="1:15">
      <c r="A24" t="str">
        <v>TAN US Equity</v>
      </c>
      <c r="B24" t="str" cm="1">
        <f t="array" ref="B24">_xll.BDP(A24,"ID_ISIN")</f>
        <v>US46138G7060</v>
      </c>
      <c r="C24" t="str">
        <f>+INDEX(Tabla1[Moneda],MATCH(A24,Tabla1[Identificador],0))</f>
        <v>USD</v>
      </c>
      <c r="D24" t="str" cm="1">
        <f t="array" ref="D24">_xll.BDP(A24, "DS213")</f>
        <v>ETP</v>
      </c>
      <c r="E24" t="str">
        <f>+_xll.BDP($A24,"Name")</f>
        <v>INVESCO SOLAR ETF</v>
      </c>
      <c r="F24" s="17">
        <f>SUMIFS(
 Tabla1[Q],
 Tabla1[Identificador],A24,
 Tabla1[Stock],"stock"
)</f>
        <v>1019</v>
      </c>
      <c r="G24" s="17" cm="1">
        <f t="array" ref="G24">SUMPRODUCT(
 (Tabla1[Identificador]=A24)*
 (Tabla1[Stock]="stock")*
 Tabla1[Q]*
 Tabla1[P]
)
/SUMIFS(
 Tabla1[Q],
 Tabla1[Identificador],A24,
 Tabla1[Stock],"stock"
)</f>
        <v>49</v>
      </c>
      <c r="H24" cm="1">
        <f t="array" ref="H24">+_xll.BDP(A24,"PX_LAST")</f>
        <v>54.9</v>
      </c>
      <c r="I24" cm="1">
        <f t="array" ref="I24">+_xll.BDP(A24,"PX_CLOSE_1D")</f>
        <v>54.1</v>
      </c>
      <c r="J24" s="24">
        <f t="shared" si="1"/>
        <v>49931</v>
      </c>
      <c r="K24" s="17">
        <f t="shared" si="2"/>
        <v>55943.1</v>
      </c>
      <c r="L24" s="17">
        <f t="shared" si="4"/>
        <v>55127.9</v>
      </c>
      <c r="M24" s="51">
        <f t="shared" si="0"/>
        <v>9.2293843768724154E-3</v>
      </c>
      <c r="N24" s="25">
        <f t="shared" si="3"/>
        <v>0.12040816326530601</v>
      </c>
      <c r="O24" s="25" cm="1">
        <f t="array" ref="O24">+_xll.BDP(A24,"CURRENT_TRR_1D")/100</f>
        <v>0</v>
      </c>
    </row>
    <row r="25" spans="1:15" hidden="1">
      <c r="A25" t="str">
        <v>ICLN US Equity</v>
      </c>
      <c r="B25" t="str" cm="1">
        <f t="array" ref="B25">_xll.BDP(A25,"ID_ISIN")</f>
        <v>US4642882249</v>
      </c>
      <c r="C25" t="str">
        <f>+INDEX(Tabla1[Moneda],MATCH(A25,Tabla1[Identificador],0))</f>
        <v>USD</v>
      </c>
      <c r="D25" t="str" cm="1">
        <f t="array" ref="D25">_xll.BDP(A25, "DS213")</f>
        <v>ETP</v>
      </c>
      <c r="E25" t="str">
        <f>+_xll.BDP($A25,"Name")</f>
        <v>ISHARES GLOBAL CLEAN ENERGY</v>
      </c>
      <c r="F25" s="17">
        <f>SUMIFS(
 Tabla1[Q],
 Tabla1[Identificador],A25,
 Tabla1[Stock],"stock"
)</f>
        <v>4702</v>
      </c>
      <c r="G25" s="17" cm="1">
        <f t="array" ref="G25">SUMPRODUCT(
 (Tabla1[Identificador]=A25)*
 (Tabla1[Stock]="stock")*
 Tabla1[Q]*
 Tabla1[P]
)
/SUMIFS(
 Tabla1[Q],
 Tabla1[Identificador],A25,
 Tabla1[Stock],"stock"
)</f>
        <v>16.989899999999999</v>
      </c>
      <c r="H25" cm="1">
        <f t="array" ref="H25">+_xll.BDP(A25,"PX_LAST")</f>
        <v>18.25</v>
      </c>
      <c r="I25" cm="1">
        <f t="array" ref="I25">+_xll.BDP(A25,"PX_CLOSE_1D")</f>
        <v>17.96</v>
      </c>
      <c r="J25" s="24">
        <f t="shared" si="1"/>
        <v>79886.5098</v>
      </c>
      <c r="K25" s="17">
        <f t="shared" si="2"/>
        <v>85811.5</v>
      </c>
      <c r="L25" s="17">
        <f t="shared" si="4"/>
        <v>84447.92</v>
      </c>
      <c r="M25" s="51">
        <f t="shared" si="0"/>
        <v>1.4157015207523131E-2</v>
      </c>
      <c r="N25" s="25">
        <f t="shared" si="3"/>
        <v>7.4167593688014621E-2</v>
      </c>
      <c r="O25" s="25" cm="1">
        <f t="array" ref="O25">+_xll.BDP(A25,"CURRENT_TRR_1D")/100</f>
        <v>0</v>
      </c>
    </row>
    <row r="26" spans="1:15">
      <c r="A26" t="str">
        <v>DIS US Equity</v>
      </c>
      <c r="B26" t="str" cm="1">
        <f t="array" ref="B26">_xll.BDP(A26,"ID_ISIN")</f>
        <v>US2546871060</v>
      </c>
      <c r="C26" t="str">
        <f>+INDEX(Tabla1[Moneda],MATCH(A26,Tabla1[Identificador],0))</f>
        <v>USD</v>
      </c>
      <c r="D26" t="str" cm="1">
        <f t="array" ref="D26">_xll.BDP(A26, "DS213")</f>
        <v>Common Stock</v>
      </c>
      <c r="E26" t="str">
        <f>+_xll.BDP($A26,"Name")</f>
        <v>WALT DISNEY CO/THE</v>
      </c>
      <c r="F26" s="17">
        <f>SUMIFS(
 Tabla1[Q],
 Tabla1[Identificador],A26,
 Tabla1[Stock],"stock"
)</f>
        <v>752</v>
      </c>
      <c r="G26" s="17" cm="1">
        <f t="array" ref="G26">SUMPRODUCT(
 (Tabla1[Identificador]=A26)*
 (Tabla1[Stock]="stock")*
 Tabla1[Q]*
 Tabla1[P]
)
/SUMIFS(
 Tabla1[Q],
 Tabla1[Identificador],A26,
 Tabla1[Stock],"stock"
)</f>
        <v>106.14</v>
      </c>
      <c r="H26" cm="1">
        <f t="array" ref="H26">+_xll.BDP(A26,"PX_LAST")</f>
        <v>101.32</v>
      </c>
      <c r="I26" cm="1">
        <f t="array" ref="I26">+_xll.BDP(A26,"PX_CLOSE_1D")</f>
        <v>101.66</v>
      </c>
      <c r="J26" s="24">
        <f t="shared" si="1"/>
        <v>79817.279999999999</v>
      </c>
      <c r="K26" s="17">
        <f t="shared" si="2"/>
        <v>76192.639999999999</v>
      </c>
      <c r="L26" s="17">
        <f t="shared" si="4"/>
        <v>76448.319999999992</v>
      </c>
      <c r="M26" s="51">
        <f t="shared" si="0"/>
        <v>1.257011429914796E-2</v>
      </c>
      <c r="N26" s="25">
        <f t="shared" si="3"/>
        <v>-4.5411720369323505E-2</v>
      </c>
      <c r="O26" s="25" cm="1">
        <f t="array" ref="O26">+_xll.BDP(A26,"CURRENT_TRR_1D")/100</f>
        <v>0</v>
      </c>
    </row>
    <row r="27" spans="1:15">
      <c r="A27" t="str">
        <v>ORYGENC1 pe Equity</v>
      </c>
      <c r="B27" t="str" cm="1">
        <f t="array" ref="B27">_xll.BDP(A27,"ID_ISIN")</f>
        <v>PEP700511004</v>
      </c>
      <c r="C27" t="str">
        <f>+INDEX(Tabla1[Moneda],MATCH(A27,Tabla1[Identificador],0))</f>
        <v>PEN</v>
      </c>
      <c r="D27" t="str" cm="1">
        <f t="array" ref="D27">_xll.BDP(A27, "DS213")</f>
        <v>Common Stock</v>
      </c>
      <c r="E27" t="str">
        <f>+_xll.BDP($A27,"Name")</f>
        <v>ORYGEN PERU SAA</v>
      </c>
      <c r="F27" s="17">
        <f>SUMIFS(
 Tabla1[Q],
 Tabla1[Identificador],A27,
 Tabla1[Stock],"stock"
)</f>
        <v>48829</v>
      </c>
      <c r="G27" s="17" cm="1">
        <f t="array" ref="G27">SUMPRODUCT(
 (Tabla1[Identificador]=A27)*
 (Tabla1[Stock]="stock")*
 Tabla1[Q]*
 Tabla1[P]
)
/SUMIFS(
 Tabla1[Q],
 Tabla1[Identificador],A27,
 Tabla1[Stock],"stock"
)</f>
        <v>2.4092158348522394</v>
      </c>
      <c r="H27" cm="1">
        <f t="array" ref="H27">+_xll.BDP(A27,"PX_LAST")</f>
        <v>3.03</v>
      </c>
      <c r="I27" cm="1">
        <f t="array" ref="I27">+_xll.BDP(A27,"PX_CLOSE_1D")</f>
        <v>3.07</v>
      </c>
      <c r="J27" s="24">
        <f t="shared" si="1"/>
        <v>117639.6</v>
      </c>
      <c r="K27" s="17">
        <f t="shared" si="2"/>
        <v>147951.87</v>
      </c>
      <c r="L27" s="17">
        <f t="shared" si="4"/>
        <v>149905.03</v>
      </c>
      <c r="M27" s="51">
        <f t="shared" si="0"/>
        <v>6.2875536607449004E-2</v>
      </c>
      <c r="N27" s="25">
        <f t="shared" si="3"/>
        <v>0.25767063131802548</v>
      </c>
      <c r="O27" s="25" cm="1">
        <f t="array" ref="O27">+_xll.BDP(A27,"CURRENT_TRR_1D")/100</f>
        <v>0</v>
      </c>
    </row>
    <row r="28" spans="1:15">
      <c r="A28" t="str">
        <v>JAVA US Equity</v>
      </c>
      <c r="B28" t="str" cm="1">
        <f t="array" ref="B28">_xll.BDP(A28,"ID_ISIN")</f>
        <v>US46641Q1673</v>
      </c>
      <c r="C28" t="str">
        <f>+INDEX(Tabla1[Moneda],MATCH(A28,Tabla1[Identificador],0))</f>
        <v>USD</v>
      </c>
      <c r="D28" t="str" cm="1">
        <f t="array" ref="D28">_xll.BDP(A28, "DS213")</f>
        <v>ETP</v>
      </c>
      <c r="E28" t="str">
        <f>+_xll.BDP($A28,"Name")</f>
        <v>JPMORGAN ACTIVE VALUE ETF</v>
      </c>
      <c r="F28" s="17">
        <f>SUMIFS(
 Tabla1[Q],
 Tabla1[Identificador],A28,
 Tabla1[Stock],"stock"
)</f>
        <v>1000</v>
      </c>
      <c r="G28" s="17" cm="1">
        <f t="array" ref="G28">SUMPRODUCT(
 (Tabla1[Identificador]=A28)*
 (Tabla1[Stock]="stock")*
 Tabla1[Q]*
 Tabla1[P]
)
/SUMIFS(
 Tabla1[Q],
 Tabla1[Identificador],A28,
 Tabla1[Stock],"stock"
)</f>
        <v>72.66</v>
      </c>
      <c r="H28" cm="1">
        <f t="array" ref="H28">+_xll.BDP(A28,"PX_LAST")</f>
        <v>72.95</v>
      </c>
      <c r="I28" cm="1">
        <f t="array" ref="I28">+_xll.BDP(A28,"PX_CLOSE_1D")</f>
        <v>73.25</v>
      </c>
      <c r="J28" s="24">
        <f t="shared" si="1"/>
        <v>72660</v>
      </c>
      <c r="K28" s="17">
        <f t="shared" si="2"/>
        <v>72950</v>
      </c>
      <c r="L28" s="17">
        <f t="shared" si="4"/>
        <v>73250</v>
      </c>
      <c r="M28" s="51">
        <f t="shared" si="0"/>
        <v>1.2035149827107235E-2</v>
      </c>
      <c r="N28" s="25">
        <f t="shared" si="3"/>
        <v>3.9911918524635492E-3</v>
      </c>
      <c r="O28" s="25" cm="1">
        <f t="array" ref="O28">+_xll.BDP(A28,"CURRENT_TRR_1D")/100</f>
        <v>0</v>
      </c>
    </row>
    <row r="29" spans="1:15">
      <c r="A29" t="str">
        <v>JDOC US Equity</v>
      </c>
      <c r="B29" t="str" cm="1">
        <f t="array" ref="B29">_xll.BDP(A29,"ID_ISIN")</f>
        <v>US46654Q7658</v>
      </c>
      <c r="C29" t="str">
        <f>+INDEX(Tabla1[Moneda],MATCH(A29,Tabla1[Identificador],0))</f>
        <v>USD</v>
      </c>
      <c r="D29" t="str" cm="1">
        <f t="array" ref="D29">_xll.BDP(A29, "DS213")</f>
        <v>ETP</v>
      </c>
      <c r="E29" t="str">
        <f>+_xll.BDP($A29,"Name")</f>
        <v>JPMORGAN HEALTHCARE LEAD ETF</v>
      </c>
      <c r="F29" s="17">
        <f>SUMIFS(
 Tabla1[Q],
 Tabla1[Identificador],A29,
 Tabla1[Stock],"stock"
)</f>
        <v>2352</v>
      </c>
      <c r="G29" s="17" cm="1">
        <f t="array" ref="G29">SUMPRODUCT(
 (Tabla1[Identificador]=A29)*
 (Tabla1[Stock]="stock")*
 Tabla1[Q]*
 Tabla1[P]
)
/SUMIFS(
 Tabla1[Q],
 Tabla1[Identificador],A29,
 Tabla1[Stock],"stock"
)</f>
        <v>58.221898413265301</v>
      </c>
      <c r="H29" cm="1">
        <f t="array" ref="H29">+_xll.BDP(A29,"PX_LAST")</f>
        <v>57.091700000000003</v>
      </c>
      <c r="I29" cm="1">
        <f t="array" ref="I29">+_xll.BDP(A29,"PX_CLOSE_1D")</f>
        <v>57.252699999999997</v>
      </c>
      <c r="J29" s="24">
        <f t="shared" si="1"/>
        <v>136937.90506799999</v>
      </c>
      <c r="K29" s="17">
        <f t="shared" si="2"/>
        <v>134279.6784</v>
      </c>
      <c r="L29" s="17">
        <f t="shared" si="4"/>
        <v>134658.3504</v>
      </c>
      <c r="M29" s="51">
        <f t="shared" si="0"/>
        <v>2.2153201484301235E-2</v>
      </c>
      <c r="N29" s="25">
        <f t="shared" si="3"/>
        <v>-1.9411912769367823E-2</v>
      </c>
      <c r="O29" s="25" cm="1">
        <f t="array" ref="O29">+_xll.BDP(A29,"CURRENT_TRR_1D")/100</f>
        <v>0</v>
      </c>
    </row>
    <row r="30" spans="1:15">
      <c r="A30" t="str">
        <v>CPACASC1 PE Equity</v>
      </c>
      <c r="B30" t="str" cm="1">
        <f t="array" ref="B30">_xll.BDP(A30,"ID_ISIN")</f>
        <v>PEP239501005</v>
      </c>
      <c r="C30" t="str">
        <f>+INDEX(Tabla1[Moneda],MATCH(A30,Tabla1[Identificador],0))</f>
        <v>PEN</v>
      </c>
      <c r="D30" t="str" cm="1">
        <f t="array" ref="D30">_xll.BDP(A30, "DS213")</f>
        <v>Common Stock</v>
      </c>
      <c r="E30" t="str">
        <f>+_xll.BDP($A30,"Name")</f>
        <v>CEMENTOS PACASMAYO SAA-CMN</v>
      </c>
      <c r="F30" s="17">
        <f>SUMIFS(
 Tabla1[Q],
 Tabla1[Identificador],A30,
 Tabla1[Stock],"stock"
)</f>
        <v>15000</v>
      </c>
      <c r="G30" s="17" cm="1">
        <f t="array" ref="G30">SUMPRODUCT(
 (Tabla1[Identificador]=A30)*
 (Tabla1[Stock]="stock")*
 Tabla1[Q]*
 Tabla1[P]
)
/SUMIFS(
 Tabla1[Q],
 Tabla1[Identificador],A30,
 Tabla1[Stock],"stock"
)</f>
        <v>6.92</v>
      </c>
      <c r="H30" cm="1">
        <f t="array" ref="H30">+_xll.BDP(A30,"PX_LAST")</f>
        <v>6.98</v>
      </c>
      <c r="I30" cm="1">
        <f t="array" ref="I30">+_xll.BDP(A30,"PX_CLOSE_1D")</f>
        <v>6.95</v>
      </c>
      <c r="J30" s="24">
        <f t="shared" si="1"/>
        <v>103800</v>
      </c>
      <c r="K30" s="17">
        <f t="shared" si="2"/>
        <v>104700</v>
      </c>
      <c r="L30" s="17">
        <f t="shared" si="4"/>
        <v>104250</v>
      </c>
      <c r="M30" s="51">
        <f t="shared" si="0"/>
        <v>4.4494663587556618E-2</v>
      </c>
      <c r="N30" s="25">
        <f t="shared" si="3"/>
        <v>8.6705202312138407E-3</v>
      </c>
      <c r="O30" s="25" cm="1">
        <f t="array" ref="O30">+_xll.BDP(A30,"CURRENT_TRR_1D")/100</f>
        <v>0</v>
      </c>
    </row>
    <row r="31" spans="1:15">
      <c r="A31" t="str">
        <v>INRETC1 PE Equity</v>
      </c>
      <c r="B31" t="str" cm="1">
        <f t="array" ref="B31">_xll.BDP(A31,"ID_ISIN")</f>
        <v>PAL1801171A1</v>
      </c>
      <c r="C31" t="str">
        <f>+INDEX(Tabla1[Moneda],MATCH(A31,Tabla1[Identificador],0))</f>
        <v>USD</v>
      </c>
      <c r="D31" t="str" cm="1">
        <f t="array" ref="D31">_xll.BDP(A31, "DS213")</f>
        <v>Common Stock</v>
      </c>
      <c r="E31" t="str">
        <f>+_xll.BDP($A31,"Name")</f>
        <v>INRETAIL PERU CORP</v>
      </c>
      <c r="F31" s="17">
        <f>SUMIFS(
 Tabla1[Q],
 Tabla1[Identificador],A31,
 Tabla1[Stock],"stock"
)</f>
        <v>5100</v>
      </c>
      <c r="G31" s="17" cm="1">
        <f t="array" ref="G31">SUMPRODUCT(
 (Tabla1[Identificador]=A31)*
 (Tabla1[Stock]="stock")*
 Tabla1[Q]*
 Tabla1[P]
)
/SUMIFS(
 Tabla1[Q],
 Tabla1[Identificador],A31,
 Tabla1[Stock],"stock"
)</f>
        <v>26.432352941176472</v>
      </c>
      <c r="H31" cm="1">
        <f t="array" ref="H31">+_xll.BDP(A31,"PX_LAST")</f>
        <v>28.3</v>
      </c>
      <c r="I31" cm="1">
        <f t="array" ref="I31">+_xll.BDP(A31,"PX_CLOSE_1D")</f>
        <v>27.5</v>
      </c>
      <c r="J31" s="24">
        <f t="shared" si="1"/>
        <v>134805</v>
      </c>
      <c r="K31" s="17">
        <f t="shared" si="2"/>
        <v>144330</v>
      </c>
      <c r="L31" s="17">
        <f t="shared" si="4"/>
        <v>140250</v>
      </c>
      <c r="M31" s="51">
        <f t="shared" si="0"/>
        <v>2.3811284092479606E-2</v>
      </c>
      <c r="N31" s="25">
        <f t="shared" si="3"/>
        <v>7.0657616557249447E-2</v>
      </c>
      <c r="O31" s="25" cm="1">
        <f t="array" ref="O31">+_xll.BDP(A31,"CURRENT_TRR_1D")/100</f>
        <v>0</v>
      </c>
    </row>
    <row r="32" spans="1:15">
      <c r="A32" t="str">
        <v>NFLX US Equity</v>
      </c>
      <c r="B32" t="str" cm="1">
        <f t="array" ref="B32">_xll.BDP(A32,"ID_ISIN")</f>
        <v>US64110L1061</v>
      </c>
      <c r="C32" t="str">
        <f>+INDEX(Tabla1[Moneda],MATCH(A32,Tabla1[Identificador],0))</f>
        <v>USD</v>
      </c>
      <c r="D32" t="str" cm="1">
        <f t="array" ref="D32">_xll.BDP(A32, "DS213")</f>
        <v>Common Stock</v>
      </c>
      <c r="E32" t="str">
        <f>+_xll.BDP($A32,"Name")</f>
        <v>NETFLIX INC</v>
      </c>
      <c r="F32" s="17">
        <f>SUMIFS(
 Tabla1[Q],
 Tabla1[Identificador],A32,
 Tabla1[Stock],"stock"
)</f>
        <v>1187</v>
      </c>
      <c r="G32" s="17" cm="1">
        <f t="array" ref="G32">SUMPRODUCT(
 (Tabla1[Identificador]=A32)*
 (Tabla1[Stock]="stock")*
 Tabla1[Q]*
 Tabla1[P]
)
/SUMIFS(
 Tabla1[Q],
 Tabla1[Identificador],A32,
 Tabla1[Stock],"stock"
)</f>
        <v>84.28</v>
      </c>
      <c r="H32" cm="1">
        <f t="array" ref="H32">+_xll.BDP(A32,"PX_LAST")</f>
        <v>96.94</v>
      </c>
      <c r="I32" cm="1">
        <f t="array" ref="I32">+_xll.BDP(A32,"PX_CLOSE_1D")</f>
        <v>98.32</v>
      </c>
      <c r="J32" s="24">
        <f t="shared" si="1"/>
        <v>100040.36</v>
      </c>
      <c r="K32" s="17">
        <f t="shared" si="2"/>
        <v>115067.78</v>
      </c>
      <c r="L32" s="17">
        <f t="shared" si="4"/>
        <v>116705.84</v>
      </c>
      <c r="M32" s="51">
        <f t="shared" si="0"/>
        <v>1.8983659665148915E-2</v>
      </c>
      <c r="N32" s="25">
        <f t="shared" si="3"/>
        <v>0.15021357380161371</v>
      </c>
      <c r="O32" s="25" cm="1">
        <f t="array" ref="O32">+_xll.BDP(A32,"CURRENT_TRR_1D")/100</f>
        <v>0</v>
      </c>
    </row>
    <row r="33" spans="1:15">
      <c r="A33" t="str">
        <v>EWL US Equity</v>
      </c>
      <c r="B33" t="str" cm="1">
        <f t="array" ref="B33">_xll.BDP(A33,"ID_ISIN")</f>
        <v>US4642867497</v>
      </c>
      <c r="C33" t="str">
        <f>+INDEX(Tabla1[Moneda],MATCH(A33,Tabla1[Identificador],0))</f>
        <v>USD</v>
      </c>
      <c r="D33" t="str" cm="1">
        <f t="array" ref="D33">_xll.BDP(A33, "DS213")</f>
        <v>ETP</v>
      </c>
      <c r="E33" t="str">
        <f>+_xll.BDP($A33,"Name")</f>
        <v>ISHARES MSCI SWITZERLAND ETF</v>
      </c>
      <c r="F33" s="17">
        <f>SUMIFS(
 Tabla1[Q],
 Tabla1[Identificador],A33,
 Tabla1[Stock],"stock"
)</f>
        <v>1645</v>
      </c>
      <c r="G33" s="17" cm="1">
        <f t="array" ref="G33">SUMPRODUCT(
 (Tabla1[Identificador]=A33)*
 (Tabla1[Stock]="stock")*
 Tabla1[Q]*
 Tabla1[P]
)
/SUMIFS(
 Tabla1[Q],
 Tabla1[Identificador],A33,
 Tabla1[Stock],"stock"
)</f>
        <v>60.701999999999998</v>
      </c>
      <c r="H33" cm="1">
        <f t="array" ref="H33">+_xll.BDP(A33,"PX_LAST")</f>
        <v>60.24</v>
      </c>
      <c r="I33" cm="1">
        <f t="array" ref="I33">+_xll.BDP(A33,"PX_CLOSE_1D")</f>
        <v>61.01</v>
      </c>
      <c r="J33" s="24">
        <f t="shared" si="1"/>
        <v>99854.79</v>
      </c>
      <c r="K33" s="17">
        <f t="shared" si="2"/>
        <v>99094.8</v>
      </c>
      <c r="L33" s="17">
        <f t="shared" si="4"/>
        <v>100361.45</v>
      </c>
      <c r="M33" s="51">
        <f t="shared" si="0"/>
        <v>1.6348468335671364E-2</v>
      </c>
      <c r="N33" s="25">
        <f t="shared" si="3"/>
        <v>-7.610951863200488E-3</v>
      </c>
      <c r="O33" s="25" cm="1">
        <f t="array" ref="O33">+_xll.BDP(A33,"CURRENT_TRR_1D")/100</f>
        <v>0</v>
      </c>
    </row>
    <row r="34" spans="1:15">
      <c r="A34" t="str">
        <v>CIB US Equity</v>
      </c>
      <c r="B34" t="str" cm="1">
        <f t="array" ref="B34">_xll.BDP(A34,"ID_ISIN")</f>
        <v>US40090E1064</v>
      </c>
      <c r="C34" t="str">
        <f>+INDEX(Tabla1[Moneda],MATCH(A34,Tabla1[Identificador],0))</f>
        <v>USD</v>
      </c>
      <c r="D34" t="str" cm="1">
        <f t="array" ref="D34">_xll.BDP(A34, "DS213")</f>
        <v>ADR</v>
      </c>
      <c r="E34" t="str">
        <f>+_xll.BDP($A34,"Name")</f>
        <v>GRUPO CIBEST SA-ADR</v>
      </c>
      <c r="F34" s="17">
        <f>SUMIFS(
 Tabla1[Q],
 Tabla1[Identificador],A34,
 Tabla1[Stock],"stock"
)</f>
        <v>3705</v>
      </c>
      <c r="G34" s="17" cm="1">
        <f t="array" ref="G34">SUMPRODUCT(
 (Tabla1[Identificador]=A34)*
 (Tabla1[Stock]="stock")*
 Tabla1[Q]*
 Tabla1[P]
)
/SUMIFS(
 Tabla1[Q],
 Tabla1[Identificador],A34,
 Tabla1[Stock],"stock"
)</f>
        <v>80.743589743589737</v>
      </c>
      <c r="H34" cm="1">
        <f t="array" ref="H34">+_xll.BDP(A34,"PX_LAST")</f>
        <v>70.209999999999994</v>
      </c>
      <c r="I34" cm="1">
        <f t="array" ref="I34">+_xll.BDP(A34,"PX_CLOSE_1D")</f>
        <v>67.42</v>
      </c>
      <c r="J34" s="24">
        <f t="shared" si="1"/>
        <v>299155</v>
      </c>
      <c r="K34" s="17">
        <f t="shared" si="2"/>
        <v>260128.05</v>
      </c>
      <c r="L34" s="17">
        <f t="shared" si="4"/>
        <v>249791.1</v>
      </c>
      <c r="M34" s="51">
        <f t="shared" si="0"/>
        <v>4.2915422289009485E-2</v>
      </c>
      <c r="N34" s="25">
        <f t="shared" si="3"/>
        <v>-0.13045728802794543</v>
      </c>
      <c r="O34" s="25" cm="1">
        <f t="array" ref="O34">+_xll.BDP(A34,"CURRENT_TRR_1D")/100</f>
        <v>0</v>
      </c>
    </row>
    <row r="35" spans="1:15">
      <c r="A35" t="str">
        <v>VOLCABC1 pe Equity</v>
      </c>
      <c r="B35" t="str" cm="1">
        <f t="array" ref="B35">_xll.BDP(A35,"ID_ISIN")</f>
        <v>PEP648014202</v>
      </c>
      <c r="C35" t="str">
        <f>+INDEX(Tabla1[Moneda],MATCH(A35,Tabla1[Identificador],0))</f>
        <v>PEN</v>
      </c>
      <c r="D35" t="str" cm="1">
        <f t="array" ref="D35">_xll.BDP(A35, "DS213")</f>
        <v>Common Stock</v>
      </c>
      <c r="E35" t="str">
        <f>+_xll.BDP($A35,"Name")</f>
        <v>VOLCAN CIA MINERA SAA-CMN B</v>
      </c>
      <c r="F35" s="17">
        <f>SUMIFS(
 Tabla1[Q],
 Tabla1[Identificador],A35,
 Tabla1[Stock],"stock"
)</f>
        <v>639144</v>
      </c>
      <c r="G35" s="17" cm="1">
        <f t="array" ref="G35">SUMPRODUCT(
 (Tabla1[Identificador]=A35)*
 (Tabla1[Stock]="stock")*
 Tabla1[Q]*
 Tabla1[P]
)
/SUMIFS(
 Tabla1[Q],
 Tabla1[Identificador],A35,
 Tabla1[Stock],"stock"
)</f>
        <v>0.78527943624597907</v>
      </c>
      <c r="H35" cm="1">
        <f t="array" ref="H35">+_xll.BDP(A35,"PX_LAST")</f>
        <v>0.75</v>
      </c>
      <c r="I35" cm="1">
        <f t="array" ref="I35">+_xll.BDP(A35,"PX_CLOSE_1D")</f>
        <v>0.74</v>
      </c>
      <c r="J35" s="24">
        <f t="shared" ref="J35" si="5">+F35*G35</f>
        <v>501906.64000000007</v>
      </c>
      <c r="K35" s="17">
        <f t="shared" ref="K35" si="6">+H35*F35</f>
        <v>479358</v>
      </c>
      <c r="L35" s="17">
        <f t="shared" ref="L35" si="7">+I35*F35</f>
        <v>472966.56</v>
      </c>
      <c r="M35" s="51">
        <f t="shared" si="0"/>
        <v>0.20371416378227283</v>
      </c>
      <c r="N35" s="25">
        <f t="shared" ref="N35" si="8">+(H35*F35)/(F35*G35)-1</f>
        <v>-4.4925964717263067E-2</v>
      </c>
      <c r="O35" s="25" cm="1">
        <f t="array" ref="O35">+_xll.BDP(A35,"CURRENT_TRR_1D")/100</f>
        <v>0</v>
      </c>
    </row>
    <row r="36" spans="1:15">
      <c r="A36" t="str">
        <v>QQQ US Equity</v>
      </c>
      <c r="B36" t="str" cm="1">
        <f t="array" ref="B36">_xll.BDP(A36,"ID_ISIN")</f>
        <v>US46090E1038</v>
      </c>
      <c r="C36" t="str">
        <f>+INDEX(Tabla1[Moneda],MATCH(A36,Tabla1[Identificador],0))</f>
        <v>USD</v>
      </c>
      <c r="D36" t="str" cm="1">
        <f t="array" ref="D36">_xll.BDP(A36, "DS213")</f>
        <v>ETP</v>
      </c>
      <c r="E36" t="str">
        <f>+_xll.BDP($A36,"Name")</f>
        <v>INVESCO QQQ TRUST SERIES 1</v>
      </c>
      <c r="F36" s="17">
        <f>SUMIFS(
 Tabla1[Q],
 Tabla1[Identificador],A36,
 Tabla1[Stock],"stock"
)</f>
        <v>167</v>
      </c>
      <c r="G36" s="17" cm="1">
        <f t="array" ref="G36">SUMPRODUCT(
 (Tabla1[Identificador]=A36)*
 (Tabla1[Stock]="stock")*
 Tabla1[Q]*
 Tabla1[P]
)
/SUMIFS(
 Tabla1[Q],
 Tabla1[Identificador],A36,
 Tabla1[Stock],"stock"
)</f>
        <v>595.83000000000004</v>
      </c>
      <c r="H36" cm="1">
        <f t="array" ref="H36">+_xll.BDP(A36,"PX_LAST")</f>
        <v>607.77</v>
      </c>
      <c r="I36" cm="1">
        <f t="array" ref="I36">+_xll.BDP(A36,"PX_CLOSE_1D")</f>
        <v>607.76</v>
      </c>
      <c r="J36" s="24">
        <f t="shared" ref="J36" si="9">+F36*G36</f>
        <v>99503.61</v>
      </c>
      <c r="K36" s="17">
        <f t="shared" ref="K36" si="10">+H36*F36</f>
        <v>101497.59</v>
      </c>
      <c r="L36" s="17">
        <f t="shared" ref="L36" si="11">+I36*F36</f>
        <v>101495.92</v>
      </c>
      <c r="M36" s="51">
        <f t="shared" si="0"/>
        <v>1.6744875979990418E-2</v>
      </c>
      <c r="N36" s="25">
        <f t="shared" ref="N36" si="12">+(H36*F36)/(F36*G36)-1</f>
        <v>2.0039272946981379E-2</v>
      </c>
      <c r="O36" s="25" cm="1">
        <f t="array" ref="O36">+_xll.BDP(A36,"CURRENT_TRR_1D")/100</f>
        <v>0</v>
      </c>
    </row>
    <row r="37" spans="1:15">
      <c r="A37" t="str">
        <v>AMZN us Equity</v>
      </c>
      <c r="B37" t="str" cm="1">
        <f t="array" ref="B37">_xll.BDP(A37,"ID_ISIN")</f>
        <v>US0231351067</v>
      </c>
      <c r="C37" t="str">
        <f>+INDEX(Tabla1[Moneda],MATCH(A37,Tabla1[Identificador],0))</f>
        <v>USD</v>
      </c>
      <c r="D37" t="str" cm="1">
        <f t="array" ref="D37">_xll.BDP(A37, "DS213")</f>
        <v>Common Stock</v>
      </c>
      <c r="E37" t="str">
        <f>+_xll.BDP($A37,"Name")</f>
        <v>AMAZON.COM INC</v>
      </c>
      <c r="F37" s="17">
        <f>SUMIFS(
 Tabla1[Q],
 Tabla1[Identificador],A37,
 Tabla1[Stock],"stock"
)</f>
        <v>978</v>
      </c>
      <c r="G37" s="17" cm="1">
        <f t="array" ref="G37">SUMPRODUCT(
 (Tabla1[Identificador]=A37)*
 (Tabla1[Stock]="stock")*
 Tabla1[Q]*
 Tabla1[P]
)
/SUMIFS(
 Tabla1[Q],
 Tabla1[Identificador],A37,
 Tabla1[Stock],"stock"
)</f>
        <v>204.15</v>
      </c>
      <c r="H37" cm="1">
        <f t="array" ref="H37">+_xll.BDP(A37,"PX_LAST")</f>
        <v>214.33</v>
      </c>
      <c r="I37" cm="1">
        <f t="array" ref="I37">+_xll.BDP(A37,"PX_CLOSE_1D")</f>
        <v>213.49</v>
      </c>
      <c r="J37" s="24">
        <f t="shared" ref="J37" si="13">+F37*G37</f>
        <v>199658.7</v>
      </c>
      <c r="K37" s="17">
        <f t="shared" ref="K37" si="14">+H37*F37</f>
        <v>209614.74000000002</v>
      </c>
      <c r="L37" s="17">
        <f t="shared" ref="L37" si="15">+I37*F37</f>
        <v>208793.22</v>
      </c>
      <c r="M37" s="51">
        <f t="shared" si="0"/>
        <v>3.4581834158603539E-2</v>
      </c>
      <c r="N37" s="25">
        <f t="shared" ref="N37" si="16">+(H37*F37)/(F37*G37)-1</f>
        <v>4.9865295126132692E-2</v>
      </c>
      <c r="O37" s="25" cm="1">
        <f t="array" ref="O37">+_xll.BDP(A37,"CURRENT_TRR_1D")/100</f>
        <v>0</v>
      </c>
    </row>
    <row r="38" spans="1:15">
      <c r="A38" t="str">
        <v>EC US Equity</v>
      </c>
      <c r="B38" t="str" cm="1">
        <f t="array" ref="B38">_xll.BDP(A38,"ID_ISIN")</f>
        <v>US2791581091</v>
      </c>
      <c r="C38" t="str">
        <f>+INDEX(Tabla1[Moneda],MATCH(A38,Tabla1[Identificador],0))</f>
        <v>USD</v>
      </c>
      <c r="D38" t="str" cm="1">
        <f t="array" ref="D38">_xll.BDP(A38, "DS213")</f>
        <v>ADR</v>
      </c>
      <c r="E38" t="str">
        <f>+_xll.BDP($A38,"Name")</f>
        <v>ECOPETROL SA-SPONSORED ADR</v>
      </c>
      <c r="F38" s="17">
        <f>SUMIFS(
 Tabla1[Q],
 Tabla1[Identificador],A38,
 Tabla1[Stock],"stock"
)</f>
        <v>12482</v>
      </c>
      <c r="G38" s="17" cm="1">
        <f t="array" ref="G38">SUMPRODUCT(
 (Tabla1[Identificador]=A38)*
 (Tabla1[Stock]="stock")*
 Tabla1[Q]*
 Tabla1[P]
)
/SUMIFS(
 Tabla1[Q],
 Tabla1[Identificador],A38,
 Tabla1[Stock],"stock"
)</f>
        <v>11.967898</v>
      </c>
      <c r="H38" cm="1">
        <f t="array" ref="H38">+_xll.BDP(A38,"PX_LAST")</f>
        <v>12.9</v>
      </c>
      <c r="I38" cm="1">
        <f t="array" ref="I38">+_xll.BDP(A38,"PX_CLOSE_1D")</f>
        <v>12.84</v>
      </c>
      <c r="J38" s="24">
        <f t="shared" ref="J38:J42" si="17">+F38*G38</f>
        <v>149383.30283599999</v>
      </c>
      <c r="K38" s="17">
        <f t="shared" ref="K38:K42" si="18">+H38*F38</f>
        <v>161017.80000000002</v>
      </c>
      <c r="L38" s="17">
        <f t="shared" ref="L38:L42" si="19">+I38*F38</f>
        <v>160268.88</v>
      </c>
      <c r="M38" s="51">
        <f t="shared" ref="M38:M42" si="20">+IF(C38="USD",K38/SUMIF(C:C,C38,K:K),K38/SUMIF(C:C,C38,K:K))</f>
        <v>2.6564405042236977E-2</v>
      </c>
      <c r="N38" s="25">
        <f t="shared" ref="N38:N42" si="21">+(H38*F38)/(F38*G38)-1</f>
        <v>7.7883518058058598E-2</v>
      </c>
      <c r="O38" s="25" cm="1">
        <f t="array" ref="O38">+_xll.BDP(A38,"CURRENT_TRR_1D")/100</f>
        <v>0</v>
      </c>
    </row>
    <row r="39" spans="1:15">
      <c r="A39" t="str">
        <v>SMH US Equity</v>
      </c>
      <c r="B39" t="str" cm="1">
        <f t="array" ref="B39">_xll.BDP(A39,"ID_ISIN")</f>
        <v>US92189F6768</v>
      </c>
      <c r="C39" t="str">
        <f>+INDEX(Tabla1[Moneda],MATCH(A39,Tabla1[Identificador],0))</f>
        <v>USD</v>
      </c>
      <c r="D39" t="str" cm="1">
        <f t="array" ref="D39">_xll.BDP(A39, "DS213")</f>
        <v>ETP</v>
      </c>
      <c r="E39" t="str">
        <f>+_xll.BDP($A39,"Name")</f>
        <v>VANECK SEMICONDUCTOR ETF</v>
      </c>
      <c r="F39" s="17">
        <f>SUMIFS(
 Tabla1[Q],
 Tabla1[Identificador],A39,
 Tabla1[Stock],"stock"
)</f>
        <v>357</v>
      </c>
      <c r="G39" s="17" cm="1">
        <f t="array" ref="G39">SUMPRODUCT(
 (Tabla1[Identificador]=A39)*
 (Tabla1[Stock]="stock")*
 Tabla1[Q]*
 Tabla1[P]
)
/SUMIFS(
 Tabla1[Q],
 Tabla1[Identificador],A39,
 Tabla1[Stock],"stock"
)</f>
        <v>416.96</v>
      </c>
      <c r="H39" cm="1">
        <f t="array" ref="H39">+_xll.BDP(A39,"PX_LAST")</f>
        <v>397.33</v>
      </c>
      <c r="I39" cm="1">
        <f t="array" ref="I39">+_xll.BDP(A39,"PX_CLOSE_1D")</f>
        <v>394.37</v>
      </c>
      <c r="J39" s="24">
        <f t="shared" si="17"/>
        <v>148854.72</v>
      </c>
      <c r="K39" s="17">
        <f t="shared" si="18"/>
        <v>141846.81</v>
      </c>
      <c r="L39" s="17">
        <f t="shared" si="19"/>
        <v>140790.09</v>
      </c>
      <c r="M39" s="51">
        <f t="shared" si="20"/>
        <v>2.3401612211750689E-2</v>
      </c>
      <c r="N39" s="25">
        <f t="shared" si="21"/>
        <v>-4.7078856485034515E-2</v>
      </c>
      <c r="O39" s="25" cm="1">
        <f t="array" ref="O39">+_xll.BDP(A39,"CURRENT_TRR_1D")/100</f>
        <v>0</v>
      </c>
    </row>
    <row r="40" spans="1:15">
      <c r="A40" t="str">
        <v>MSFT US Equity</v>
      </c>
      <c r="B40" t="str" cm="1">
        <f t="array" ref="B40">_xll.BDP(A40,"ID_ISIN")</f>
        <v>US5949181045</v>
      </c>
      <c r="C40" t="str">
        <f>+INDEX(Tabla1[Moneda],MATCH(A40,Tabla1[Identificador],0))</f>
        <v>USD</v>
      </c>
      <c r="D40" t="str" cm="1">
        <f t="array" ref="D40">_xll.BDP(A40, "DS213")</f>
        <v>Common Stock</v>
      </c>
      <c r="E40" t="str">
        <f>+_xll.BDP($A40,"Name")</f>
        <v>MICROSOFT CORP</v>
      </c>
      <c r="F40" s="17">
        <f>SUMIFS(
 Tabla1[Q],
 Tabla1[Identificador],A40,
 Tabla1[Stock],"stock"
)</f>
        <v>369</v>
      </c>
      <c r="G40" s="17" cm="1">
        <f t="array" ref="G40">SUMPRODUCT(
 (Tabla1[Identificador]=A40)*
 (Tabla1[Stock]="stock")*
 Tabla1[Q]*
 Tabla1[P]
)
/SUMIFS(
 Tabla1[Q],
 Tabla1[Identificador],A40,
 Tabla1[Stock],"stock"
)</f>
        <v>405.23790000000002</v>
      </c>
      <c r="H40" cm="1">
        <f t="array" ref="H40">+_xll.BDP(A40,"PX_LAST")</f>
        <v>405.76</v>
      </c>
      <c r="I40" cm="1">
        <f t="array" ref="I40">+_xll.BDP(A40,"PX_CLOSE_1D")</f>
        <v>409.41</v>
      </c>
      <c r="J40" s="24">
        <f t="shared" si="17"/>
        <v>149532.78510000001</v>
      </c>
      <c r="K40" s="17">
        <f t="shared" si="18"/>
        <v>149725.44</v>
      </c>
      <c r="L40" s="17">
        <f t="shared" si="19"/>
        <v>151072.29</v>
      </c>
      <c r="M40" s="51">
        <f t="shared" si="20"/>
        <v>2.4701413342420216E-2</v>
      </c>
      <c r="N40" s="25">
        <f t="shared" si="21"/>
        <v>1.2883789991013916E-3</v>
      </c>
      <c r="O40" s="25" cm="1">
        <f t="array" ref="O40">+_xll.BDP(A40,"CURRENT_TRR_1D")/100</f>
        <v>0</v>
      </c>
    </row>
    <row r="41" spans="1:15">
      <c r="A41" t="str">
        <v>COLO US Equity</v>
      </c>
      <c r="B41" t="str" cm="1">
        <f t="array" ref="B41">_xll.BDP(A41,"ID_ISIN")</f>
        <v>US37954Y3273</v>
      </c>
      <c r="C41" t="str">
        <f>+INDEX(Tabla1[Moneda],MATCH(A41,Tabla1[Identificador],0))</f>
        <v>USD</v>
      </c>
      <c r="D41" t="str" cm="1">
        <f t="array" ref="D41">_xll.BDP(A41, "DS213")</f>
        <v>ETP</v>
      </c>
      <c r="E41" t="str">
        <f>+_xll.BDP($A41,"Name")</f>
        <v>GLOBAL X MSCI COLOMBIA ETF</v>
      </c>
      <c r="F41" s="17">
        <f>SUMIFS(
 Tabla1[Q],
 Tabla1[Identificador],A41,
 Tabla1[Stock],"stock"
)</f>
        <v>5108</v>
      </c>
      <c r="G41" s="17" cm="1">
        <f t="array" ref="G41">SUMPRODUCT(
 (Tabla1[Identificador]=A41)*
 (Tabla1[Stock]="stock")*
 Tabla1[Q]*
 Tabla1[P]
)
/SUMIFS(
 Tabla1[Q],
 Tabla1[Identificador],A41,
 Tabla1[Stock],"stock"
)</f>
        <v>39.118003000000002</v>
      </c>
      <c r="H41" cm="1">
        <f t="array" ref="H41">+_xll.BDP(A41,"PX_LAST")</f>
        <v>38.54</v>
      </c>
      <c r="I41" cm="1">
        <f t="array" ref="I41">+_xll.BDP(A41,"PX_CLOSE_1D")</f>
        <v>37.4</v>
      </c>
      <c r="J41" s="24">
        <f t="shared" si="17"/>
        <v>199814.75932400001</v>
      </c>
      <c r="K41" s="17">
        <f t="shared" si="18"/>
        <v>196862.32</v>
      </c>
      <c r="L41" s="17">
        <f t="shared" si="19"/>
        <v>191039.19999999998</v>
      </c>
      <c r="M41" s="51">
        <f t="shared" si="20"/>
        <v>3.2477964585495941E-2</v>
      </c>
      <c r="N41" s="25">
        <f t="shared" si="21"/>
        <v>-1.4775882091936032E-2</v>
      </c>
      <c r="O41" s="25" cm="1">
        <f t="array" ref="O41">+_xll.BDP(A41,"CURRENT_TRR_1D")/100</f>
        <v>0</v>
      </c>
    </row>
    <row r="42" spans="1:15">
      <c r="A42" t="str">
        <v>YINN US Equity</v>
      </c>
      <c r="B42" t="str" cm="1">
        <f t="array" ref="B42">_xll.BDP(A42,"ID_ISIN")</f>
        <v>US25460G1958</v>
      </c>
      <c r="C42" t="str">
        <f>+INDEX(Tabla1[Moneda],MATCH(A42,Tabla1[Identificador],0))</f>
        <v>USD</v>
      </c>
      <c r="D42" t="str" cm="1">
        <f t="array" ref="D42">_xll.BDP(A42, "DS213")</f>
        <v>ETP</v>
      </c>
      <c r="E42" t="str">
        <f>+_xll.BDP($A42,"Name")</f>
        <v>DIREXION DLY FTSE CH BL3X-UI</v>
      </c>
      <c r="F42" s="17">
        <f>SUMIFS(
 Tabla1[Q],
 Tabla1[Identificador],A42,
 Tabla1[Stock],"stock"
)</f>
        <v>2590</v>
      </c>
      <c r="G42" s="17" cm="1">
        <f t="array" ref="G42">SUMPRODUCT(
 (Tabla1[Identificador]=A42)*
 (Tabla1[Stock]="stock")*
 Tabla1[Q]*
 Tabla1[P]
)
/SUMIFS(
 Tabla1[Q],
 Tabla1[Identificador],A42,
 Tabla1[Stock],"stock"
)</f>
        <v>38.424999999999997</v>
      </c>
      <c r="H42" cm="1">
        <f t="array" ref="H42">+_xll.BDP(A42,"PX_LAST")</f>
        <v>35.450000000000003</v>
      </c>
      <c r="I42" cm="1">
        <f t="array" ref="I42">+_xll.BDP(A42,"PX_CLOSE_1D")</f>
        <v>35.17</v>
      </c>
      <c r="J42" s="24">
        <f t="shared" si="17"/>
        <v>99520.749999999985</v>
      </c>
      <c r="K42" s="17">
        <f t="shared" si="18"/>
        <v>91815.500000000015</v>
      </c>
      <c r="L42" s="17">
        <f t="shared" si="19"/>
        <v>91090.3</v>
      </c>
      <c r="M42" s="51">
        <f t="shared" si="20"/>
        <v>1.5147543508577992E-2</v>
      </c>
      <c r="N42" s="25">
        <f t="shared" si="21"/>
        <v>-7.7423552374755733E-2</v>
      </c>
      <c r="O42" s="25" cm="1">
        <f t="array" ref="O42">+_xll.BDP(A42,"CURRENT_TRR_1D")/100</f>
        <v>0</v>
      </c>
    </row>
    <row r="43" spans="1:15">
      <c r="A43" t="str">
        <v>EWZ US Equity</v>
      </c>
      <c r="B43" t="str" cm="1">
        <f t="array" ref="B43">_xll.BDP(A43,"ID_ISIN")</f>
        <v>US4642864007</v>
      </c>
      <c r="C43" t="str">
        <f>+INDEX(Tabla1[Moneda],MATCH(A43,Tabla1[Identificador],0))</f>
        <v>USD</v>
      </c>
      <c r="D43" t="str" cm="1">
        <f t="array" ref="D43">_xll.BDP(A43, "DS213")</f>
        <v>ETP</v>
      </c>
      <c r="E43" t="str">
        <f>+_xll.BDP($A43,"Name")</f>
        <v>ISHARES MSCI BRAZIL ETF</v>
      </c>
      <c r="F43" s="17">
        <f>SUMIFS(
 Tabla1[Q],
 Tabla1[Identificador],A43,
 Tabla1[Stock],"stock"
)</f>
        <v>5124</v>
      </c>
      <c r="G43" s="17" cm="1">
        <f t="array" ref="G43">SUMPRODUCT(
 (Tabla1[Identificador]=A43)*
 (Tabla1[Stock]="stock")*
 Tabla1[Q]*
 Tabla1[P]
)
/SUMIFS(
 Tabla1[Q],
 Tabla1[Identificador],A43,
 Tabla1[Stock],"stock"
)</f>
        <v>38.93</v>
      </c>
      <c r="H43" cm="1">
        <f t="array" ref="H43">+_xll.BDP(A43,"PX_LAST")</f>
        <v>37.53</v>
      </c>
      <c r="I43" cm="1">
        <f t="array" ref="I43">+_xll.BDP(A43,"PX_CLOSE_1D")</f>
        <v>37.1</v>
      </c>
      <c r="J43" s="24">
        <f t="shared" ref="J43:J44" si="22">+F43*G43</f>
        <v>199477.32</v>
      </c>
      <c r="K43" s="17">
        <f t="shared" ref="K43:K44" si="23">+H43*F43</f>
        <v>192303.72</v>
      </c>
      <c r="L43" s="17">
        <f t="shared" ref="L43:L44" si="24">+I43*F43</f>
        <v>190100.4</v>
      </c>
      <c r="M43" s="51">
        <f t="shared" ref="M43:M44" si="25">+IF(C43="USD",K43/SUMIF(C:C,C43,K:K),K43/SUMIF(C:C,C43,K:K))</f>
        <v>3.1725895579301958E-2</v>
      </c>
      <c r="N43" s="25">
        <f t="shared" ref="N43:N44" si="26">+(H43*F43)/(F43*G43)-1</f>
        <v>-3.5961983046493784E-2</v>
      </c>
      <c r="O43" s="25" cm="1">
        <f t="array" ref="O43">+_xll.BDP(A43,"CURRENT_TRR_1D")/100</f>
        <v>0</v>
      </c>
    </row>
    <row r="44" spans="1:15">
      <c r="A44" t="str">
        <v>EWW US Equity</v>
      </c>
      <c r="B44" t="str" cm="1">
        <f t="array" ref="B44">_xll.BDP(A44,"ID_ISIN")</f>
        <v>US4642868222</v>
      </c>
      <c r="C44" t="str">
        <f>+INDEX(Tabla1[Moneda],MATCH(A44,Tabla1[Identificador],0))</f>
        <v>USD</v>
      </c>
      <c r="D44" t="str" cm="1">
        <f t="array" ref="D44">_xll.BDP(A44, "DS213")</f>
        <v>ETP</v>
      </c>
      <c r="E44" t="str">
        <f>+_xll.BDP($A44,"Name")</f>
        <v>ISHARES MSCI MEXICO ETF</v>
      </c>
      <c r="F44" s="17">
        <f>SUMIFS(
 Tabla1[Q],
 Tabla1[Identificador],A44,
 Tabla1[Stock],"stock"
)</f>
        <v>2484</v>
      </c>
      <c r="G44" s="17" cm="1">
        <f t="array" ref="G44">SUMPRODUCT(
 (Tabla1[Identificador]=A44)*
 (Tabla1[Stock]="stock")*
 Tabla1[Q]*
 Tabla1[P]
)
/SUMIFS(
 Tabla1[Q],
 Tabla1[Identificador],A44,
 Tabla1[Stock],"stock"
)</f>
        <v>80.419899999999998</v>
      </c>
      <c r="H44" cm="1">
        <f t="array" ref="H44">+_xll.BDP(A44,"PX_LAST")</f>
        <v>74.760000000000005</v>
      </c>
      <c r="I44" cm="1">
        <f t="array" ref="I44">+_xll.BDP(A44,"PX_CLOSE_1D")</f>
        <v>73.89</v>
      </c>
      <c r="J44" s="24">
        <f t="shared" si="22"/>
        <v>199763.03159999999</v>
      </c>
      <c r="K44" s="17">
        <f t="shared" si="23"/>
        <v>185703.84000000003</v>
      </c>
      <c r="L44" s="17">
        <f t="shared" si="24"/>
        <v>183542.76</v>
      </c>
      <c r="M44" s="51">
        <f t="shared" si="25"/>
        <v>3.0637060148994515E-2</v>
      </c>
      <c r="N44" s="25">
        <f t="shared" si="26"/>
        <v>-7.0379346405553656E-2</v>
      </c>
      <c r="O44" s="25" cm="1">
        <f t="array" ref="O44">+_xll.BDP(A44,"CURRENT_TRR_1D")/100</f>
        <v>0</v>
      </c>
    </row>
    <row r="45" spans="1:15">
      <c r="A45" t="str">
        <v>EZA US Equity</v>
      </c>
      <c r="B45" t="str" cm="1">
        <f t="array" ref="B45">_xll.BDP(A45,"ID_ISIN")</f>
        <v>US4642867802</v>
      </c>
      <c r="C45" t="str">
        <f>+INDEX(Tabla1[Moneda],MATCH(A45,Tabla1[Identificador],0))</f>
        <v>USD</v>
      </c>
      <c r="D45" t="str" cm="1">
        <f t="array" ref="D45">_xll.BDP(A45, "DS213")</f>
        <v>ETP</v>
      </c>
      <c r="E45" t="str">
        <f>+_xll.BDP($A45,"Name")</f>
        <v>ISHARES MSCI SOUTH AFRICA ET</v>
      </c>
      <c r="F45" s="17">
        <f>SUMIFS(
 Tabla1[Q],
 Tabla1[Identificador],A45,
 Tabla1[Stock],"stock"
)</f>
        <v>3676</v>
      </c>
      <c r="G45" s="17" cm="1">
        <f t="array" ref="G45">SUMPRODUCT(
 (Tabla1[Identificador]=A45)*
 (Tabla1[Stock]="stock")*
 Tabla1[Q]*
 Tabla1[P]
)
/SUMIFS(
 Tabla1[Q],
 Tabla1[Identificador],A45,
 Tabla1[Stock],"stock"
)</f>
        <v>81.569900000000004</v>
      </c>
      <c r="H45" cm="1">
        <f t="array" ref="H45">+_xll.BDP(A45,"PX_LAST")</f>
        <v>73.040000000000006</v>
      </c>
      <c r="I45" cm="1">
        <f t="array" ref="I45">+_xll.BDP(A45,"PX_CLOSE_1D")</f>
        <v>72</v>
      </c>
      <c r="J45" s="24">
        <f t="shared" ref="J45:J46" si="27">+F45*G45</f>
        <v>299850.95240000001</v>
      </c>
      <c r="K45" s="17">
        <f t="shared" ref="K45:K46" si="28">+H45*F45</f>
        <v>268495.04000000004</v>
      </c>
      <c r="L45" s="17">
        <f t="shared" ref="L45:L46" si="29">+I45*F45</f>
        <v>264672</v>
      </c>
      <c r="M45" s="51">
        <f t="shared" ref="M45:M46" si="30">+IF(C45="USD",K45/SUMIF(C:C,C45,K:K),K45/SUMIF(C:C,C45,K:K))</f>
        <v>4.4295792107404391E-2</v>
      </c>
      <c r="N45" s="25">
        <f t="shared" ref="N45:N46" si="31">+(H45*F45)/(F45*G45)-1</f>
        <v>-0.10457166185075617</v>
      </c>
      <c r="O45" s="25" cm="1">
        <f t="array" ref="O45">+_xll.BDP(A45,"CURRENT_TRR_1D")/100</f>
        <v>0</v>
      </c>
    </row>
    <row r="46" spans="1:15">
      <c r="A46" t="str">
        <v>EWY US Equity</v>
      </c>
      <c r="B46" t="str" cm="1">
        <f t="array" ref="B46">_xll.BDP(A46,"ID_ISIN")</f>
        <v>US4642867729</v>
      </c>
      <c r="C46" t="str">
        <f>+INDEX(Tabla1[Moneda],MATCH(A46,Tabla1[Identificador],0))</f>
        <v>USD</v>
      </c>
      <c r="D46" t="str" cm="1">
        <f t="array" ref="D46">_xll.BDP(A46, "DS213")</f>
        <v>ETP</v>
      </c>
      <c r="E46" t="str">
        <f>+_xll.BDP($A46,"Name")</f>
        <v>ISHARES MSCI SOUTH KOREA ETF</v>
      </c>
      <c r="F46" s="17">
        <f>SUMIFS(
 Tabla1[Q],
 Tabla1[Identificador],A46,
 Tabla1[Stock],"stock"
)</f>
        <v>1327</v>
      </c>
      <c r="G46" s="17" cm="1">
        <f t="array" ref="G46">SUMPRODUCT(
 (Tabla1[Identificador]=A46)*
 (Tabla1[Stock]="stock")*
 Tabla1[Q]*
 Tabla1[P]
)
/SUMIFS(
 Tabla1[Q],
 Tabla1[Identificador],A46,
 Tabla1[Stock],"stock"
)</f>
        <v>150.58045200000001</v>
      </c>
      <c r="H46" cm="1">
        <f t="array" ref="H46">+_xll.BDP(A46,"PX_LAST")</f>
        <v>130.30000000000001</v>
      </c>
      <c r="I46" cm="1">
        <f t="array" ref="I46">+_xll.BDP(A46,"PX_CLOSE_1D")</f>
        <v>133.88999999999999</v>
      </c>
      <c r="J46" s="24">
        <f t="shared" si="27"/>
        <v>199820.259804</v>
      </c>
      <c r="K46" s="17">
        <f t="shared" si="28"/>
        <v>172908.1</v>
      </c>
      <c r="L46" s="17">
        <f t="shared" si="29"/>
        <v>177672.02999999997</v>
      </c>
      <c r="M46" s="51">
        <f t="shared" si="30"/>
        <v>2.8526043726119815E-2</v>
      </c>
      <c r="N46" s="25">
        <f t="shared" si="31"/>
        <v>-0.13468183771954678</v>
      </c>
      <c r="O46" s="25" cm="1">
        <f t="array" ref="O46">+_xll.BDP(A46,"CURRENT_TRR_1D")/100</f>
        <v>0</v>
      </c>
    </row>
    <row r="47" spans="1:15">
      <c r="A47" t="str">
        <v>GLD US Equity</v>
      </c>
      <c r="B47" t="str" cm="1">
        <f t="array" ref="B47">_xll.BDP(A47,"ID_ISIN")</f>
        <v>US78463V1070</v>
      </c>
      <c r="C47" t="str">
        <f>+INDEX(Tabla1[Moneda],MATCH(A47,Tabla1[Identificador],0))</f>
        <v>USD</v>
      </c>
      <c r="D47" t="str" cm="1">
        <f t="array" ref="D47">_xll.BDP(A47, "DS213")</f>
        <v>ETP</v>
      </c>
      <c r="E47" t="str">
        <f>+_xll.BDP($A47,"Name")</f>
        <v>SPDR GOLD SHARES</v>
      </c>
      <c r="F47" s="17">
        <f>SUMIFS(
 Tabla1[Q],
 Tabla1[Identificador],A47,
 Tabla1[Stock],"stock"
)</f>
        <v>609</v>
      </c>
      <c r="G47" s="17" cm="1">
        <f t="array" ref="G47">SUMPRODUCT(
 (Tabla1[Identificador]=A47)*
 (Tabla1[Stock]="stock")*
 Tabla1[Q]*
 Tabla1[P]
)
/SUMIFS(
 Tabla1[Q],
 Tabla1[Identificador],A47,
 Tabla1[Stock],"stock"
)</f>
        <v>489.92990000000003</v>
      </c>
      <c r="H47" cm="1">
        <f t="array" ref="H47">+_xll.BDP(A47,"PX_LAST")</f>
        <v>477.86</v>
      </c>
      <c r="I47" cm="1">
        <f t="array" ref="I47">+_xll.BDP(A47,"PX_CLOSE_1D")</f>
        <v>472.53</v>
      </c>
      <c r="J47" s="24">
        <f>+F47*G47</f>
        <v>298367.30910000001</v>
      </c>
      <c r="K47" s="17">
        <f>+H47*F47</f>
        <v>291016.74</v>
      </c>
      <c r="L47" s="17">
        <f>+I47*F47</f>
        <v>287770.76999999996</v>
      </c>
      <c r="M47" s="51">
        <f>+IF(C47="USD",K47/SUMIF(C:C,C47,K:K),K47/SUMIF(C:C,C47,K:K))</f>
        <v>4.8011378589394256E-2</v>
      </c>
      <c r="N47" s="25">
        <f>+(H47*F47)/(F47*G47)-1</f>
        <v>-2.4635973432117653E-2</v>
      </c>
      <c r="O47" s="25" cm="1">
        <f t="array" ref="O47">+_xll.BDP(A47,"CURRENT_TRR_1D")/100</f>
        <v>0</v>
      </c>
    </row>
    <row r="48" spans="1:15">
      <c r="A48" t="str">
        <v>BVN US Equity</v>
      </c>
      <c r="B48" t="str" cm="1">
        <f t="array" ref="B48">_xll.BDP(A48,"ID_ISIN")</f>
        <v>US2044481040</v>
      </c>
      <c r="C48" t="str">
        <f>+INDEX(Tabla1[Moneda],MATCH(A48,Tabla1[Identificador],0))</f>
        <v>USD</v>
      </c>
      <c r="D48" t="str" cm="1">
        <f t="array" ref="D48">_xll.BDP(A48, "DS213")</f>
        <v>ADR</v>
      </c>
      <c r="E48" t="str">
        <f>+_xll.BDP($A48,"Name")</f>
        <v>CIA DE MINAS BUENAVENTUR-ADR</v>
      </c>
      <c r="F48" s="17">
        <f>SUMIFS(
 Tabla1[Q],
 Tabla1[Identificador],A48,
 Tabla1[Stock],"stock"
)</f>
        <v>2640</v>
      </c>
      <c r="G48" s="17" cm="1">
        <f t="array" ref="G48">SUMPRODUCT(
 (Tabla1[Identificador]=A48)*
 (Tabla1[Stock]="stock")*
 Tabla1[Q]*
 Tabla1[P]
)
/SUMIFS(
 Tabla1[Q],
 Tabla1[Identificador],A48,
 Tabla1[Stock],"stock"
)</f>
        <v>37.951165000000003</v>
      </c>
      <c r="H48" cm="1">
        <f t="array" ref="H48">+_xll.BDP(A48,"PX_LAST")</f>
        <v>38.9</v>
      </c>
      <c r="I48" cm="1">
        <f t="array" ref="I48">+_xll.BDP(A48,"PX_CLOSE_1D")</f>
        <v>37.51</v>
      </c>
      <c r="J48" s="24">
        <f>+F48*G48</f>
        <v>100191.07560000001</v>
      </c>
      <c r="K48" s="17">
        <f>+H48*F48</f>
        <v>102696</v>
      </c>
      <c r="L48" s="17">
        <f>+I48*F48</f>
        <v>99026.4</v>
      </c>
      <c r="M48" s="51">
        <f>+IF(C48="USD",K48/SUMIF(C:C,C48,K:K),K48/SUMIF(C:C,C48,K:K))</f>
        <v>1.6942587342626519E-2</v>
      </c>
      <c r="N48" s="25">
        <f>+(H48*F48)/(F48*G48)-1</f>
        <v>2.5001472286819038E-2</v>
      </c>
      <c r="O48" s="25" cm="1">
        <f t="array" ref="O48">+_xll.BDP(A48,"CURRENT_TRR_1D")/100</f>
        <v>0</v>
      </c>
    </row>
    <row r="49" spans="1:15">
      <c r="A49" t="str">
        <v>EPU US Equity</v>
      </c>
      <c r="B49" t="str" cm="1">
        <f t="array" ref="B49">_xll.BDP(A49,"ID_ISIN")</f>
        <v>US4642898427</v>
      </c>
      <c r="C49" t="str">
        <f>+INDEX(Tabla1[Moneda],MATCH(A49,Tabla1[Identificador],0))</f>
        <v>USD</v>
      </c>
      <c r="D49" t="str" cm="1">
        <f t="array" ref="D49">_xll.BDP(A49, "DS213")</f>
        <v>ETP</v>
      </c>
      <c r="E49" t="str">
        <f>+_xll.BDP($A49,"Name")</f>
        <v>ISHARES MSCI PERU AND GLOBAL</v>
      </c>
      <c r="F49" s="17">
        <f>SUMIFS(
 Tabla1[Q],
 Tabla1[Identificador],A49,
 Tabla1[Stock],"stock"
)</f>
        <v>2369</v>
      </c>
      <c r="G49" s="17" cm="1">
        <f t="array" ref="G49">SUMPRODUCT(
 (Tabla1[Identificador]=A49)*
 (Tabla1[Stock]="stock")*
 Tabla1[Q]*
 Tabla1[P]
)
/SUMIFS(
 Tabla1[Q],
 Tabla1[Identificador],A49,
 Tabla1[Stock],"stock"
)</f>
        <v>83.897751</v>
      </c>
      <c r="H49" cm="1">
        <f t="array" ref="H49">+_xll.BDP(A49,"PX_LAST")</f>
        <v>86.87</v>
      </c>
      <c r="I49" cm="1">
        <f t="array" ref="I49">+_xll.BDP(A49,"PX_CLOSE_1D")</f>
        <v>83.97</v>
      </c>
      <c r="J49" s="24">
        <f>+F49*G49</f>
        <v>198753.772119</v>
      </c>
      <c r="K49" s="17">
        <f>+H49*F49</f>
        <v>205795.03</v>
      </c>
      <c r="L49" s="17">
        <f>+I49*F49</f>
        <v>198924.93</v>
      </c>
      <c r="M49" s="51">
        <f>+IF(C49="USD",K49/SUMIF(C:C,C49,K:K),K49/SUMIF(C:C,C49,K:K))</f>
        <v>3.3951665794709089E-2</v>
      </c>
      <c r="N49" s="25">
        <f>+(H49*F49)/(F49*G49)-1</f>
        <v>3.5427040231388318E-2</v>
      </c>
      <c r="O49" s="25" cm="1">
        <f t="array" ref="O49">+_xll.BDP(A49,"CURRENT_TRR_1D")/100</f>
        <v>0</v>
      </c>
    </row>
  </sheetData>
  <autoFilter ref="A1:O42" xr:uid="{00000000-0001-0000-0000-000000000000}">
    <filterColumn colId="2">
      <filters>
        <filter val="USD"/>
      </filters>
    </filterColumn>
  </autoFilter>
  <conditionalFormatting sqref="N2:N49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{C8637A36-8E0A-4A49-BD9C-26EC8FCD5CB5}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{506CB481-17B0-4E8C-ACFE-4EFC36F6020D}</x14:id>
        </ext>
      </extLst>
    </cfRule>
  </conditionalFormatting>
  <conditionalFormatting sqref="N2:O34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{A66B0E85-3C65-453B-A361-E20BAEC44889}</x14:id>
        </ext>
      </extLst>
    </cfRule>
  </conditionalFormatting>
  <conditionalFormatting sqref="N35:O3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{BFE54528-5C27-4BB6-8579-8EADE444FAD1}</x14:id>
        </ext>
      </extLst>
    </cfRule>
  </conditionalFormatting>
  <conditionalFormatting sqref="N36:O3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{BA2BC10C-E9AC-4AE6-84F7-C45F9689CB34}</x14:id>
        </ext>
      </extLst>
    </cfRule>
  </conditionalFormatting>
  <conditionalFormatting sqref="N37:O42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{C0B61318-B2E0-49B2-AB8B-8CC2CC96D0C6}</x14:id>
        </ext>
      </extLst>
    </cfRule>
  </conditionalFormatting>
  <conditionalFormatting sqref="N43:O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{DF6CD140-431B-467A-8F22-A8AA20DA3FE6}</x14:id>
        </ext>
      </extLst>
    </cfRule>
  </conditionalFormatting>
  <conditionalFormatting sqref="N44:O4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{C4535449-45D6-4F7F-8C39-ECC32661FC86}</x14:id>
        </ext>
      </extLst>
    </cfRule>
  </conditionalFormatting>
  <conditionalFormatting sqref="N45:O4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{0810CE88-6425-408A-9817-519F1008C830}</x14:id>
        </ext>
      </extLst>
    </cfRule>
  </conditionalFormatting>
  <conditionalFormatting sqref="N46:O4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{A272F175-0DF5-4F16-AF24-9D57B0652456}</x14:id>
        </ext>
      </extLst>
    </cfRule>
  </conditionalFormatting>
  <conditionalFormatting sqref="N47:O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{A89E2568-E918-4CF7-9D32-FEC83C4F6A11}</x14:id>
        </ext>
      </extLst>
    </cfRule>
  </conditionalFormatting>
  <conditionalFormatting sqref="N48:O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{F2FECFE8-6194-414B-8804-00AEC4605612}</x14:id>
        </ext>
      </extLst>
    </cfRule>
  </conditionalFormatting>
  <conditionalFormatting sqref="O2:O49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{530B4916-4BA7-4E3B-BEC2-97838016BD23}</x14:id>
        </ext>
      </extLst>
    </cfRule>
  </conditionalFormatting>
  <conditionalFormatting sqref="N49:O4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{E7028C79-75E1-428E-8A47-6FE66A2B9A8E}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637A36-8E0A-4A49-BD9C-26EC8FCD5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6CB481-17B0-4E8C-ACFE-4EFC36F602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N2:N49</xm:sqref>
        </x14:conditionalFormatting>
        <x14:conditionalFormatting xmlns:xm="http://schemas.microsoft.com/office/excel/2006/main">
          <x14:cfRule type="dataBar" id="{A66B0E85-3C65-453B-A361-E20BAEC448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N2:O34</xm:sqref>
        </x14:conditionalFormatting>
        <x14:conditionalFormatting xmlns:xm="http://schemas.microsoft.com/office/excel/2006/main">
          <x14:cfRule type="dataBar" id="{BFE54528-5C27-4BB6-8579-8EADE444FA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N35:O35</xm:sqref>
        </x14:conditionalFormatting>
        <x14:conditionalFormatting xmlns:xm="http://schemas.microsoft.com/office/excel/2006/main">
          <x14:cfRule type="dataBar" id="{BA2BC10C-E9AC-4AE6-84F7-C45F9689CB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N36:O36</xm:sqref>
        </x14:conditionalFormatting>
        <x14:conditionalFormatting xmlns:xm="http://schemas.microsoft.com/office/excel/2006/main">
          <x14:cfRule type="dataBar" id="{C0B61318-B2E0-49B2-AB8B-8CC2CC96D0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N37:O42</xm:sqref>
        </x14:conditionalFormatting>
        <x14:conditionalFormatting xmlns:xm="http://schemas.microsoft.com/office/excel/2006/main">
          <x14:cfRule type="dataBar" id="{DF6CD140-431B-467A-8F22-A8AA20DA3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N43:O43</xm:sqref>
        </x14:conditionalFormatting>
        <x14:conditionalFormatting xmlns:xm="http://schemas.microsoft.com/office/excel/2006/main">
          <x14:cfRule type="dataBar" id="{C4535449-45D6-4F7F-8C39-ECC32661FC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N44:O44</xm:sqref>
        </x14:conditionalFormatting>
        <x14:conditionalFormatting xmlns:xm="http://schemas.microsoft.com/office/excel/2006/main">
          <x14:cfRule type="dataBar" id="{0810CE88-6425-408A-9817-519F1008C8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N45:O45</xm:sqref>
        </x14:conditionalFormatting>
        <x14:conditionalFormatting xmlns:xm="http://schemas.microsoft.com/office/excel/2006/main">
          <x14:cfRule type="dataBar" id="{A272F175-0DF5-4F16-AF24-9D57B0652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N46:O46</xm:sqref>
        </x14:conditionalFormatting>
        <x14:conditionalFormatting xmlns:xm="http://schemas.microsoft.com/office/excel/2006/main">
          <x14:cfRule type="dataBar" id="{A89E2568-E918-4CF7-9D32-FEC83C4F6A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N47:O47</xm:sqref>
        </x14:conditionalFormatting>
        <x14:conditionalFormatting xmlns:xm="http://schemas.microsoft.com/office/excel/2006/main">
          <x14:cfRule type="dataBar" id="{F2FECFE8-6194-414B-8804-00AEC46056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N48:O48</xm:sqref>
        </x14:conditionalFormatting>
        <x14:conditionalFormatting xmlns:xm="http://schemas.microsoft.com/office/excel/2006/main">
          <x14:cfRule type="dataBar" id="{530B4916-4BA7-4E3B-BEC2-97838016B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O2:O49</xm:sqref>
        </x14:conditionalFormatting>
        <x14:conditionalFormatting xmlns:xm="http://schemas.microsoft.com/office/excel/2006/main">
          <x14:cfRule type="dataBar" id="{E7028C79-75E1-428E-8A47-6FE66A2B9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N49:O49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7FC7-B4AD-4EFF-9299-690882C3B4A0}">
  <sheetPr codeName="Hoja10">
    <tabColor rgb="FFA6C9EC"/>
  </sheetPr>
  <dimension ref="B2:AW193"/>
  <sheetViews>
    <sheetView workbookViewId="0"/>
  </sheetViews>
  <sheetFormatPr baseColWidth="10" defaultRowHeight="14.4"/>
  <sheetData>
    <row r="2" spans="2:49">
      <c r="C2" t="s">
        <v>58</v>
      </c>
      <c r="D2" t="s">
        <v>90</v>
      </c>
      <c r="E2" t="s">
        <v>92</v>
      </c>
      <c r="F2" t="s">
        <v>116</v>
      </c>
      <c r="G2" t="s">
        <v>60</v>
      </c>
      <c r="H2" t="s">
        <v>82</v>
      </c>
      <c r="I2" t="s">
        <v>112</v>
      </c>
      <c r="J2" t="s">
        <v>44</v>
      </c>
      <c r="K2" t="s">
        <v>64</v>
      </c>
      <c r="L2" t="s">
        <v>46</v>
      </c>
      <c r="M2" t="s">
        <v>106</v>
      </c>
      <c r="N2" t="s">
        <v>74</v>
      </c>
      <c r="O2" t="s">
        <v>78</v>
      </c>
      <c r="P2" t="s">
        <v>114</v>
      </c>
      <c r="Q2" t="s">
        <v>100</v>
      </c>
      <c r="R2" t="s">
        <v>94</v>
      </c>
      <c r="S2" t="s">
        <v>48</v>
      </c>
      <c r="T2" t="s">
        <v>76</v>
      </c>
      <c r="U2" t="s">
        <v>84</v>
      </c>
      <c r="V2" t="s">
        <v>52</v>
      </c>
      <c r="W2" t="s">
        <v>54</v>
      </c>
      <c r="X2" t="s">
        <v>190</v>
      </c>
      <c r="Y2" t="s">
        <v>102</v>
      </c>
      <c r="Z2" t="s">
        <v>215</v>
      </c>
      <c r="AA2" t="s">
        <v>98</v>
      </c>
      <c r="AB2" t="s">
        <v>124</v>
      </c>
      <c r="AC2" t="s">
        <v>118</v>
      </c>
      <c r="AD2" t="s">
        <v>56</v>
      </c>
      <c r="AE2" t="s">
        <v>122</v>
      </c>
      <c r="AF2" t="s">
        <v>120</v>
      </c>
      <c r="AG2" t="s">
        <v>80</v>
      </c>
      <c r="AH2" t="s">
        <v>104</v>
      </c>
      <c r="AI2" t="s">
        <v>62</v>
      </c>
      <c r="AJ2" t="s">
        <v>110</v>
      </c>
      <c r="AK2" t="s">
        <v>50</v>
      </c>
      <c r="AL2" t="s">
        <v>218</v>
      </c>
      <c r="AM2" t="s">
        <v>130</v>
      </c>
      <c r="AN2" t="s">
        <v>86</v>
      </c>
      <c r="AO2" t="s">
        <v>88</v>
      </c>
      <c r="AP2" t="s">
        <v>96</v>
      </c>
      <c r="AQ2" t="s">
        <v>70</v>
      </c>
      <c r="AR2" t="s">
        <v>196</v>
      </c>
      <c r="AS2" t="s">
        <v>127</v>
      </c>
      <c r="AT2" t="s">
        <v>72</v>
      </c>
      <c r="AU2" t="s">
        <v>66</v>
      </c>
      <c r="AV2" t="s">
        <v>108</v>
      </c>
      <c r="AW2" t="s">
        <v>68</v>
      </c>
    </row>
    <row r="3" spans="2:49">
      <c r="B3" s="13">
        <v>45901</v>
      </c>
      <c r="C3" t="s">
        <v>220</v>
      </c>
      <c r="D3">
        <v>3.98</v>
      </c>
      <c r="E3">
        <v>1.76</v>
      </c>
      <c r="F3">
        <v>2.5499999999999998</v>
      </c>
      <c r="G3" t="s">
        <v>220</v>
      </c>
      <c r="H3">
        <v>3.49</v>
      </c>
      <c r="I3" t="s">
        <v>220</v>
      </c>
      <c r="J3" t="s">
        <v>220</v>
      </c>
      <c r="K3" t="s">
        <v>220</v>
      </c>
      <c r="L3" t="s">
        <v>220</v>
      </c>
      <c r="M3" t="s">
        <v>220</v>
      </c>
      <c r="N3" t="s">
        <v>220</v>
      </c>
      <c r="O3" t="s">
        <v>220</v>
      </c>
      <c r="P3" t="s">
        <v>220</v>
      </c>
      <c r="Q3" t="s">
        <v>220</v>
      </c>
      <c r="R3" t="s">
        <v>220</v>
      </c>
      <c r="S3" t="s">
        <v>220</v>
      </c>
      <c r="T3" t="s">
        <v>220</v>
      </c>
      <c r="U3" t="s">
        <v>220</v>
      </c>
      <c r="V3" t="s">
        <v>220</v>
      </c>
      <c r="W3" t="s">
        <v>220</v>
      </c>
      <c r="X3" t="s">
        <v>220</v>
      </c>
      <c r="Y3" t="s">
        <v>220</v>
      </c>
      <c r="Z3" t="s">
        <v>220</v>
      </c>
      <c r="AA3">
        <v>0.376</v>
      </c>
      <c r="AB3">
        <v>27.5</v>
      </c>
      <c r="AC3" t="s">
        <v>220</v>
      </c>
      <c r="AD3" t="s">
        <v>220</v>
      </c>
      <c r="AE3">
        <v>4.6100000000000003</v>
      </c>
      <c r="AF3" t="s">
        <v>220</v>
      </c>
      <c r="AG3" t="s">
        <v>220</v>
      </c>
      <c r="AH3" t="s">
        <v>220</v>
      </c>
      <c r="AI3" t="s">
        <v>220</v>
      </c>
      <c r="AJ3" t="s">
        <v>220</v>
      </c>
      <c r="AK3" t="s">
        <v>220</v>
      </c>
      <c r="AL3" t="s">
        <v>220</v>
      </c>
      <c r="AM3" t="s">
        <v>220</v>
      </c>
      <c r="AN3" t="s">
        <v>220</v>
      </c>
      <c r="AO3" t="s">
        <v>220</v>
      </c>
      <c r="AP3" t="s">
        <v>220</v>
      </c>
      <c r="AQ3" t="s">
        <v>220</v>
      </c>
      <c r="AR3" t="s">
        <v>220</v>
      </c>
      <c r="AS3" t="s">
        <v>220</v>
      </c>
      <c r="AT3" t="s">
        <v>220</v>
      </c>
      <c r="AU3" t="s">
        <v>220</v>
      </c>
      <c r="AV3" t="s">
        <v>220</v>
      </c>
      <c r="AW3" t="s">
        <v>220</v>
      </c>
    </row>
    <row r="4" spans="2:49">
      <c r="B4" s="13">
        <v>45902</v>
      </c>
      <c r="C4">
        <v>224.18</v>
      </c>
      <c r="D4">
        <v>3.99</v>
      </c>
      <c r="E4">
        <v>1.74</v>
      </c>
      <c r="F4">
        <v>2.5499999999999998</v>
      </c>
      <c r="G4">
        <v>20.79</v>
      </c>
      <c r="H4">
        <v>3.47</v>
      </c>
      <c r="I4">
        <v>40.98</v>
      </c>
      <c r="J4">
        <v>6.8057999999999996</v>
      </c>
      <c r="K4">
        <v>47.02</v>
      </c>
      <c r="L4">
        <v>49.82</v>
      </c>
      <c r="M4">
        <v>260.11</v>
      </c>
      <c r="N4">
        <v>32.97</v>
      </c>
      <c r="O4">
        <v>29</v>
      </c>
      <c r="P4">
        <v>14.16</v>
      </c>
      <c r="Q4">
        <v>24.98</v>
      </c>
      <c r="R4">
        <v>19.64</v>
      </c>
      <c r="S4">
        <v>150.56</v>
      </c>
      <c r="T4">
        <v>59.034999999999997</v>
      </c>
      <c r="U4">
        <v>96.29</v>
      </c>
      <c r="V4">
        <v>42.02</v>
      </c>
      <c r="W4">
        <v>157.09</v>
      </c>
      <c r="X4">
        <v>54.67</v>
      </c>
      <c r="Y4">
        <v>42.29</v>
      </c>
      <c r="Z4">
        <v>286.48</v>
      </c>
      <c r="AA4">
        <v>0.38400000000000001</v>
      </c>
      <c r="AB4">
        <v>27.94</v>
      </c>
      <c r="AC4">
        <v>67.81</v>
      </c>
      <c r="AD4">
        <v>640.27</v>
      </c>
      <c r="AE4">
        <v>4.7300000000000004</v>
      </c>
      <c r="AF4">
        <v>51.593000000000004</v>
      </c>
      <c r="AG4">
        <v>13.155099999999999</v>
      </c>
      <c r="AH4">
        <v>565.62</v>
      </c>
      <c r="AI4">
        <v>107.41</v>
      </c>
      <c r="AJ4">
        <v>118.27</v>
      </c>
      <c r="AK4">
        <v>115.005</v>
      </c>
      <c r="AL4">
        <v>225.34</v>
      </c>
      <c r="AM4">
        <v>43.54</v>
      </c>
      <c r="AN4">
        <v>23.51</v>
      </c>
      <c r="AO4">
        <v>52.31</v>
      </c>
      <c r="AP4">
        <v>6.33</v>
      </c>
      <c r="AQ4">
        <v>128.84</v>
      </c>
      <c r="AR4">
        <v>49.88</v>
      </c>
      <c r="AS4">
        <v>121.411</v>
      </c>
      <c r="AT4">
        <v>6.58</v>
      </c>
      <c r="AU4">
        <v>308.8</v>
      </c>
      <c r="AV4">
        <v>240.95</v>
      </c>
      <c r="AW4">
        <v>138.74</v>
      </c>
    </row>
    <row r="5" spans="2:49">
      <c r="B5" s="13">
        <v>45903</v>
      </c>
      <c r="C5">
        <v>225.34</v>
      </c>
      <c r="D5">
        <v>4</v>
      </c>
      <c r="E5">
        <v>1.66</v>
      </c>
      <c r="F5">
        <v>2.56</v>
      </c>
      <c r="G5">
        <v>20.25</v>
      </c>
      <c r="H5">
        <v>3.48</v>
      </c>
      <c r="I5">
        <v>41.57</v>
      </c>
      <c r="J5">
        <v>6.7378999999999998</v>
      </c>
      <c r="K5">
        <v>47.05</v>
      </c>
      <c r="L5">
        <v>50.01</v>
      </c>
      <c r="M5">
        <v>261.56</v>
      </c>
      <c r="N5">
        <v>32.99</v>
      </c>
      <c r="O5">
        <v>28.99</v>
      </c>
      <c r="P5">
        <v>14.2</v>
      </c>
      <c r="Q5">
        <v>24.79</v>
      </c>
      <c r="R5">
        <v>19.940000000000001</v>
      </c>
      <c r="S5">
        <v>149.80000000000001</v>
      </c>
      <c r="T5">
        <v>59.15</v>
      </c>
      <c r="U5">
        <v>96.4</v>
      </c>
      <c r="V5">
        <v>41.914999999999999</v>
      </c>
      <c r="W5">
        <v>154.9</v>
      </c>
      <c r="X5">
        <v>55.08</v>
      </c>
      <c r="Y5">
        <v>42.54</v>
      </c>
      <c r="Z5">
        <v>286.43</v>
      </c>
      <c r="AA5">
        <v>0.4</v>
      </c>
      <c r="AB5">
        <v>27.9</v>
      </c>
      <c r="AC5">
        <v>67.64</v>
      </c>
      <c r="AD5">
        <v>643.74</v>
      </c>
      <c r="AE5">
        <v>4.7300000000000004</v>
      </c>
      <c r="AF5">
        <v>51.6447</v>
      </c>
      <c r="AG5">
        <v>13.188599999999999</v>
      </c>
      <c r="AH5">
        <v>570.07000000000005</v>
      </c>
      <c r="AI5">
        <v>107.43</v>
      </c>
      <c r="AJ5">
        <v>117.38</v>
      </c>
      <c r="AK5">
        <v>115.47</v>
      </c>
      <c r="AL5">
        <v>225.99</v>
      </c>
      <c r="AM5">
        <v>44.555</v>
      </c>
      <c r="AN5">
        <v>23.3932</v>
      </c>
      <c r="AO5">
        <v>51.79</v>
      </c>
      <c r="AP5">
        <v>6.34</v>
      </c>
      <c r="AQ5">
        <v>128</v>
      </c>
      <c r="AR5">
        <v>49.52</v>
      </c>
      <c r="AS5">
        <v>122.61799999999999</v>
      </c>
      <c r="AT5">
        <v>6.32</v>
      </c>
      <c r="AU5">
        <v>307.88</v>
      </c>
      <c r="AV5">
        <v>238.86</v>
      </c>
      <c r="AW5">
        <v>134.83000000000001</v>
      </c>
    </row>
    <row r="6" spans="2:49">
      <c r="B6" s="13">
        <v>45904</v>
      </c>
      <c r="C6">
        <v>225.28</v>
      </c>
      <c r="D6">
        <v>4</v>
      </c>
      <c r="E6" t="s">
        <v>220</v>
      </c>
      <c r="F6">
        <v>2.54</v>
      </c>
      <c r="G6">
        <v>19.84</v>
      </c>
      <c r="H6">
        <v>3.48</v>
      </c>
      <c r="I6">
        <v>42.02</v>
      </c>
      <c r="J6">
        <v>6.7864000000000004</v>
      </c>
      <c r="K6">
        <v>47.48</v>
      </c>
      <c r="L6">
        <v>49.85</v>
      </c>
      <c r="M6">
        <v>259.98</v>
      </c>
      <c r="N6">
        <v>33.369999999999997</v>
      </c>
      <c r="O6">
        <v>29.17</v>
      </c>
      <c r="P6">
        <v>14.33</v>
      </c>
      <c r="Q6">
        <v>24.54</v>
      </c>
      <c r="R6">
        <v>19.82</v>
      </c>
      <c r="S6">
        <v>151.49</v>
      </c>
      <c r="T6">
        <v>59.48</v>
      </c>
      <c r="U6">
        <v>98.21</v>
      </c>
      <c r="V6">
        <v>41.865000000000002</v>
      </c>
      <c r="W6">
        <v>156.13999999999999</v>
      </c>
      <c r="X6">
        <v>55.71</v>
      </c>
      <c r="Y6">
        <v>42.56</v>
      </c>
      <c r="Z6">
        <v>289.86</v>
      </c>
      <c r="AA6">
        <v>0.4</v>
      </c>
      <c r="AB6">
        <v>27.5</v>
      </c>
      <c r="AC6">
        <v>68.25</v>
      </c>
      <c r="AD6">
        <v>649.12</v>
      </c>
      <c r="AE6">
        <v>4.75</v>
      </c>
      <c r="AF6">
        <v>51.773899999999998</v>
      </c>
      <c r="AG6">
        <v>13.3765</v>
      </c>
      <c r="AH6">
        <v>575.23</v>
      </c>
      <c r="AI6">
        <v>108.84</v>
      </c>
      <c r="AJ6">
        <v>118.81</v>
      </c>
      <c r="AK6">
        <v>117.58</v>
      </c>
      <c r="AL6">
        <v>235.68</v>
      </c>
      <c r="AM6">
        <v>45.76</v>
      </c>
      <c r="AN6">
        <v>22.795000000000002</v>
      </c>
      <c r="AO6">
        <v>50.18</v>
      </c>
      <c r="AP6">
        <v>6.36</v>
      </c>
      <c r="AQ6">
        <v>129.16999999999999</v>
      </c>
      <c r="AR6">
        <v>50.54</v>
      </c>
      <c r="AS6">
        <v>125.748</v>
      </c>
      <c r="AT6">
        <v>6.13</v>
      </c>
      <c r="AU6">
        <v>310.38</v>
      </c>
      <c r="AV6">
        <v>240.65</v>
      </c>
      <c r="AW6">
        <v>137.35</v>
      </c>
    </row>
    <row r="7" spans="2:49">
      <c r="B7" s="13">
        <v>45905</v>
      </c>
      <c r="C7">
        <v>227.72</v>
      </c>
      <c r="D7">
        <v>4</v>
      </c>
      <c r="E7" t="s">
        <v>220</v>
      </c>
      <c r="F7">
        <v>2.59</v>
      </c>
      <c r="G7">
        <v>19.829999999999998</v>
      </c>
      <c r="H7">
        <v>3.47</v>
      </c>
      <c r="I7">
        <v>44.04</v>
      </c>
      <c r="J7">
        <v>6.8932000000000002</v>
      </c>
      <c r="K7">
        <v>47.6</v>
      </c>
      <c r="L7">
        <v>50.45</v>
      </c>
      <c r="M7">
        <v>261.2</v>
      </c>
      <c r="N7">
        <v>33.31</v>
      </c>
      <c r="O7">
        <v>29.63</v>
      </c>
      <c r="P7">
        <v>14.68</v>
      </c>
      <c r="Q7">
        <v>24.88</v>
      </c>
      <c r="R7">
        <v>19.989999999999998</v>
      </c>
      <c r="S7">
        <v>150.93</v>
      </c>
      <c r="T7">
        <v>59.65</v>
      </c>
      <c r="U7">
        <v>101.96</v>
      </c>
      <c r="V7">
        <v>41.734999999999999</v>
      </c>
      <c r="W7">
        <v>153.11000000000001</v>
      </c>
      <c r="X7">
        <v>56.25</v>
      </c>
      <c r="Y7">
        <v>42.56</v>
      </c>
      <c r="Z7">
        <v>293.27999999999997</v>
      </c>
      <c r="AA7">
        <v>0.4</v>
      </c>
      <c r="AB7">
        <v>27.1</v>
      </c>
      <c r="AC7">
        <v>68.06</v>
      </c>
      <c r="AD7">
        <v>647.24</v>
      </c>
      <c r="AE7">
        <v>4.74</v>
      </c>
      <c r="AF7">
        <v>51.981699999999996</v>
      </c>
      <c r="AG7">
        <v>13.7</v>
      </c>
      <c r="AH7">
        <v>576.05999999999995</v>
      </c>
      <c r="AI7">
        <v>105.71</v>
      </c>
      <c r="AJ7">
        <v>117.91</v>
      </c>
      <c r="AK7">
        <v>117.55500000000001</v>
      </c>
      <c r="AL7">
        <v>232.33</v>
      </c>
      <c r="AM7">
        <v>45.91</v>
      </c>
      <c r="AN7">
        <v>23.471800000000002</v>
      </c>
      <c r="AO7">
        <v>51.68</v>
      </c>
      <c r="AP7">
        <v>6.36</v>
      </c>
      <c r="AQ7">
        <v>129.88999999999999</v>
      </c>
      <c r="AR7">
        <v>52.12</v>
      </c>
      <c r="AS7">
        <v>124.38200000000001</v>
      </c>
      <c r="AT7">
        <v>5.95</v>
      </c>
      <c r="AU7">
        <v>315.39</v>
      </c>
      <c r="AV7">
        <v>239.68</v>
      </c>
      <c r="AW7">
        <v>135.53</v>
      </c>
    </row>
    <row r="8" spans="2:49">
      <c r="B8" s="13">
        <v>45906</v>
      </c>
      <c r="C8" t="s">
        <v>220</v>
      </c>
      <c r="D8" t="s">
        <v>220</v>
      </c>
      <c r="E8" t="s">
        <v>220</v>
      </c>
      <c r="F8" t="s">
        <v>220</v>
      </c>
      <c r="G8" t="s">
        <v>220</v>
      </c>
      <c r="H8" t="s">
        <v>220</v>
      </c>
      <c r="I8" t="s">
        <v>220</v>
      </c>
      <c r="J8" t="s">
        <v>220</v>
      </c>
      <c r="K8" t="s">
        <v>220</v>
      </c>
      <c r="L8" t="s">
        <v>220</v>
      </c>
      <c r="M8" t="s">
        <v>220</v>
      </c>
      <c r="N8" t="s">
        <v>220</v>
      </c>
      <c r="O8" t="s">
        <v>220</v>
      </c>
      <c r="P8" t="s">
        <v>220</v>
      </c>
      <c r="Q8" t="s">
        <v>220</v>
      </c>
      <c r="R8" t="s">
        <v>220</v>
      </c>
      <c r="S8" t="s">
        <v>220</v>
      </c>
      <c r="T8" t="s">
        <v>220</v>
      </c>
      <c r="U8" t="s">
        <v>220</v>
      </c>
      <c r="V8" t="s">
        <v>220</v>
      </c>
      <c r="W8" t="s">
        <v>220</v>
      </c>
      <c r="X8" t="s">
        <v>220</v>
      </c>
      <c r="Y8" t="s">
        <v>220</v>
      </c>
      <c r="Z8" t="s">
        <v>220</v>
      </c>
      <c r="AA8" t="s">
        <v>220</v>
      </c>
      <c r="AB8" t="s">
        <v>220</v>
      </c>
      <c r="AC8" t="s">
        <v>220</v>
      </c>
      <c r="AD8" t="s">
        <v>220</v>
      </c>
      <c r="AE8" t="s">
        <v>220</v>
      </c>
      <c r="AF8" t="s">
        <v>220</v>
      </c>
      <c r="AG8" t="s">
        <v>220</v>
      </c>
      <c r="AH8" t="s">
        <v>220</v>
      </c>
      <c r="AI8" t="s">
        <v>220</v>
      </c>
      <c r="AJ8" t="s">
        <v>220</v>
      </c>
      <c r="AK8" t="s">
        <v>220</v>
      </c>
      <c r="AL8" t="s">
        <v>220</v>
      </c>
      <c r="AM8" t="s">
        <v>220</v>
      </c>
      <c r="AN8" t="s">
        <v>220</v>
      </c>
      <c r="AO8" t="s">
        <v>220</v>
      </c>
      <c r="AP8" t="s">
        <v>220</v>
      </c>
      <c r="AQ8" t="s">
        <v>220</v>
      </c>
      <c r="AR8" t="s">
        <v>220</v>
      </c>
      <c r="AS8" t="s">
        <v>220</v>
      </c>
      <c r="AT8" t="s">
        <v>220</v>
      </c>
      <c r="AU8" t="s">
        <v>220</v>
      </c>
      <c r="AV8" t="s">
        <v>220</v>
      </c>
      <c r="AW8" t="s">
        <v>220</v>
      </c>
    </row>
    <row r="9" spans="2:49">
      <c r="B9" s="13">
        <v>45907</v>
      </c>
      <c r="C9" t="s">
        <v>220</v>
      </c>
      <c r="D9" t="s">
        <v>220</v>
      </c>
      <c r="E9" t="s">
        <v>220</v>
      </c>
      <c r="F9" t="s">
        <v>220</v>
      </c>
      <c r="G9" t="s">
        <v>220</v>
      </c>
      <c r="H9" t="s">
        <v>220</v>
      </c>
      <c r="I9" t="s">
        <v>220</v>
      </c>
      <c r="J9" t="s">
        <v>220</v>
      </c>
      <c r="K9" t="s">
        <v>220</v>
      </c>
      <c r="L9" t="s">
        <v>220</v>
      </c>
      <c r="M9" t="s">
        <v>220</v>
      </c>
      <c r="N9" t="s">
        <v>220</v>
      </c>
      <c r="O9" t="s">
        <v>220</v>
      </c>
      <c r="P9" t="s">
        <v>220</v>
      </c>
      <c r="Q9" t="s">
        <v>220</v>
      </c>
      <c r="R9" t="s">
        <v>220</v>
      </c>
      <c r="S9" t="s">
        <v>220</v>
      </c>
      <c r="T9" t="s">
        <v>220</v>
      </c>
      <c r="U9" t="s">
        <v>220</v>
      </c>
      <c r="V9" t="s">
        <v>220</v>
      </c>
      <c r="W9" t="s">
        <v>220</v>
      </c>
      <c r="X9" t="s">
        <v>220</v>
      </c>
      <c r="Y9" t="s">
        <v>220</v>
      </c>
      <c r="Z9" t="s">
        <v>220</v>
      </c>
      <c r="AA9" t="s">
        <v>220</v>
      </c>
      <c r="AB9" t="s">
        <v>220</v>
      </c>
      <c r="AC9" t="s">
        <v>220</v>
      </c>
      <c r="AD9" t="s">
        <v>220</v>
      </c>
      <c r="AE9" t="s">
        <v>220</v>
      </c>
      <c r="AF9" t="s">
        <v>220</v>
      </c>
      <c r="AG9" t="s">
        <v>220</v>
      </c>
      <c r="AH9" t="s">
        <v>220</v>
      </c>
      <c r="AI9" t="s">
        <v>220</v>
      </c>
      <c r="AJ9" t="s">
        <v>220</v>
      </c>
      <c r="AK9" t="s">
        <v>220</v>
      </c>
      <c r="AL9" t="s">
        <v>220</v>
      </c>
      <c r="AM9" t="s">
        <v>220</v>
      </c>
      <c r="AN9" t="s">
        <v>220</v>
      </c>
      <c r="AO9" t="s">
        <v>220</v>
      </c>
      <c r="AP9" t="s">
        <v>220</v>
      </c>
      <c r="AQ9" t="s">
        <v>220</v>
      </c>
      <c r="AR9" t="s">
        <v>220</v>
      </c>
      <c r="AS9" t="s">
        <v>220</v>
      </c>
      <c r="AT9" t="s">
        <v>220</v>
      </c>
      <c r="AU9" t="s">
        <v>220</v>
      </c>
      <c r="AV9" t="s">
        <v>220</v>
      </c>
      <c r="AW9" t="s">
        <v>220</v>
      </c>
    </row>
    <row r="10" spans="2:49">
      <c r="B10" s="13">
        <v>45908</v>
      </c>
      <c r="C10">
        <v>225</v>
      </c>
      <c r="D10">
        <v>4</v>
      </c>
      <c r="E10" t="s">
        <v>220</v>
      </c>
      <c r="F10">
        <v>2.54</v>
      </c>
      <c r="G10">
        <v>20.58</v>
      </c>
      <c r="H10">
        <v>3.48</v>
      </c>
      <c r="I10">
        <v>43.33</v>
      </c>
      <c r="J10">
        <v>6.8446999999999996</v>
      </c>
      <c r="K10">
        <v>48.07</v>
      </c>
      <c r="L10">
        <v>50.91</v>
      </c>
      <c r="M10">
        <v>263.5</v>
      </c>
      <c r="N10">
        <v>33.549999999999997</v>
      </c>
      <c r="O10">
        <v>29.58</v>
      </c>
      <c r="P10">
        <v>14.57</v>
      </c>
      <c r="Q10">
        <v>24.55</v>
      </c>
      <c r="R10">
        <v>20.02</v>
      </c>
      <c r="S10">
        <v>151.27000000000001</v>
      </c>
      <c r="T10">
        <v>60.21</v>
      </c>
      <c r="U10">
        <v>108.65</v>
      </c>
      <c r="V10">
        <v>41.31</v>
      </c>
      <c r="W10">
        <v>156.1</v>
      </c>
      <c r="X10">
        <v>56.33</v>
      </c>
      <c r="Y10">
        <v>42.99</v>
      </c>
      <c r="Z10">
        <v>296.52</v>
      </c>
      <c r="AA10">
        <v>0.38300000000000001</v>
      </c>
      <c r="AB10">
        <v>27.5</v>
      </c>
      <c r="AC10">
        <v>68.05</v>
      </c>
      <c r="AD10">
        <v>648.83000000000004</v>
      </c>
      <c r="AE10">
        <v>4.7300000000000004</v>
      </c>
      <c r="AF10">
        <v>52.023400000000002</v>
      </c>
      <c r="AG10">
        <v>13.57</v>
      </c>
      <c r="AH10">
        <v>578.87</v>
      </c>
      <c r="AI10">
        <v>105.84</v>
      </c>
      <c r="AJ10">
        <v>118.84</v>
      </c>
      <c r="AK10">
        <v>118.01</v>
      </c>
      <c r="AL10">
        <v>235.84</v>
      </c>
      <c r="AM10">
        <v>46.564999999999998</v>
      </c>
      <c r="AN10">
        <v>23.795200000000001</v>
      </c>
      <c r="AO10">
        <v>52.16</v>
      </c>
      <c r="AP10">
        <v>6.35</v>
      </c>
      <c r="AQ10">
        <v>129.78</v>
      </c>
      <c r="AR10">
        <v>52.34</v>
      </c>
      <c r="AS10">
        <v>124.476</v>
      </c>
      <c r="AT10">
        <v>6.17</v>
      </c>
      <c r="AU10">
        <v>320.25</v>
      </c>
      <c r="AV10">
        <v>248.78</v>
      </c>
      <c r="AW10">
        <v>138.69</v>
      </c>
    </row>
    <row r="11" spans="2:49">
      <c r="B11" s="13">
        <v>45909</v>
      </c>
      <c r="C11">
        <v>225.75</v>
      </c>
      <c r="D11">
        <v>3.99</v>
      </c>
      <c r="E11">
        <v>1.75</v>
      </c>
      <c r="F11">
        <v>2.54</v>
      </c>
      <c r="G11">
        <v>20.75</v>
      </c>
      <c r="H11">
        <v>3.46</v>
      </c>
      <c r="I11">
        <v>41.97</v>
      </c>
      <c r="J11">
        <v>6.7864000000000004</v>
      </c>
      <c r="K11">
        <v>48.08</v>
      </c>
      <c r="L11">
        <v>51.19</v>
      </c>
      <c r="M11">
        <v>263.92</v>
      </c>
      <c r="N11">
        <v>33.57</v>
      </c>
      <c r="O11">
        <v>29.54</v>
      </c>
      <c r="P11">
        <v>14.39</v>
      </c>
      <c r="Q11">
        <v>24.71</v>
      </c>
      <c r="R11">
        <v>19.600000000000001</v>
      </c>
      <c r="S11">
        <v>150.25</v>
      </c>
      <c r="T11">
        <v>60.21</v>
      </c>
      <c r="U11">
        <v>108.47</v>
      </c>
      <c r="V11">
        <v>41.594999999999999</v>
      </c>
      <c r="W11">
        <v>162.36000000000001</v>
      </c>
      <c r="X11">
        <v>56.02</v>
      </c>
      <c r="Y11">
        <v>43.06</v>
      </c>
      <c r="Z11">
        <v>297.81</v>
      </c>
      <c r="AA11">
        <v>0.375</v>
      </c>
      <c r="AB11">
        <v>27.5</v>
      </c>
      <c r="AC11">
        <v>68.08</v>
      </c>
      <c r="AD11">
        <v>650.33000000000004</v>
      </c>
      <c r="AE11">
        <v>4.7</v>
      </c>
      <c r="AF11">
        <v>52.180900000000001</v>
      </c>
      <c r="AG11">
        <v>13.49</v>
      </c>
      <c r="AH11">
        <v>580.51</v>
      </c>
      <c r="AI11">
        <v>105.54</v>
      </c>
      <c r="AJ11">
        <v>117.37</v>
      </c>
      <c r="AK11">
        <v>117.845</v>
      </c>
      <c r="AL11">
        <v>238.24</v>
      </c>
      <c r="AM11">
        <v>46.945</v>
      </c>
      <c r="AN11">
        <v>23.8</v>
      </c>
      <c r="AO11">
        <v>52.13</v>
      </c>
      <c r="AP11">
        <v>6.36</v>
      </c>
      <c r="AQ11">
        <v>130.97</v>
      </c>
      <c r="AR11">
        <v>53.29</v>
      </c>
      <c r="AS11">
        <v>126.325</v>
      </c>
      <c r="AT11">
        <v>6.28</v>
      </c>
      <c r="AU11">
        <v>347.92</v>
      </c>
      <c r="AV11">
        <v>247.86</v>
      </c>
      <c r="AW11">
        <v>137.38999999999999</v>
      </c>
    </row>
    <row r="12" spans="2:49">
      <c r="B12" s="13">
        <v>45910</v>
      </c>
      <c r="C12">
        <v>225.69</v>
      </c>
      <c r="D12">
        <v>3.99</v>
      </c>
      <c r="E12">
        <v>1.77</v>
      </c>
      <c r="F12">
        <v>2.59</v>
      </c>
      <c r="G12">
        <v>20.100000000000001</v>
      </c>
      <c r="H12">
        <v>3.45</v>
      </c>
      <c r="I12">
        <v>41.91</v>
      </c>
      <c r="J12">
        <v>6.835</v>
      </c>
      <c r="K12">
        <v>48.47</v>
      </c>
      <c r="L12">
        <v>51.54</v>
      </c>
      <c r="M12">
        <v>264.18</v>
      </c>
      <c r="N12">
        <v>33.71</v>
      </c>
      <c r="O12">
        <v>29.79</v>
      </c>
      <c r="P12">
        <v>14.555</v>
      </c>
      <c r="Q12">
        <v>24.57</v>
      </c>
      <c r="R12">
        <v>20.04</v>
      </c>
      <c r="S12">
        <v>151.36000000000001</v>
      </c>
      <c r="T12">
        <v>59.95</v>
      </c>
      <c r="U12">
        <v>107.6</v>
      </c>
      <c r="V12">
        <v>42.31</v>
      </c>
      <c r="W12">
        <v>166.74</v>
      </c>
      <c r="X12">
        <v>55.62</v>
      </c>
      <c r="Y12">
        <v>42.9</v>
      </c>
      <c r="Z12">
        <v>300.83</v>
      </c>
      <c r="AA12">
        <v>0.39200000000000002</v>
      </c>
      <c r="AB12">
        <v>27.45</v>
      </c>
      <c r="AC12">
        <v>68.11</v>
      </c>
      <c r="AD12">
        <v>652.21</v>
      </c>
      <c r="AE12">
        <v>4.6500000000000004</v>
      </c>
      <c r="AF12">
        <v>51.689300000000003</v>
      </c>
      <c r="AG12">
        <v>13.545400000000001</v>
      </c>
      <c r="AH12">
        <v>580.70000000000005</v>
      </c>
      <c r="AI12">
        <v>105.67</v>
      </c>
      <c r="AJ12">
        <v>115.79</v>
      </c>
      <c r="AK12">
        <v>116.435</v>
      </c>
      <c r="AL12">
        <v>230.33</v>
      </c>
      <c r="AM12">
        <v>46.994999999999997</v>
      </c>
      <c r="AN12">
        <v>23.86</v>
      </c>
      <c r="AO12">
        <v>52.24</v>
      </c>
      <c r="AP12">
        <v>6.35</v>
      </c>
      <c r="AQ12">
        <v>128.01</v>
      </c>
      <c r="AR12">
        <v>53.59</v>
      </c>
      <c r="AS12">
        <v>124.771</v>
      </c>
      <c r="AT12">
        <v>5.72</v>
      </c>
      <c r="AU12">
        <v>346.78</v>
      </c>
      <c r="AV12">
        <v>244.04</v>
      </c>
      <c r="AW12">
        <v>139.29</v>
      </c>
    </row>
    <row r="13" spans="2:49">
      <c r="B13" s="13">
        <v>45911</v>
      </c>
      <c r="C13">
        <v>228.81</v>
      </c>
      <c r="D13">
        <v>4.01</v>
      </c>
      <c r="E13" t="s">
        <v>220</v>
      </c>
      <c r="F13">
        <v>2.57</v>
      </c>
      <c r="G13">
        <v>20.58</v>
      </c>
      <c r="H13">
        <v>3.45</v>
      </c>
      <c r="I13">
        <v>41.86</v>
      </c>
      <c r="J13">
        <v>6.8738000000000001</v>
      </c>
      <c r="K13">
        <v>48.98</v>
      </c>
      <c r="L13">
        <v>52.29</v>
      </c>
      <c r="M13">
        <v>266.58999999999997</v>
      </c>
      <c r="N13">
        <v>34.1</v>
      </c>
      <c r="O13">
        <v>30.05</v>
      </c>
      <c r="P13">
        <v>14.69</v>
      </c>
      <c r="Q13">
        <v>24.86</v>
      </c>
      <c r="R13">
        <v>20.18</v>
      </c>
      <c r="S13">
        <v>152.80000000000001</v>
      </c>
      <c r="T13">
        <v>60.63</v>
      </c>
      <c r="U13">
        <v>111.82</v>
      </c>
      <c r="V13">
        <v>42.534999999999997</v>
      </c>
      <c r="W13">
        <v>164.36</v>
      </c>
      <c r="X13">
        <v>56.12</v>
      </c>
      <c r="Y13">
        <v>43.53</v>
      </c>
      <c r="Z13">
        <v>303.93</v>
      </c>
      <c r="AA13">
        <v>0.39700000000000002</v>
      </c>
      <c r="AB13">
        <v>27.5</v>
      </c>
      <c r="AC13">
        <v>69.05</v>
      </c>
      <c r="AD13">
        <v>657.63</v>
      </c>
      <c r="AE13">
        <v>4.6500000000000004</v>
      </c>
      <c r="AF13">
        <v>52.326900000000002</v>
      </c>
      <c r="AG13">
        <v>13.73</v>
      </c>
      <c r="AH13">
        <v>584.08000000000004</v>
      </c>
      <c r="AI13">
        <v>106.99</v>
      </c>
      <c r="AJ13">
        <v>117.08</v>
      </c>
      <c r="AK13">
        <v>118.7</v>
      </c>
      <c r="AL13">
        <v>229.95</v>
      </c>
      <c r="AM13">
        <v>47.784999999999997</v>
      </c>
      <c r="AN13">
        <v>24.941700000000001</v>
      </c>
      <c r="AO13">
        <v>54.65</v>
      </c>
      <c r="AP13">
        <v>6.37</v>
      </c>
      <c r="AQ13">
        <v>129.47</v>
      </c>
      <c r="AR13">
        <v>52.35</v>
      </c>
      <c r="AS13">
        <v>120.35</v>
      </c>
      <c r="AT13">
        <v>6.07</v>
      </c>
      <c r="AU13">
        <v>353.61</v>
      </c>
      <c r="AV13">
        <v>246.54</v>
      </c>
      <c r="AW13">
        <v>145.01</v>
      </c>
    </row>
    <row r="14" spans="2:49">
      <c r="B14" s="13">
        <v>45912</v>
      </c>
      <c r="C14">
        <v>229.55</v>
      </c>
      <c r="D14">
        <v>4.01</v>
      </c>
      <c r="E14">
        <v>1.76</v>
      </c>
      <c r="F14">
        <v>2.57</v>
      </c>
      <c r="G14">
        <v>20.87</v>
      </c>
      <c r="H14">
        <v>3.37</v>
      </c>
      <c r="I14">
        <v>41.78</v>
      </c>
      <c r="J14">
        <v>6.7670000000000003</v>
      </c>
      <c r="K14">
        <v>49</v>
      </c>
      <c r="L14">
        <v>52.26</v>
      </c>
      <c r="M14">
        <v>266.06</v>
      </c>
      <c r="N14">
        <v>34.1</v>
      </c>
      <c r="O14">
        <v>30.03</v>
      </c>
      <c r="P14">
        <v>14.63</v>
      </c>
      <c r="Q14">
        <v>23.87</v>
      </c>
      <c r="R14">
        <v>20.07</v>
      </c>
      <c r="S14">
        <v>151.58000000000001</v>
      </c>
      <c r="T14">
        <v>60.59</v>
      </c>
      <c r="U14">
        <v>114.78</v>
      </c>
      <c r="V14">
        <v>42.75</v>
      </c>
      <c r="W14">
        <v>171.43</v>
      </c>
      <c r="X14">
        <v>55.65</v>
      </c>
      <c r="Y14">
        <v>43.49</v>
      </c>
      <c r="Z14">
        <v>304.32</v>
      </c>
      <c r="AA14">
        <v>0.42</v>
      </c>
      <c r="AB14">
        <v>27.5</v>
      </c>
      <c r="AC14">
        <v>68.680000000000007</v>
      </c>
      <c r="AD14">
        <v>657.41</v>
      </c>
      <c r="AE14">
        <v>4.71</v>
      </c>
      <c r="AF14">
        <v>51.764800000000001</v>
      </c>
      <c r="AG14">
        <v>13.78</v>
      </c>
      <c r="AH14">
        <v>586.66</v>
      </c>
      <c r="AI14">
        <v>106.9</v>
      </c>
      <c r="AJ14">
        <v>115.96</v>
      </c>
      <c r="AK14">
        <v>119.315</v>
      </c>
      <c r="AL14">
        <v>228.15</v>
      </c>
      <c r="AM14">
        <v>48.38</v>
      </c>
      <c r="AN14">
        <v>24.87</v>
      </c>
      <c r="AO14">
        <v>54.69</v>
      </c>
      <c r="AP14">
        <v>6.33</v>
      </c>
      <c r="AQ14">
        <v>127.99</v>
      </c>
      <c r="AR14">
        <v>51.87</v>
      </c>
      <c r="AS14">
        <v>118.84399999999999</v>
      </c>
      <c r="AT14">
        <v>6.22</v>
      </c>
      <c r="AU14">
        <v>352.51</v>
      </c>
      <c r="AV14">
        <v>246.26</v>
      </c>
      <c r="AW14">
        <v>143.34</v>
      </c>
    </row>
    <row r="15" spans="2:49">
      <c r="B15" s="13">
        <v>45913</v>
      </c>
      <c r="C15" t="s">
        <v>220</v>
      </c>
      <c r="D15" t="s">
        <v>220</v>
      </c>
      <c r="E15" t="s">
        <v>220</v>
      </c>
      <c r="F15" t="s">
        <v>220</v>
      </c>
      <c r="G15" t="s">
        <v>220</v>
      </c>
      <c r="H15" t="s">
        <v>220</v>
      </c>
      <c r="I15" t="s">
        <v>220</v>
      </c>
      <c r="J15" t="s">
        <v>220</v>
      </c>
      <c r="K15" t="s">
        <v>220</v>
      </c>
      <c r="L15" t="s">
        <v>220</v>
      </c>
      <c r="M15" t="s">
        <v>220</v>
      </c>
      <c r="N15" t="s">
        <v>220</v>
      </c>
      <c r="O15" t="s">
        <v>220</v>
      </c>
      <c r="P15" t="s">
        <v>220</v>
      </c>
      <c r="Q15" t="s">
        <v>220</v>
      </c>
      <c r="R15" t="s">
        <v>220</v>
      </c>
      <c r="S15" t="s">
        <v>220</v>
      </c>
      <c r="T15" t="s">
        <v>220</v>
      </c>
      <c r="U15" t="s">
        <v>220</v>
      </c>
      <c r="V15" t="s">
        <v>220</v>
      </c>
      <c r="W15" t="s">
        <v>220</v>
      </c>
      <c r="X15" t="s">
        <v>220</v>
      </c>
      <c r="Y15" t="s">
        <v>220</v>
      </c>
      <c r="Z15" t="s">
        <v>220</v>
      </c>
      <c r="AA15" t="s">
        <v>220</v>
      </c>
      <c r="AB15" t="s">
        <v>220</v>
      </c>
      <c r="AC15" t="s">
        <v>220</v>
      </c>
      <c r="AD15" t="s">
        <v>220</v>
      </c>
      <c r="AE15" t="s">
        <v>220</v>
      </c>
      <c r="AF15" t="s">
        <v>220</v>
      </c>
      <c r="AG15" t="s">
        <v>220</v>
      </c>
      <c r="AH15" t="s">
        <v>220</v>
      </c>
      <c r="AI15" t="s">
        <v>220</v>
      </c>
      <c r="AJ15" t="s">
        <v>220</v>
      </c>
      <c r="AK15" t="s">
        <v>220</v>
      </c>
      <c r="AL15" t="s">
        <v>220</v>
      </c>
      <c r="AM15" t="s">
        <v>220</v>
      </c>
      <c r="AN15" t="s">
        <v>220</v>
      </c>
      <c r="AO15" t="s">
        <v>220</v>
      </c>
      <c r="AP15" t="s">
        <v>220</v>
      </c>
      <c r="AQ15" t="s">
        <v>220</v>
      </c>
      <c r="AR15" t="s">
        <v>220</v>
      </c>
      <c r="AS15" t="s">
        <v>220</v>
      </c>
      <c r="AT15" t="s">
        <v>220</v>
      </c>
      <c r="AU15" t="s">
        <v>220</v>
      </c>
      <c r="AV15" t="s">
        <v>220</v>
      </c>
      <c r="AW15" t="s">
        <v>220</v>
      </c>
    </row>
    <row r="16" spans="2:49">
      <c r="B16" s="13">
        <v>45914</v>
      </c>
      <c r="C16" t="s">
        <v>220</v>
      </c>
      <c r="D16" t="s">
        <v>220</v>
      </c>
      <c r="E16" t="s">
        <v>220</v>
      </c>
      <c r="F16" t="s">
        <v>220</v>
      </c>
      <c r="G16" t="s">
        <v>220</v>
      </c>
      <c r="H16" t="s">
        <v>220</v>
      </c>
      <c r="I16" t="s">
        <v>220</v>
      </c>
      <c r="J16" t="s">
        <v>220</v>
      </c>
      <c r="K16" t="s">
        <v>220</v>
      </c>
      <c r="L16" t="s">
        <v>220</v>
      </c>
      <c r="M16" t="s">
        <v>220</v>
      </c>
      <c r="N16" t="s">
        <v>220</v>
      </c>
      <c r="O16" t="s">
        <v>220</v>
      </c>
      <c r="P16" t="s">
        <v>220</v>
      </c>
      <c r="Q16" t="s">
        <v>220</v>
      </c>
      <c r="R16" t="s">
        <v>220</v>
      </c>
      <c r="S16" t="s">
        <v>220</v>
      </c>
      <c r="T16" t="s">
        <v>220</v>
      </c>
      <c r="U16" t="s">
        <v>220</v>
      </c>
      <c r="V16" t="s">
        <v>220</v>
      </c>
      <c r="W16" t="s">
        <v>220</v>
      </c>
      <c r="X16" t="s">
        <v>220</v>
      </c>
      <c r="Y16" t="s">
        <v>220</v>
      </c>
      <c r="Z16" t="s">
        <v>220</v>
      </c>
      <c r="AA16" t="s">
        <v>220</v>
      </c>
      <c r="AB16" t="s">
        <v>220</v>
      </c>
      <c r="AC16" t="s">
        <v>220</v>
      </c>
      <c r="AD16" t="s">
        <v>220</v>
      </c>
      <c r="AE16" t="s">
        <v>220</v>
      </c>
      <c r="AF16" t="s">
        <v>220</v>
      </c>
      <c r="AG16" t="s">
        <v>220</v>
      </c>
      <c r="AH16" t="s">
        <v>220</v>
      </c>
      <c r="AI16" t="s">
        <v>220</v>
      </c>
      <c r="AJ16" t="s">
        <v>220</v>
      </c>
      <c r="AK16" t="s">
        <v>220</v>
      </c>
      <c r="AL16" t="s">
        <v>220</v>
      </c>
      <c r="AM16" t="s">
        <v>220</v>
      </c>
      <c r="AN16" t="s">
        <v>220</v>
      </c>
      <c r="AO16" t="s">
        <v>220</v>
      </c>
      <c r="AP16" t="s">
        <v>220</v>
      </c>
      <c r="AQ16" t="s">
        <v>220</v>
      </c>
      <c r="AR16" t="s">
        <v>220</v>
      </c>
      <c r="AS16" t="s">
        <v>220</v>
      </c>
      <c r="AT16" t="s">
        <v>220</v>
      </c>
      <c r="AU16" t="s">
        <v>220</v>
      </c>
      <c r="AV16" t="s">
        <v>220</v>
      </c>
      <c r="AW16" t="s">
        <v>220</v>
      </c>
    </row>
    <row r="17" spans="2:49">
      <c r="B17" s="13">
        <v>45915</v>
      </c>
      <c r="C17">
        <v>225.69</v>
      </c>
      <c r="D17">
        <v>4.01</v>
      </c>
      <c r="E17">
        <v>1.76</v>
      </c>
      <c r="F17">
        <v>2.5499999999999998</v>
      </c>
      <c r="G17">
        <v>21.33</v>
      </c>
      <c r="H17">
        <v>3.34</v>
      </c>
      <c r="I17">
        <v>42.35</v>
      </c>
      <c r="J17">
        <v>6.9320000000000004</v>
      </c>
      <c r="K17">
        <v>49.23</v>
      </c>
      <c r="L17">
        <v>52.64</v>
      </c>
      <c r="M17">
        <v>265.64</v>
      </c>
      <c r="N17">
        <v>34.43</v>
      </c>
      <c r="O17">
        <v>30.51</v>
      </c>
      <c r="P17">
        <v>14.81</v>
      </c>
      <c r="Q17">
        <v>23.97</v>
      </c>
      <c r="R17">
        <v>20.65</v>
      </c>
      <c r="S17">
        <v>152.28</v>
      </c>
      <c r="T17">
        <v>61.17</v>
      </c>
      <c r="U17">
        <v>114.82</v>
      </c>
      <c r="V17">
        <v>42.85</v>
      </c>
      <c r="W17">
        <v>171.21</v>
      </c>
      <c r="X17">
        <v>55.56</v>
      </c>
      <c r="Y17">
        <v>43.89</v>
      </c>
      <c r="Z17">
        <v>307.17</v>
      </c>
      <c r="AA17">
        <v>0.41099999999999998</v>
      </c>
      <c r="AB17">
        <v>27.39</v>
      </c>
      <c r="AC17">
        <v>68.72</v>
      </c>
      <c r="AD17">
        <v>660.91</v>
      </c>
      <c r="AE17">
        <v>4.7300000000000004</v>
      </c>
      <c r="AF17">
        <v>51.348999999999997</v>
      </c>
      <c r="AG17">
        <v>13.98</v>
      </c>
      <c r="AH17">
        <v>591.67999999999995</v>
      </c>
      <c r="AI17">
        <v>105.45</v>
      </c>
      <c r="AJ17">
        <v>115.62</v>
      </c>
      <c r="AK17">
        <v>120.35</v>
      </c>
      <c r="AL17">
        <v>231.43</v>
      </c>
      <c r="AM17">
        <v>49.615000000000002</v>
      </c>
      <c r="AN17">
        <v>25.04</v>
      </c>
      <c r="AO17">
        <v>55</v>
      </c>
      <c r="AP17">
        <v>6.37</v>
      </c>
      <c r="AQ17">
        <v>125.47</v>
      </c>
      <c r="AR17">
        <v>51.79</v>
      </c>
      <c r="AS17">
        <v>120.226</v>
      </c>
      <c r="AT17">
        <v>6.49</v>
      </c>
      <c r="AU17">
        <v>347.89</v>
      </c>
      <c r="AV17">
        <v>247.25</v>
      </c>
      <c r="AW17">
        <v>144.65</v>
      </c>
    </row>
    <row r="18" spans="2:49">
      <c r="B18" s="13">
        <v>45916</v>
      </c>
      <c r="C18">
        <v>227.7</v>
      </c>
      <c r="D18">
        <v>4.01</v>
      </c>
      <c r="E18" t="s">
        <v>220</v>
      </c>
      <c r="F18">
        <v>2.5299999999999998</v>
      </c>
      <c r="G18">
        <v>21.45</v>
      </c>
      <c r="H18">
        <v>3.36</v>
      </c>
      <c r="I18">
        <v>42.67</v>
      </c>
      <c r="J18">
        <v>6.9320000000000004</v>
      </c>
      <c r="K18">
        <v>48.95</v>
      </c>
      <c r="L18">
        <v>53.03</v>
      </c>
      <c r="M18">
        <v>270.79000000000002</v>
      </c>
      <c r="N18">
        <v>34.04</v>
      </c>
      <c r="O18">
        <v>30.69</v>
      </c>
      <c r="P18">
        <v>14.89</v>
      </c>
      <c r="Q18">
        <v>23.9</v>
      </c>
      <c r="R18">
        <v>20.11</v>
      </c>
      <c r="S18">
        <v>151.83000000000001</v>
      </c>
      <c r="T18">
        <v>61.01</v>
      </c>
      <c r="U18">
        <v>123.79</v>
      </c>
      <c r="V18">
        <v>42.07</v>
      </c>
      <c r="W18">
        <v>170.26</v>
      </c>
      <c r="X18">
        <v>55.48</v>
      </c>
      <c r="Y18">
        <v>43.82</v>
      </c>
      <c r="Z18">
        <v>307.20999999999998</v>
      </c>
      <c r="AA18">
        <v>0.41599999999999998</v>
      </c>
      <c r="AB18">
        <v>27.39</v>
      </c>
      <c r="AC18">
        <v>68.53</v>
      </c>
      <c r="AD18">
        <v>660</v>
      </c>
      <c r="AE18">
        <v>4.75</v>
      </c>
      <c r="AF18">
        <v>51.344099999999997</v>
      </c>
      <c r="AG18">
        <v>14.14</v>
      </c>
      <c r="AH18">
        <v>591.17999999999995</v>
      </c>
      <c r="AI18">
        <v>102.15</v>
      </c>
      <c r="AJ18">
        <v>115.23</v>
      </c>
      <c r="AK18">
        <v>121.09</v>
      </c>
      <c r="AL18">
        <v>234.05</v>
      </c>
      <c r="AM18">
        <v>49.48</v>
      </c>
      <c r="AN18">
        <v>25.36</v>
      </c>
      <c r="AO18">
        <v>55.96</v>
      </c>
      <c r="AP18">
        <v>6.36</v>
      </c>
      <c r="AQ18">
        <v>125.04</v>
      </c>
      <c r="AR18">
        <v>51.72</v>
      </c>
      <c r="AS18">
        <v>120.051</v>
      </c>
      <c r="AT18">
        <v>7.02</v>
      </c>
      <c r="AU18">
        <v>339.78</v>
      </c>
      <c r="AV18">
        <v>247.73</v>
      </c>
      <c r="AW18">
        <v>144.38</v>
      </c>
    </row>
    <row r="19" spans="2:49">
      <c r="B19" s="13">
        <v>45917</v>
      </c>
      <c r="C19">
        <v>225.78</v>
      </c>
      <c r="D19">
        <v>4.03</v>
      </c>
      <c r="E19">
        <v>1.76</v>
      </c>
      <c r="F19">
        <v>2.5499999999999998</v>
      </c>
      <c r="G19">
        <v>21.6</v>
      </c>
      <c r="H19">
        <v>3.36</v>
      </c>
      <c r="I19">
        <v>42.86</v>
      </c>
      <c r="J19">
        <v>7.0583</v>
      </c>
      <c r="K19">
        <v>48.75</v>
      </c>
      <c r="L19">
        <v>53.26</v>
      </c>
      <c r="M19">
        <v>278.29000000000002</v>
      </c>
      <c r="N19">
        <v>33.97</v>
      </c>
      <c r="O19">
        <v>30.94</v>
      </c>
      <c r="P19">
        <v>15.06</v>
      </c>
      <c r="Q19">
        <v>24.05</v>
      </c>
      <c r="R19">
        <v>19.82</v>
      </c>
      <c r="S19">
        <v>151.13999999999999</v>
      </c>
      <c r="T19">
        <v>60.69</v>
      </c>
      <c r="U19">
        <v>137.83000000000001</v>
      </c>
      <c r="V19">
        <v>42.174999999999997</v>
      </c>
      <c r="W19">
        <v>168.33</v>
      </c>
      <c r="X19">
        <v>55.29</v>
      </c>
      <c r="Y19">
        <v>43.53</v>
      </c>
      <c r="Z19">
        <v>305.25</v>
      </c>
      <c r="AA19">
        <v>0.41199999999999998</v>
      </c>
      <c r="AB19">
        <v>27.3</v>
      </c>
      <c r="AC19">
        <v>68.739999999999995</v>
      </c>
      <c r="AD19">
        <v>659.18</v>
      </c>
      <c r="AE19">
        <v>4.74</v>
      </c>
      <c r="AF19">
        <v>51.370800000000003</v>
      </c>
      <c r="AG19">
        <v>14.27</v>
      </c>
      <c r="AH19">
        <v>590</v>
      </c>
      <c r="AI19">
        <v>103.01</v>
      </c>
      <c r="AJ19">
        <v>116.1</v>
      </c>
      <c r="AK19">
        <v>120.785</v>
      </c>
      <c r="AL19">
        <v>231.62</v>
      </c>
      <c r="AM19">
        <v>49.164999999999999</v>
      </c>
      <c r="AN19">
        <v>26.055</v>
      </c>
      <c r="AO19">
        <v>57.67</v>
      </c>
      <c r="AP19">
        <v>6.35</v>
      </c>
      <c r="AQ19">
        <v>125.59</v>
      </c>
      <c r="AR19">
        <v>52.03</v>
      </c>
      <c r="AS19">
        <v>122.85</v>
      </c>
      <c r="AT19">
        <v>7.45</v>
      </c>
      <c r="AU19">
        <v>341.61</v>
      </c>
      <c r="AV19">
        <v>250.52</v>
      </c>
      <c r="AW19">
        <v>144.4</v>
      </c>
    </row>
    <row r="20" spans="2:49">
      <c r="B20" s="13">
        <v>45918</v>
      </c>
      <c r="C20">
        <v>226.5</v>
      </c>
      <c r="D20">
        <v>4</v>
      </c>
      <c r="E20" t="s">
        <v>220</v>
      </c>
      <c r="F20">
        <v>2.5499999999999998</v>
      </c>
      <c r="G20">
        <v>21.29</v>
      </c>
      <c r="H20">
        <v>3.34</v>
      </c>
      <c r="I20">
        <v>42.81</v>
      </c>
      <c r="J20">
        <v>7.0194000000000001</v>
      </c>
      <c r="K20">
        <v>48.66</v>
      </c>
      <c r="L20">
        <v>53.13</v>
      </c>
      <c r="M20">
        <v>261.91000000000003</v>
      </c>
      <c r="N20">
        <v>34.01</v>
      </c>
      <c r="O20">
        <v>30.82</v>
      </c>
      <c r="P20">
        <v>15.04</v>
      </c>
      <c r="Q20">
        <v>24.15</v>
      </c>
      <c r="R20">
        <v>20.02</v>
      </c>
      <c r="S20">
        <v>152.75</v>
      </c>
      <c r="T20">
        <v>61.18</v>
      </c>
      <c r="U20">
        <v>135.25</v>
      </c>
      <c r="V20">
        <v>42.204999999999998</v>
      </c>
      <c r="W20">
        <v>176.97</v>
      </c>
      <c r="X20">
        <v>55.21</v>
      </c>
      <c r="Y20">
        <v>43.84</v>
      </c>
      <c r="Z20">
        <v>316.97000000000003</v>
      </c>
      <c r="AA20">
        <v>0.40100000000000002</v>
      </c>
      <c r="AB20">
        <v>26.9</v>
      </c>
      <c r="AC20">
        <v>69</v>
      </c>
      <c r="AD20">
        <v>662.26</v>
      </c>
      <c r="AE20">
        <v>4.72</v>
      </c>
      <c r="AF20">
        <v>51.572800000000001</v>
      </c>
      <c r="AG20">
        <v>14.2</v>
      </c>
      <c r="AH20">
        <v>595.32000000000005</v>
      </c>
      <c r="AI20">
        <v>103.87</v>
      </c>
      <c r="AJ20">
        <v>114.86</v>
      </c>
      <c r="AK20">
        <v>120.24</v>
      </c>
      <c r="AL20">
        <v>231.23</v>
      </c>
      <c r="AM20">
        <v>50.49</v>
      </c>
      <c r="AN20">
        <v>25.8</v>
      </c>
      <c r="AO20">
        <v>57.39</v>
      </c>
      <c r="AP20">
        <v>6.3449999999999998</v>
      </c>
      <c r="AQ20">
        <v>125.51</v>
      </c>
      <c r="AR20">
        <v>51.56</v>
      </c>
      <c r="AS20">
        <v>120.77800000000001</v>
      </c>
      <c r="AT20">
        <v>7.37</v>
      </c>
      <c r="AU20">
        <v>334.82</v>
      </c>
      <c r="AV20">
        <v>249.74</v>
      </c>
      <c r="AW20">
        <v>149.34</v>
      </c>
    </row>
    <row r="21" spans="2:49">
      <c r="B21" s="13">
        <v>45919</v>
      </c>
      <c r="C21">
        <v>231.75</v>
      </c>
      <c r="D21">
        <v>3.99</v>
      </c>
      <c r="E21" t="s">
        <v>220</v>
      </c>
      <c r="F21">
        <v>2.5</v>
      </c>
      <c r="G21">
        <v>21.66</v>
      </c>
      <c r="H21">
        <v>3.37</v>
      </c>
      <c r="I21">
        <v>43.17</v>
      </c>
      <c r="J21">
        <v>7.1165000000000003</v>
      </c>
      <c r="K21">
        <v>48.83</v>
      </c>
      <c r="L21">
        <v>53.01</v>
      </c>
      <c r="M21">
        <v>262.61</v>
      </c>
      <c r="N21">
        <v>33.97</v>
      </c>
      <c r="O21">
        <v>30.93</v>
      </c>
      <c r="P21">
        <v>15.17</v>
      </c>
      <c r="Q21">
        <v>24.03</v>
      </c>
      <c r="R21">
        <v>20.91</v>
      </c>
      <c r="S21">
        <v>153.12</v>
      </c>
      <c r="T21">
        <v>61.05</v>
      </c>
      <c r="U21">
        <v>135.35</v>
      </c>
      <c r="V21">
        <v>42.475000000000001</v>
      </c>
      <c r="W21">
        <v>182.39</v>
      </c>
      <c r="X21">
        <v>55.26</v>
      </c>
      <c r="Y21">
        <v>43.68</v>
      </c>
      <c r="Z21">
        <v>315.70999999999998</v>
      </c>
      <c r="AA21">
        <v>0.41799999999999998</v>
      </c>
      <c r="AB21">
        <v>26.85</v>
      </c>
      <c r="AC21">
        <v>68.81</v>
      </c>
      <c r="AD21">
        <v>663.7</v>
      </c>
      <c r="AE21">
        <v>4.7300000000000004</v>
      </c>
      <c r="AF21">
        <v>51.421199999999999</v>
      </c>
      <c r="AG21">
        <v>14.19</v>
      </c>
      <c r="AH21">
        <v>599.35</v>
      </c>
      <c r="AI21">
        <v>103.59</v>
      </c>
      <c r="AJ21">
        <v>113.76</v>
      </c>
      <c r="AK21">
        <v>120.69499999999999</v>
      </c>
      <c r="AL21">
        <v>231.48</v>
      </c>
      <c r="AM21">
        <v>51.49</v>
      </c>
      <c r="AN21">
        <v>25.6</v>
      </c>
      <c r="AO21">
        <v>56.86</v>
      </c>
      <c r="AP21">
        <v>6.45</v>
      </c>
      <c r="AQ21">
        <v>124.62</v>
      </c>
      <c r="AR21">
        <v>51.88</v>
      </c>
      <c r="AS21">
        <v>122.697</v>
      </c>
      <c r="AT21">
        <v>7.37</v>
      </c>
      <c r="AU21">
        <v>336.69</v>
      </c>
      <c r="AV21">
        <v>250.85</v>
      </c>
      <c r="AW21">
        <v>148.91999999999999</v>
      </c>
    </row>
    <row r="22" spans="2:49">
      <c r="B22" s="13">
        <v>45920</v>
      </c>
      <c r="C22" t="s">
        <v>220</v>
      </c>
      <c r="D22" t="s">
        <v>220</v>
      </c>
      <c r="E22" t="s">
        <v>220</v>
      </c>
      <c r="F22" t="s">
        <v>220</v>
      </c>
      <c r="G22" t="s">
        <v>220</v>
      </c>
      <c r="H22" t="s">
        <v>220</v>
      </c>
      <c r="I22" t="s">
        <v>220</v>
      </c>
      <c r="J22" t="s">
        <v>220</v>
      </c>
      <c r="K22" t="s">
        <v>220</v>
      </c>
      <c r="L22" t="s">
        <v>220</v>
      </c>
      <c r="M22" t="s">
        <v>220</v>
      </c>
      <c r="N22" t="s">
        <v>220</v>
      </c>
      <c r="O22" t="s">
        <v>220</v>
      </c>
      <c r="P22" t="s">
        <v>220</v>
      </c>
      <c r="Q22" t="s">
        <v>220</v>
      </c>
      <c r="R22" t="s">
        <v>220</v>
      </c>
      <c r="S22" t="s">
        <v>220</v>
      </c>
      <c r="T22" t="s">
        <v>220</v>
      </c>
      <c r="U22" t="s">
        <v>220</v>
      </c>
      <c r="V22" t="s">
        <v>220</v>
      </c>
      <c r="W22" t="s">
        <v>220</v>
      </c>
      <c r="X22" t="s">
        <v>220</v>
      </c>
      <c r="Y22" t="s">
        <v>220</v>
      </c>
      <c r="Z22" t="s">
        <v>220</v>
      </c>
      <c r="AA22" t="s">
        <v>220</v>
      </c>
      <c r="AB22" t="s">
        <v>220</v>
      </c>
      <c r="AC22" t="s">
        <v>220</v>
      </c>
      <c r="AD22" t="s">
        <v>220</v>
      </c>
      <c r="AE22" t="s">
        <v>220</v>
      </c>
      <c r="AF22" t="s">
        <v>220</v>
      </c>
      <c r="AG22" t="s">
        <v>220</v>
      </c>
      <c r="AH22" t="s">
        <v>220</v>
      </c>
      <c r="AI22" t="s">
        <v>220</v>
      </c>
      <c r="AJ22" t="s">
        <v>220</v>
      </c>
      <c r="AK22" t="s">
        <v>220</v>
      </c>
      <c r="AL22" t="s">
        <v>220</v>
      </c>
      <c r="AM22" t="s">
        <v>220</v>
      </c>
      <c r="AN22" t="s">
        <v>220</v>
      </c>
      <c r="AO22" t="s">
        <v>220</v>
      </c>
      <c r="AP22" t="s">
        <v>220</v>
      </c>
      <c r="AQ22" t="s">
        <v>220</v>
      </c>
      <c r="AR22" t="s">
        <v>220</v>
      </c>
      <c r="AS22" t="s">
        <v>220</v>
      </c>
      <c r="AT22" t="s">
        <v>220</v>
      </c>
      <c r="AU22" t="s">
        <v>220</v>
      </c>
      <c r="AV22" t="s">
        <v>220</v>
      </c>
      <c r="AW22" t="s">
        <v>220</v>
      </c>
    </row>
    <row r="23" spans="2:49">
      <c r="B23" s="13">
        <v>45921</v>
      </c>
      <c r="C23" t="s">
        <v>220</v>
      </c>
      <c r="D23" t="s">
        <v>220</v>
      </c>
      <c r="E23" t="s">
        <v>220</v>
      </c>
      <c r="F23" t="s">
        <v>220</v>
      </c>
      <c r="G23" t="s">
        <v>220</v>
      </c>
      <c r="H23" t="s">
        <v>220</v>
      </c>
      <c r="I23" t="s">
        <v>220</v>
      </c>
      <c r="J23" t="s">
        <v>220</v>
      </c>
      <c r="K23" t="s">
        <v>220</v>
      </c>
      <c r="L23" t="s">
        <v>220</v>
      </c>
      <c r="M23" t="s">
        <v>220</v>
      </c>
      <c r="N23" t="s">
        <v>220</v>
      </c>
      <c r="O23" t="s">
        <v>220</v>
      </c>
      <c r="P23" t="s">
        <v>220</v>
      </c>
      <c r="Q23" t="s">
        <v>220</v>
      </c>
      <c r="R23" t="s">
        <v>220</v>
      </c>
      <c r="S23" t="s">
        <v>220</v>
      </c>
      <c r="T23" t="s">
        <v>220</v>
      </c>
      <c r="U23" t="s">
        <v>220</v>
      </c>
      <c r="V23" t="s">
        <v>220</v>
      </c>
      <c r="W23" t="s">
        <v>220</v>
      </c>
      <c r="X23" t="s">
        <v>220</v>
      </c>
      <c r="Y23" t="s">
        <v>220</v>
      </c>
      <c r="Z23" t="s">
        <v>220</v>
      </c>
      <c r="AA23" t="s">
        <v>220</v>
      </c>
      <c r="AB23" t="s">
        <v>220</v>
      </c>
      <c r="AC23" t="s">
        <v>220</v>
      </c>
      <c r="AD23" t="s">
        <v>220</v>
      </c>
      <c r="AE23" t="s">
        <v>220</v>
      </c>
      <c r="AF23" t="s">
        <v>220</v>
      </c>
      <c r="AG23" t="s">
        <v>220</v>
      </c>
      <c r="AH23" t="s">
        <v>220</v>
      </c>
      <c r="AI23" t="s">
        <v>220</v>
      </c>
      <c r="AJ23" t="s">
        <v>220</v>
      </c>
      <c r="AK23" t="s">
        <v>220</v>
      </c>
      <c r="AL23" t="s">
        <v>220</v>
      </c>
      <c r="AM23" t="s">
        <v>220</v>
      </c>
      <c r="AN23" t="s">
        <v>220</v>
      </c>
      <c r="AO23" t="s">
        <v>220</v>
      </c>
      <c r="AP23" t="s">
        <v>220</v>
      </c>
      <c r="AQ23" t="s">
        <v>220</v>
      </c>
      <c r="AR23" t="s">
        <v>220</v>
      </c>
      <c r="AS23" t="s">
        <v>220</v>
      </c>
      <c r="AT23" t="s">
        <v>220</v>
      </c>
      <c r="AU23" t="s">
        <v>220</v>
      </c>
      <c r="AV23" t="s">
        <v>220</v>
      </c>
      <c r="AW23" t="s">
        <v>220</v>
      </c>
    </row>
    <row r="24" spans="2:49">
      <c r="B24" s="13">
        <v>45922</v>
      </c>
      <c r="C24">
        <v>230.12</v>
      </c>
      <c r="D24">
        <v>4</v>
      </c>
      <c r="E24" t="s">
        <v>220</v>
      </c>
      <c r="F24">
        <v>2.5</v>
      </c>
      <c r="G24">
        <v>21.36</v>
      </c>
      <c r="H24">
        <v>3.37</v>
      </c>
      <c r="I24">
        <v>43.89</v>
      </c>
      <c r="J24">
        <v>7.0290999999999997</v>
      </c>
      <c r="K24">
        <v>48.43</v>
      </c>
      <c r="L24">
        <v>53.27</v>
      </c>
      <c r="M24">
        <v>266.77</v>
      </c>
      <c r="N24">
        <v>34.04</v>
      </c>
      <c r="O24">
        <v>30.79</v>
      </c>
      <c r="P24">
        <v>15.36</v>
      </c>
      <c r="Q24">
        <v>24.04</v>
      </c>
      <c r="R24">
        <v>21.53</v>
      </c>
      <c r="S24">
        <v>153</v>
      </c>
      <c r="T24">
        <v>61.18</v>
      </c>
      <c r="U24">
        <v>136.63</v>
      </c>
      <c r="V24">
        <v>42.6</v>
      </c>
      <c r="W24">
        <v>179.33</v>
      </c>
      <c r="X24">
        <v>55.57</v>
      </c>
      <c r="Y24">
        <v>43.78</v>
      </c>
      <c r="Z24">
        <v>322.17</v>
      </c>
      <c r="AA24">
        <v>0.44</v>
      </c>
      <c r="AB24">
        <v>26.8</v>
      </c>
      <c r="AC24">
        <v>68.83</v>
      </c>
      <c r="AD24">
        <v>666.84</v>
      </c>
      <c r="AE24">
        <v>4.7300000000000004</v>
      </c>
      <c r="AF24">
        <v>51.608800000000002</v>
      </c>
      <c r="AG24">
        <v>13.96</v>
      </c>
      <c r="AH24">
        <v>602.20000000000005</v>
      </c>
      <c r="AI24">
        <v>102.85</v>
      </c>
      <c r="AJ24">
        <v>112.56</v>
      </c>
      <c r="AK24">
        <v>120.09</v>
      </c>
      <c r="AL24">
        <v>227.63</v>
      </c>
      <c r="AM24">
        <v>52.36</v>
      </c>
      <c r="AN24">
        <v>25.97</v>
      </c>
      <c r="AO24">
        <v>57.84</v>
      </c>
      <c r="AP24">
        <v>6.39</v>
      </c>
      <c r="AQ24">
        <v>124.07</v>
      </c>
      <c r="AR24">
        <v>52.51</v>
      </c>
      <c r="AS24">
        <v>122.73699999999999</v>
      </c>
      <c r="AT24">
        <v>6.91</v>
      </c>
      <c r="AU24">
        <v>341.3</v>
      </c>
      <c r="AV24">
        <v>251.64</v>
      </c>
      <c r="AW24">
        <v>146.94999999999999</v>
      </c>
    </row>
    <row r="25" spans="2:49">
      <c r="B25" s="13">
        <v>45923</v>
      </c>
      <c r="C25">
        <v>233.7</v>
      </c>
      <c r="D25">
        <v>4</v>
      </c>
      <c r="E25">
        <v>1.77</v>
      </c>
      <c r="F25">
        <v>2.4900000000000002</v>
      </c>
      <c r="G25">
        <v>21.19</v>
      </c>
      <c r="H25">
        <v>3.36</v>
      </c>
      <c r="I25">
        <v>42.37</v>
      </c>
      <c r="J25">
        <v>7.1942000000000004</v>
      </c>
      <c r="K25">
        <v>48.55</v>
      </c>
      <c r="L25">
        <v>53.3</v>
      </c>
      <c r="M25">
        <v>265.55</v>
      </c>
      <c r="N25">
        <v>34.01</v>
      </c>
      <c r="O25">
        <v>31.32</v>
      </c>
      <c r="P25">
        <v>15.19</v>
      </c>
      <c r="Q25">
        <v>24.13</v>
      </c>
      <c r="R25">
        <v>22.05</v>
      </c>
      <c r="S25">
        <v>153.04</v>
      </c>
      <c r="T25">
        <v>61.33</v>
      </c>
      <c r="U25">
        <v>125.57</v>
      </c>
      <c r="V25">
        <v>42.82</v>
      </c>
      <c r="W25">
        <v>182.55</v>
      </c>
      <c r="X25">
        <v>55.24</v>
      </c>
      <c r="Y25">
        <v>43.89</v>
      </c>
      <c r="Z25">
        <v>321.7</v>
      </c>
      <c r="AA25">
        <v>0.45500000000000002</v>
      </c>
      <c r="AB25">
        <v>26.71</v>
      </c>
      <c r="AC25">
        <v>68.62</v>
      </c>
      <c r="AD25">
        <v>663.21</v>
      </c>
      <c r="AE25">
        <v>4.7300000000000004</v>
      </c>
      <c r="AF25">
        <v>51.484099999999998</v>
      </c>
      <c r="AG25">
        <v>14.18</v>
      </c>
      <c r="AH25">
        <v>598.20000000000005</v>
      </c>
      <c r="AI25">
        <v>103.13</v>
      </c>
      <c r="AJ25">
        <v>112.25</v>
      </c>
      <c r="AK25">
        <v>118.96</v>
      </c>
      <c r="AL25">
        <v>220.71</v>
      </c>
      <c r="AM25">
        <v>51.305</v>
      </c>
      <c r="AN25">
        <v>25.5</v>
      </c>
      <c r="AO25">
        <v>56.28</v>
      </c>
      <c r="AP25">
        <v>6.46</v>
      </c>
      <c r="AQ25">
        <v>123.82</v>
      </c>
      <c r="AR25">
        <v>52.58</v>
      </c>
      <c r="AS25">
        <v>121.84699999999999</v>
      </c>
      <c r="AT25">
        <v>6.93</v>
      </c>
      <c r="AU25">
        <v>347.69</v>
      </c>
      <c r="AV25">
        <v>251.28</v>
      </c>
      <c r="AW25">
        <v>147.25</v>
      </c>
    </row>
    <row r="26" spans="2:49">
      <c r="B26" s="13">
        <v>45924</v>
      </c>
      <c r="C26">
        <v>233.75</v>
      </c>
      <c r="D26">
        <v>4.01</v>
      </c>
      <c r="E26" t="s">
        <v>220</v>
      </c>
      <c r="F26">
        <v>2.5</v>
      </c>
      <c r="G26">
        <v>21.27</v>
      </c>
      <c r="H26">
        <v>3.37</v>
      </c>
      <c r="I26">
        <v>43.35</v>
      </c>
      <c r="J26">
        <v>7.0777000000000001</v>
      </c>
      <c r="K26">
        <v>48.57</v>
      </c>
      <c r="L26">
        <v>53.12</v>
      </c>
      <c r="M26">
        <v>266.11</v>
      </c>
      <c r="N26">
        <v>33.83</v>
      </c>
      <c r="O26">
        <v>31.05</v>
      </c>
      <c r="P26">
        <v>15.14</v>
      </c>
      <c r="Q26">
        <v>24.09</v>
      </c>
      <c r="R26">
        <v>22.86</v>
      </c>
      <c r="S26">
        <v>152.25</v>
      </c>
      <c r="T26">
        <v>61.02</v>
      </c>
      <c r="U26">
        <v>132.91999999999999</v>
      </c>
      <c r="V26">
        <v>43.125</v>
      </c>
      <c r="W26">
        <v>179.56</v>
      </c>
      <c r="X26">
        <v>54.51</v>
      </c>
      <c r="Y26">
        <v>43.41</v>
      </c>
      <c r="Z26">
        <v>321.11</v>
      </c>
      <c r="AA26">
        <v>0.45</v>
      </c>
      <c r="AB26">
        <v>26.5</v>
      </c>
      <c r="AC26">
        <v>68.42</v>
      </c>
      <c r="AD26">
        <v>661.1</v>
      </c>
      <c r="AE26">
        <v>4.72</v>
      </c>
      <c r="AF26">
        <v>51.263800000000003</v>
      </c>
      <c r="AG26">
        <v>14.04</v>
      </c>
      <c r="AH26">
        <v>596.1</v>
      </c>
      <c r="AI26">
        <v>103.32</v>
      </c>
      <c r="AJ26">
        <v>113.43</v>
      </c>
      <c r="AK26">
        <v>119.8</v>
      </c>
      <c r="AL26">
        <v>220.21</v>
      </c>
      <c r="AM26">
        <v>50.704999999999998</v>
      </c>
      <c r="AN26">
        <v>26.08</v>
      </c>
      <c r="AO26">
        <v>57.63</v>
      </c>
      <c r="AP26">
        <v>6.63</v>
      </c>
      <c r="AQ26">
        <v>123.93</v>
      </c>
      <c r="AR26">
        <v>52.46</v>
      </c>
      <c r="AS26">
        <v>120.395</v>
      </c>
      <c r="AT26">
        <v>7.12</v>
      </c>
      <c r="AU26">
        <v>351.81</v>
      </c>
      <c r="AV26">
        <v>244.12</v>
      </c>
      <c r="AW26">
        <v>137.94</v>
      </c>
    </row>
    <row r="27" spans="2:49">
      <c r="B27" s="13">
        <v>45925</v>
      </c>
      <c r="C27">
        <v>236.42</v>
      </c>
      <c r="D27">
        <v>4.0199999999999996</v>
      </c>
      <c r="E27">
        <v>1.75</v>
      </c>
      <c r="F27">
        <v>2.5</v>
      </c>
      <c r="G27">
        <v>22.25</v>
      </c>
      <c r="H27">
        <v>3.35</v>
      </c>
      <c r="I27">
        <v>43.71</v>
      </c>
      <c r="J27">
        <v>6.9903000000000004</v>
      </c>
      <c r="K27">
        <v>48.25</v>
      </c>
      <c r="L27">
        <v>52.81</v>
      </c>
      <c r="M27">
        <v>262.74</v>
      </c>
      <c r="N27">
        <v>33.56</v>
      </c>
      <c r="O27">
        <v>30.58</v>
      </c>
      <c r="P27">
        <v>15.16</v>
      </c>
      <c r="Q27">
        <v>23.6</v>
      </c>
      <c r="R27">
        <v>22.92</v>
      </c>
      <c r="S27">
        <v>151.22</v>
      </c>
      <c r="T27">
        <v>60.54</v>
      </c>
      <c r="U27">
        <v>135.4</v>
      </c>
      <c r="V27">
        <v>42.71</v>
      </c>
      <c r="W27">
        <v>179.12</v>
      </c>
      <c r="X27">
        <v>53.86</v>
      </c>
      <c r="Y27">
        <v>43.05</v>
      </c>
      <c r="Z27">
        <v>321.06</v>
      </c>
      <c r="AA27">
        <v>0.438</v>
      </c>
      <c r="AB27">
        <v>26.44</v>
      </c>
      <c r="AC27">
        <v>68.069999999999993</v>
      </c>
      <c r="AD27">
        <v>658.05</v>
      </c>
      <c r="AE27">
        <v>4.7</v>
      </c>
      <c r="AF27">
        <v>50.397199999999998</v>
      </c>
      <c r="AG27">
        <v>13.744999999999999</v>
      </c>
      <c r="AH27">
        <v>593.53</v>
      </c>
      <c r="AI27">
        <v>102.62</v>
      </c>
      <c r="AJ27">
        <v>112.99</v>
      </c>
      <c r="AK27">
        <v>118.11</v>
      </c>
      <c r="AL27">
        <v>218.15</v>
      </c>
      <c r="AM27">
        <v>50.024999999999999</v>
      </c>
      <c r="AN27">
        <v>26.35</v>
      </c>
      <c r="AO27">
        <v>58.24</v>
      </c>
      <c r="AP27">
        <v>6.71</v>
      </c>
      <c r="AQ27">
        <v>121.72</v>
      </c>
      <c r="AR27">
        <v>52.44</v>
      </c>
      <c r="AS27">
        <v>120.824</v>
      </c>
      <c r="AT27">
        <v>7.47</v>
      </c>
      <c r="AU27">
        <v>345.56</v>
      </c>
      <c r="AV27">
        <v>245.11</v>
      </c>
      <c r="AW27">
        <v>135.66</v>
      </c>
    </row>
    <row r="28" spans="2:49">
      <c r="B28" s="13">
        <v>45926</v>
      </c>
      <c r="C28">
        <v>237.82</v>
      </c>
      <c r="D28">
        <v>4.01</v>
      </c>
      <c r="E28">
        <v>1.77</v>
      </c>
      <c r="F28">
        <v>2.48</v>
      </c>
      <c r="G28">
        <v>22.79</v>
      </c>
      <c r="H28">
        <v>3.32</v>
      </c>
      <c r="I28">
        <v>43.42</v>
      </c>
      <c r="J28">
        <v>7.0290999999999997</v>
      </c>
      <c r="K28">
        <v>49.04</v>
      </c>
      <c r="L28">
        <v>52.71</v>
      </c>
      <c r="M28">
        <v>263.66000000000003</v>
      </c>
      <c r="N28">
        <v>34.14</v>
      </c>
      <c r="O28">
        <v>30.73</v>
      </c>
      <c r="P28">
        <v>15.21</v>
      </c>
      <c r="Q28">
        <v>23.76</v>
      </c>
      <c r="R28">
        <v>23.24</v>
      </c>
      <c r="S28">
        <v>152.58000000000001</v>
      </c>
      <c r="T28">
        <v>61.28</v>
      </c>
      <c r="U28">
        <v>131.34</v>
      </c>
      <c r="V28">
        <v>43.405000000000001</v>
      </c>
      <c r="W28">
        <v>177.57</v>
      </c>
      <c r="X28">
        <v>54.26</v>
      </c>
      <c r="Y28">
        <v>43.59</v>
      </c>
      <c r="Z28">
        <v>321.82</v>
      </c>
      <c r="AA28">
        <v>0.45700000000000002</v>
      </c>
      <c r="AB28">
        <v>26.27</v>
      </c>
      <c r="AC28">
        <v>68.56</v>
      </c>
      <c r="AD28">
        <v>661.82</v>
      </c>
      <c r="AE28">
        <v>4.7300000000000004</v>
      </c>
      <c r="AF28">
        <v>50.938400000000001</v>
      </c>
      <c r="AG28">
        <v>13.865399999999999</v>
      </c>
      <c r="AH28">
        <v>595.97</v>
      </c>
      <c r="AI28">
        <v>104.41</v>
      </c>
      <c r="AJ28">
        <v>113.47</v>
      </c>
      <c r="AK28">
        <v>119.855</v>
      </c>
      <c r="AL28">
        <v>219.78</v>
      </c>
      <c r="AM28">
        <v>50.625</v>
      </c>
      <c r="AN28">
        <v>25.7407</v>
      </c>
      <c r="AO28">
        <v>57.1</v>
      </c>
      <c r="AP28">
        <v>6.66</v>
      </c>
      <c r="AQ28">
        <v>122.23</v>
      </c>
      <c r="AR28">
        <v>51.93</v>
      </c>
      <c r="AS28">
        <v>121.06100000000001</v>
      </c>
      <c r="AT28">
        <v>7.04</v>
      </c>
      <c r="AU28">
        <v>344.08</v>
      </c>
      <c r="AV28">
        <v>256.12</v>
      </c>
      <c r="AW28">
        <v>134.01</v>
      </c>
    </row>
    <row r="29" spans="2:49">
      <c r="B29" s="13">
        <v>45927</v>
      </c>
      <c r="C29" t="s">
        <v>220</v>
      </c>
      <c r="D29" t="s">
        <v>220</v>
      </c>
      <c r="E29" t="s">
        <v>220</v>
      </c>
      <c r="F29" t="s">
        <v>220</v>
      </c>
      <c r="G29" t="s">
        <v>220</v>
      </c>
      <c r="H29" t="s">
        <v>220</v>
      </c>
      <c r="I29" t="s">
        <v>220</v>
      </c>
      <c r="J29" t="s">
        <v>220</v>
      </c>
      <c r="K29" t="s">
        <v>220</v>
      </c>
      <c r="L29" t="s">
        <v>220</v>
      </c>
      <c r="M29" t="s">
        <v>220</v>
      </c>
      <c r="N29" t="s">
        <v>220</v>
      </c>
      <c r="O29" t="s">
        <v>220</v>
      </c>
      <c r="P29" t="s">
        <v>220</v>
      </c>
      <c r="Q29" t="s">
        <v>220</v>
      </c>
      <c r="R29" t="s">
        <v>220</v>
      </c>
      <c r="S29" t="s">
        <v>220</v>
      </c>
      <c r="T29" t="s">
        <v>220</v>
      </c>
      <c r="U29" t="s">
        <v>220</v>
      </c>
      <c r="V29" t="s">
        <v>220</v>
      </c>
      <c r="W29" t="s">
        <v>220</v>
      </c>
      <c r="X29" t="s">
        <v>220</v>
      </c>
      <c r="Y29" t="s">
        <v>220</v>
      </c>
      <c r="Z29" t="s">
        <v>220</v>
      </c>
      <c r="AA29" t="s">
        <v>220</v>
      </c>
      <c r="AB29" t="s">
        <v>220</v>
      </c>
      <c r="AC29" t="s">
        <v>220</v>
      </c>
      <c r="AD29" t="s">
        <v>220</v>
      </c>
      <c r="AE29" t="s">
        <v>220</v>
      </c>
      <c r="AF29" t="s">
        <v>220</v>
      </c>
      <c r="AG29" t="s">
        <v>220</v>
      </c>
      <c r="AH29" t="s">
        <v>220</v>
      </c>
      <c r="AI29" t="s">
        <v>220</v>
      </c>
      <c r="AJ29" t="s">
        <v>220</v>
      </c>
      <c r="AK29" t="s">
        <v>220</v>
      </c>
      <c r="AL29" t="s">
        <v>220</v>
      </c>
      <c r="AM29" t="s">
        <v>220</v>
      </c>
      <c r="AN29" t="s">
        <v>220</v>
      </c>
      <c r="AO29" t="s">
        <v>220</v>
      </c>
      <c r="AP29" t="s">
        <v>220</v>
      </c>
      <c r="AQ29" t="s">
        <v>220</v>
      </c>
      <c r="AR29" t="s">
        <v>220</v>
      </c>
      <c r="AS29" t="s">
        <v>220</v>
      </c>
      <c r="AT29" t="s">
        <v>220</v>
      </c>
      <c r="AU29" t="s">
        <v>220</v>
      </c>
      <c r="AV29" t="s">
        <v>220</v>
      </c>
      <c r="AW29" t="s">
        <v>220</v>
      </c>
    </row>
    <row r="30" spans="2:49">
      <c r="B30" s="13">
        <v>45928</v>
      </c>
      <c r="C30" t="s">
        <v>220</v>
      </c>
      <c r="D30" t="s">
        <v>220</v>
      </c>
      <c r="E30" t="s">
        <v>220</v>
      </c>
      <c r="F30" t="s">
        <v>220</v>
      </c>
      <c r="G30" t="s">
        <v>220</v>
      </c>
      <c r="H30" t="s">
        <v>220</v>
      </c>
      <c r="I30" t="s">
        <v>220</v>
      </c>
      <c r="J30" t="s">
        <v>220</v>
      </c>
      <c r="K30" t="s">
        <v>220</v>
      </c>
      <c r="L30" t="s">
        <v>220</v>
      </c>
      <c r="M30" t="s">
        <v>220</v>
      </c>
      <c r="N30" t="s">
        <v>220</v>
      </c>
      <c r="O30" t="s">
        <v>220</v>
      </c>
      <c r="P30" t="s">
        <v>220</v>
      </c>
      <c r="Q30" t="s">
        <v>220</v>
      </c>
      <c r="R30" t="s">
        <v>220</v>
      </c>
      <c r="S30" t="s">
        <v>220</v>
      </c>
      <c r="T30" t="s">
        <v>220</v>
      </c>
      <c r="U30" t="s">
        <v>220</v>
      </c>
      <c r="V30" t="s">
        <v>220</v>
      </c>
      <c r="W30" t="s">
        <v>220</v>
      </c>
      <c r="X30" t="s">
        <v>220</v>
      </c>
      <c r="Y30" t="s">
        <v>220</v>
      </c>
      <c r="Z30" t="s">
        <v>220</v>
      </c>
      <c r="AA30" t="s">
        <v>220</v>
      </c>
      <c r="AB30" t="s">
        <v>220</v>
      </c>
      <c r="AC30" t="s">
        <v>220</v>
      </c>
      <c r="AD30" t="s">
        <v>220</v>
      </c>
      <c r="AE30" t="s">
        <v>220</v>
      </c>
      <c r="AF30" t="s">
        <v>220</v>
      </c>
      <c r="AG30" t="s">
        <v>220</v>
      </c>
      <c r="AH30" t="s">
        <v>220</v>
      </c>
      <c r="AI30" t="s">
        <v>220</v>
      </c>
      <c r="AJ30" t="s">
        <v>220</v>
      </c>
      <c r="AK30" t="s">
        <v>220</v>
      </c>
      <c r="AL30" t="s">
        <v>220</v>
      </c>
      <c r="AM30" t="s">
        <v>220</v>
      </c>
      <c r="AN30" t="s">
        <v>220</v>
      </c>
      <c r="AO30" t="s">
        <v>220</v>
      </c>
      <c r="AP30" t="s">
        <v>220</v>
      </c>
      <c r="AQ30" t="s">
        <v>220</v>
      </c>
      <c r="AR30" t="s">
        <v>220</v>
      </c>
      <c r="AS30" t="s">
        <v>220</v>
      </c>
      <c r="AT30" t="s">
        <v>220</v>
      </c>
      <c r="AU30" t="s">
        <v>220</v>
      </c>
      <c r="AV30" t="s">
        <v>220</v>
      </c>
      <c r="AW30" t="s">
        <v>220</v>
      </c>
    </row>
    <row r="31" spans="2:49">
      <c r="B31" s="13">
        <v>45929</v>
      </c>
      <c r="C31">
        <v>236.58</v>
      </c>
      <c r="D31">
        <v>4.0199999999999996</v>
      </c>
      <c r="E31">
        <v>1.77</v>
      </c>
      <c r="F31">
        <v>2.5</v>
      </c>
      <c r="G31">
        <v>23.19</v>
      </c>
      <c r="H31">
        <v>3.35</v>
      </c>
      <c r="I31">
        <v>43.82</v>
      </c>
      <c r="J31">
        <v>7.1165000000000003</v>
      </c>
      <c r="K31">
        <v>48.92</v>
      </c>
      <c r="L31">
        <v>53.19</v>
      </c>
      <c r="M31">
        <v>267.47000000000003</v>
      </c>
      <c r="N31">
        <v>34.159999999999997</v>
      </c>
      <c r="O31">
        <v>30.99</v>
      </c>
      <c r="P31">
        <v>15.41</v>
      </c>
      <c r="Q31">
        <v>23.85</v>
      </c>
      <c r="R31">
        <v>24.33</v>
      </c>
      <c r="S31">
        <v>153.05000000000001</v>
      </c>
      <c r="T31">
        <v>61.52</v>
      </c>
      <c r="U31">
        <v>134.86000000000001</v>
      </c>
      <c r="V31">
        <v>43.53</v>
      </c>
      <c r="W31">
        <v>178.86</v>
      </c>
      <c r="X31">
        <v>54.57</v>
      </c>
      <c r="Y31">
        <v>43.78</v>
      </c>
      <c r="Z31">
        <v>322.66000000000003</v>
      </c>
      <c r="AA31">
        <v>0.47199999999999998</v>
      </c>
      <c r="AB31">
        <v>26</v>
      </c>
      <c r="AC31">
        <v>68.760000000000005</v>
      </c>
      <c r="AD31">
        <v>663.68</v>
      </c>
      <c r="AE31">
        <v>4.72</v>
      </c>
      <c r="AF31">
        <v>51.252200000000002</v>
      </c>
      <c r="AG31">
        <v>13.984999999999999</v>
      </c>
      <c r="AH31">
        <v>598.73</v>
      </c>
      <c r="AI31">
        <v>103.83</v>
      </c>
      <c r="AJ31">
        <v>114.78</v>
      </c>
      <c r="AK31">
        <v>120.38</v>
      </c>
      <c r="AL31">
        <v>222.17</v>
      </c>
      <c r="AM31">
        <v>51.3</v>
      </c>
      <c r="AN31">
        <v>26.34</v>
      </c>
      <c r="AO31">
        <v>58.2</v>
      </c>
      <c r="AP31">
        <v>6.7</v>
      </c>
      <c r="AQ31">
        <v>122.66</v>
      </c>
      <c r="AR31">
        <v>51.56</v>
      </c>
      <c r="AS31">
        <v>120.64100000000001</v>
      </c>
      <c r="AT31">
        <v>7.21</v>
      </c>
      <c r="AU31">
        <v>345.18</v>
      </c>
      <c r="AV31">
        <v>259.95999999999998</v>
      </c>
      <c r="AW31">
        <v>134.47999999999999</v>
      </c>
    </row>
    <row r="32" spans="2:49">
      <c r="B32" s="13">
        <v>45930</v>
      </c>
      <c r="C32">
        <v>235.81</v>
      </c>
      <c r="D32">
        <v>4.01</v>
      </c>
      <c r="E32">
        <v>1.77</v>
      </c>
      <c r="F32">
        <v>2.4900000000000002</v>
      </c>
      <c r="G32">
        <v>23.42</v>
      </c>
      <c r="H32">
        <v>3.31</v>
      </c>
      <c r="I32">
        <v>43.63</v>
      </c>
      <c r="J32">
        <v>7.1261999999999999</v>
      </c>
      <c r="K32">
        <v>49.5</v>
      </c>
      <c r="L32">
        <v>53.4</v>
      </c>
      <c r="M32">
        <v>266.27999999999997</v>
      </c>
      <c r="N32">
        <v>34.340000000000003</v>
      </c>
      <c r="O32">
        <v>31</v>
      </c>
      <c r="P32">
        <v>15.48</v>
      </c>
      <c r="Q32">
        <v>25.48</v>
      </c>
      <c r="R32">
        <v>24.33</v>
      </c>
      <c r="S32">
        <v>154.22999999999999</v>
      </c>
      <c r="T32">
        <v>61.94</v>
      </c>
      <c r="U32">
        <v>131.77000000000001</v>
      </c>
      <c r="V32">
        <v>43.604999999999997</v>
      </c>
      <c r="W32">
        <v>182.42</v>
      </c>
      <c r="X32">
        <v>55.24</v>
      </c>
      <c r="Y32">
        <v>43.93</v>
      </c>
      <c r="Z32">
        <v>326.36</v>
      </c>
      <c r="AA32">
        <v>0.48</v>
      </c>
      <c r="AB32">
        <v>26</v>
      </c>
      <c r="AC32">
        <v>68.959999999999994</v>
      </c>
      <c r="AD32">
        <v>666.18</v>
      </c>
      <c r="AE32">
        <v>4.7300000000000004</v>
      </c>
      <c r="AF32">
        <v>52.414700000000003</v>
      </c>
      <c r="AG32">
        <v>13.9</v>
      </c>
      <c r="AH32">
        <v>600.37</v>
      </c>
      <c r="AI32">
        <v>103.74</v>
      </c>
      <c r="AJ32">
        <v>114.5</v>
      </c>
      <c r="AK32">
        <v>119.82</v>
      </c>
      <c r="AL32">
        <v>219.57</v>
      </c>
      <c r="AM32">
        <v>51.7</v>
      </c>
      <c r="AN32">
        <v>26.551200000000001</v>
      </c>
      <c r="AO32">
        <v>59.01</v>
      </c>
      <c r="AP32">
        <v>6.72</v>
      </c>
      <c r="AQ32">
        <v>124.34</v>
      </c>
      <c r="AR32">
        <v>51.94</v>
      </c>
      <c r="AS32">
        <v>119.892</v>
      </c>
      <c r="AT32">
        <v>7.62</v>
      </c>
      <c r="AU32">
        <v>345.3</v>
      </c>
      <c r="AV32">
        <v>258.36</v>
      </c>
      <c r="AW32">
        <v>129.94999999999999</v>
      </c>
    </row>
    <row r="33" spans="2:49">
      <c r="B33" s="13">
        <v>45931</v>
      </c>
      <c r="C33">
        <v>239.55</v>
      </c>
      <c r="D33">
        <v>4.03</v>
      </c>
      <c r="E33">
        <v>1.8</v>
      </c>
      <c r="F33">
        <v>2.4900000000000002</v>
      </c>
      <c r="G33">
        <v>23.7</v>
      </c>
      <c r="H33">
        <v>3.33</v>
      </c>
      <c r="I33">
        <v>45.08</v>
      </c>
      <c r="J33">
        <v>6.9805999999999999</v>
      </c>
      <c r="K33">
        <v>49.64</v>
      </c>
      <c r="L33">
        <v>53.82</v>
      </c>
      <c r="M33">
        <v>262.2</v>
      </c>
      <c r="N33">
        <v>34.44</v>
      </c>
      <c r="O33">
        <v>30.58</v>
      </c>
      <c r="P33">
        <v>15.88</v>
      </c>
      <c r="Q33">
        <v>27.21</v>
      </c>
      <c r="R33">
        <v>24.65</v>
      </c>
      <c r="S33">
        <v>153.80000000000001</v>
      </c>
      <c r="T33">
        <v>62.63</v>
      </c>
      <c r="U33">
        <v>137.44</v>
      </c>
      <c r="V33">
        <v>44.024999999999999</v>
      </c>
      <c r="W33">
        <v>184.95</v>
      </c>
      <c r="X33">
        <v>55.94</v>
      </c>
      <c r="Y33">
        <v>44.49</v>
      </c>
      <c r="Z33">
        <v>333.69</v>
      </c>
      <c r="AA33">
        <v>0.5</v>
      </c>
      <c r="AB33">
        <v>25.6</v>
      </c>
      <c r="AC33">
        <v>69.14</v>
      </c>
      <c r="AD33">
        <v>668.45</v>
      </c>
      <c r="AE33">
        <v>4.72</v>
      </c>
      <c r="AF33">
        <v>53.984999999999999</v>
      </c>
      <c r="AG33">
        <v>13.7849</v>
      </c>
      <c r="AH33">
        <v>603.25</v>
      </c>
      <c r="AI33">
        <v>102.99</v>
      </c>
      <c r="AJ33">
        <v>112.95</v>
      </c>
      <c r="AK33">
        <v>120.57</v>
      </c>
      <c r="AL33">
        <v>220.63</v>
      </c>
      <c r="AM33">
        <v>52.43</v>
      </c>
      <c r="AN33">
        <v>26.756499999999999</v>
      </c>
      <c r="AO33">
        <v>59.71</v>
      </c>
      <c r="AP33">
        <v>6.75</v>
      </c>
      <c r="AQ33">
        <v>123.23</v>
      </c>
      <c r="AR33">
        <v>52.02</v>
      </c>
      <c r="AS33">
        <v>117.09</v>
      </c>
      <c r="AT33">
        <v>7.65</v>
      </c>
      <c r="AU33">
        <v>348.3</v>
      </c>
      <c r="AV33">
        <v>255.4</v>
      </c>
      <c r="AW33">
        <v>127.47</v>
      </c>
    </row>
    <row r="34" spans="2:49">
      <c r="B34" s="13">
        <v>45932</v>
      </c>
      <c r="C34">
        <v>242.32</v>
      </c>
      <c r="D34">
        <v>4</v>
      </c>
      <c r="E34">
        <v>1.78</v>
      </c>
      <c r="F34">
        <v>2.4900000000000002</v>
      </c>
      <c r="G34">
        <v>23.81</v>
      </c>
      <c r="H34">
        <v>3.33</v>
      </c>
      <c r="I34">
        <v>46.18</v>
      </c>
      <c r="J34">
        <v>6.9126000000000003</v>
      </c>
      <c r="K34">
        <v>49.36</v>
      </c>
      <c r="L34">
        <v>54.07</v>
      </c>
      <c r="M34">
        <v>259.08999999999997</v>
      </c>
      <c r="N34">
        <v>34.31</v>
      </c>
      <c r="O34">
        <v>30.24</v>
      </c>
      <c r="P34">
        <v>15.89</v>
      </c>
      <c r="Q34">
        <v>27.08</v>
      </c>
      <c r="R34">
        <v>24.93</v>
      </c>
      <c r="S34">
        <v>154.19999999999999</v>
      </c>
      <c r="T34">
        <v>63</v>
      </c>
      <c r="U34">
        <v>140.22999999999999</v>
      </c>
      <c r="V34">
        <v>43.945</v>
      </c>
      <c r="W34">
        <v>187.05</v>
      </c>
      <c r="X34">
        <v>56.25</v>
      </c>
      <c r="Y34">
        <v>44.77</v>
      </c>
      <c r="Z34">
        <v>338.24</v>
      </c>
      <c r="AA34">
        <v>0.498</v>
      </c>
      <c r="AB34">
        <v>25.5</v>
      </c>
      <c r="AC34">
        <v>69.09</v>
      </c>
      <c r="AD34">
        <v>669.22</v>
      </c>
      <c r="AE34">
        <v>4.72</v>
      </c>
      <c r="AF34">
        <v>53.838799999999999</v>
      </c>
      <c r="AG34">
        <v>13.625</v>
      </c>
      <c r="AH34">
        <v>605.73</v>
      </c>
      <c r="AI34">
        <v>101.94</v>
      </c>
      <c r="AJ34">
        <v>112.14</v>
      </c>
      <c r="AK34">
        <v>119.7</v>
      </c>
      <c r="AL34">
        <v>222.41</v>
      </c>
      <c r="AM34">
        <v>53.07</v>
      </c>
      <c r="AN34">
        <v>27.27</v>
      </c>
      <c r="AO34">
        <v>60.41</v>
      </c>
      <c r="AP34">
        <v>6.75</v>
      </c>
      <c r="AQ34">
        <v>122.62</v>
      </c>
      <c r="AR34">
        <v>51.36</v>
      </c>
      <c r="AS34">
        <v>116.253</v>
      </c>
      <c r="AT34">
        <v>7.89</v>
      </c>
      <c r="AU34">
        <v>353.72</v>
      </c>
      <c r="AV34">
        <v>256.94</v>
      </c>
      <c r="AW34">
        <v>124.63</v>
      </c>
    </row>
    <row r="35" spans="2:49">
      <c r="B35" s="13">
        <v>45933</v>
      </c>
      <c r="C35">
        <v>244.61</v>
      </c>
      <c r="D35">
        <v>3.99</v>
      </c>
      <c r="E35">
        <v>1.8</v>
      </c>
      <c r="F35">
        <v>2.48</v>
      </c>
      <c r="G35">
        <v>23.07</v>
      </c>
      <c r="H35">
        <v>3.34</v>
      </c>
      <c r="I35">
        <v>45.98</v>
      </c>
      <c r="J35">
        <v>6.9611999999999998</v>
      </c>
      <c r="K35">
        <v>49.65</v>
      </c>
      <c r="L35">
        <v>54.23</v>
      </c>
      <c r="M35">
        <v>266.19</v>
      </c>
      <c r="N35">
        <v>34.54</v>
      </c>
      <c r="O35">
        <v>30.33</v>
      </c>
      <c r="P35">
        <v>15.98</v>
      </c>
      <c r="Q35">
        <v>27.37</v>
      </c>
      <c r="R35">
        <v>24.49</v>
      </c>
      <c r="S35">
        <v>154.41</v>
      </c>
      <c r="T35">
        <v>63.11</v>
      </c>
      <c r="U35">
        <v>142</v>
      </c>
      <c r="V35">
        <v>44.454999999999998</v>
      </c>
      <c r="W35">
        <v>173.07</v>
      </c>
      <c r="X35">
        <v>56.66</v>
      </c>
      <c r="Y35">
        <v>44.91</v>
      </c>
      <c r="Z35">
        <v>336.68</v>
      </c>
      <c r="AA35">
        <v>0.51</v>
      </c>
      <c r="AB35">
        <v>25.5</v>
      </c>
      <c r="AC35">
        <v>69.459999999999994</v>
      </c>
      <c r="AD35">
        <v>669.21</v>
      </c>
      <c r="AE35">
        <v>4.72</v>
      </c>
      <c r="AF35">
        <v>54.445300000000003</v>
      </c>
      <c r="AG35">
        <v>13.654999999999999</v>
      </c>
      <c r="AH35">
        <v>603.17999999999995</v>
      </c>
      <c r="AI35">
        <v>104.02</v>
      </c>
      <c r="AJ35">
        <v>112.47</v>
      </c>
      <c r="AK35">
        <v>118.93</v>
      </c>
      <c r="AL35">
        <v>219.51</v>
      </c>
      <c r="AM35">
        <v>52.35</v>
      </c>
      <c r="AN35">
        <v>27.061299999999999</v>
      </c>
      <c r="AO35">
        <v>60.24</v>
      </c>
      <c r="AP35">
        <v>6.77</v>
      </c>
      <c r="AQ35">
        <v>122.58</v>
      </c>
      <c r="AR35">
        <v>52.17</v>
      </c>
      <c r="AS35">
        <v>115.33199999999999</v>
      </c>
      <c r="AT35">
        <v>7.7</v>
      </c>
      <c r="AU35">
        <v>360.2</v>
      </c>
      <c r="AV35">
        <v>257.68</v>
      </c>
      <c r="AW35">
        <v>127.65</v>
      </c>
    </row>
    <row r="36" spans="2:49">
      <c r="B36" s="13">
        <v>45934</v>
      </c>
      <c r="C36" t="s">
        <v>220</v>
      </c>
      <c r="D36" t="s">
        <v>220</v>
      </c>
      <c r="E36" t="s">
        <v>220</v>
      </c>
      <c r="F36" t="s">
        <v>220</v>
      </c>
      <c r="G36" t="s">
        <v>220</v>
      </c>
      <c r="H36" t="s">
        <v>220</v>
      </c>
      <c r="I36" t="s">
        <v>220</v>
      </c>
      <c r="J36" t="s">
        <v>220</v>
      </c>
      <c r="K36" t="s">
        <v>220</v>
      </c>
      <c r="L36" t="s">
        <v>220</v>
      </c>
      <c r="M36" t="s">
        <v>220</v>
      </c>
      <c r="N36" t="s">
        <v>220</v>
      </c>
      <c r="O36" t="s">
        <v>220</v>
      </c>
      <c r="P36" t="s">
        <v>220</v>
      </c>
      <c r="Q36" t="s">
        <v>220</v>
      </c>
      <c r="R36" t="s">
        <v>220</v>
      </c>
      <c r="S36" t="s">
        <v>220</v>
      </c>
      <c r="T36" t="s">
        <v>220</v>
      </c>
      <c r="U36" t="s">
        <v>220</v>
      </c>
      <c r="V36" t="s">
        <v>220</v>
      </c>
      <c r="W36" t="s">
        <v>220</v>
      </c>
      <c r="X36" t="s">
        <v>220</v>
      </c>
      <c r="Y36" t="s">
        <v>220</v>
      </c>
      <c r="Z36" t="s">
        <v>220</v>
      </c>
      <c r="AA36" t="s">
        <v>220</v>
      </c>
      <c r="AB36" t="s">
        <v>220</v>
      </c>
      <c r="AC36" t="s">
        <v>220</v>
      </c>
      <c r="AD36" t="s">
        <v>220</v>
      </c>
      <c r="AE36" t="s">
        <v>220</v>
      </c>
      <c r="AF36" t="s">
        <v>220</v>
      </c>
      <c r="AG36" t="s">
        <v>220</v>
      </c>
      <c r="AH36" t="s">
        <v>220</v>
      </c>
      <c r="AI36" t="s">
        <v>220</v>
      </c>
      <c r="AJ36" t="s">
        <v>220</v>
      </c>
      <c r="AK36" t="s">
        <v>220</v>
      </c>
      <c r="AL36" t="s">
        <v>220</v>
      </c>
      <c r="AM36" t="s">
        <v>220</v>
      </c>
      <c r="AN36" t="s">
        <v>220</v>
      </c>
      <c r="AO36" t="s">
        <v>220</v>
      </c>
      <c r="AP36" t="s">
        <v>220</v>
      </c>
      <c r="AQ36" t="s">
        <v>220</v>
      </c>
      <c r="AR36" t="s">
        <v>220</v>
      </c>
      <c r="AS36" t="s">
        <v>220</v>
      </c>
      <c r="AT36" t="s">
        <v>220</v>
      </c>
      <c r="AU36" t="s">
        <v>220</v>
      </c>
      <c r="AV36" t="s">
        <v>220</v>
      </c>
      <c r="AW36" t="s">
        <v>220</v>
      </c>
    </row>
    <row r="37" spans="2:49">
      <c r="B37" s="13">
        <v>45935</v>
      </c>
      <c r="C37" t="s">
        <v>220</v>
      </c>
      <c r="D37" t="s">
        <v>220</v>
      </c>
      <c r="E37" t="s">
        <v>220</v>
      </c>
      <c r="F37" t="s">
        <v>220</v>
      </c>
      <c r="G37" t="s">
        <v>220</v>
      </c>
      <c r="H37" t="s">
        <v>220</v>
      </c>
      <c r="I37" t="s">
        <v>220</v>
      </c>
      <c r="J37" t="s">
        <v>220</v>
      </c>
      <c r="K37" t="s">
        <v>220</v>
      </c>
      <c r="L37" t="s">
        <v>220</v>
      </c>
      <c r="M37" t="s">
        <v>220</v>
      </c>
      <c r="N37" t="s">
        <v>220</v>
      </c>
      <c r="O37" t="s">
        <v>220</v>
      </c>
      <c r="P37" t="s">
        <v>220</v>
      </c>
      <c r="Q37" t="s">
        <v>220</v>
      </c>
      <c r="R37" t="s">
        <v>220</v>
      </c>
      <c r="S37" t="s">
        <v>220</v>
      </c>
      <c r="T37" t="s">
        <v>220</v>
      </c>
      <c r="U37" t="s">
        <v>220</v>
      </c>
      <c r="V37" t="s">
        <v>220</v>
      </c>
      <c r="W37" t="s">
        <v>220</v>
      </c>
      <c r="X37" t="s">
        <v>220</v>
      </c>
      <c r="Y37" t="s">
        <v>220</v>
      </c>
      <c r="Z37" t="s">
        <v>220</v>
      </c>
      <c r="AA37" t="s">
        <v>220</v>
      </c>
      <c r="AB37" t="s">
        <v>220</v>
      </c>
      <c r="AC37" t="s">
        <v>220</v>
      </c>
      <c r="AD37" t="s">
        <v>220</v>
      </c>
      <c r="AE37" t="s">
        <v>220</v>
      </c>
      <c r="AF37" t="s">
        <v>220</v>
      </c>
      <c r="AG37" t="s">
        <v>220</v>
      </c>
      <c r="AH37" t="s">
        <v>220</v>
      </c>
      <c r="AI37" t="s">
        <v>220</v>
      </c>
      <c r="AJ37" t="s">
        <v>220</v>
      </c>
      <c r="AK37" t="s">
        <v>220</v>
      </c>
      <c r="AL37" t="s">
        <v>220</v>
      </c>
      <c r="AM37" t="s">
        <v>220</v>
      </c>
      <c r="AN37" t="s">
        <v>220</v>
      </c>
      <c r="AO37" t="s">
        <v>220</v>
      </c>
      <c r="AP37" t="s">
        <v>220</v>
      </c>
      <c r="AQ37" t="s">
        <v>220</v>
      </c>
      <c r="AR37" t="s">
        <v>220</v>
      </c>
      <c r="AS37" t="s">
        <v>220</v>
      </c>
      <c r="AT37" t="s">
        <v>220</v>
      </c>
      <c r="AU37" t="s">
        <v>220</v>
      </c>
      <c r="AV37" t="s">
        <v>220</v>
      </c>
      <c r="AW37" t="s">
        <v>220</v>
      </c>
    </row>
    <row r="38" spans="2:49">
      <c r="B38" s="13">
        <v>45936</v>
      </c>
      <c r="C38">
        <v>247.03</v>
      </c>
      <c r="D38">
        <v>4.1500000000000004</v>
      </c>
      <c r="E38">
        <v>1.78</v>
      </c>
      <c r="F38">
        <v>2.4700000000000002</v>
      </c>
      <c r="G38">
        <v>23.63</v>
      </c>
      <c r="H38">
        <v>3.33</v>
      </c>
      <c r="I38">
        <v>46.24</v>
      </c>
      <c r="J38">
        <v>6.9222999999999999</v>
      </c>
      <c r="K38">
        <v>49.22</v>
      </c>
      <c r="L38">
        <v>54.48</v>
      </c>
      <c r="M38">
        <v>264.69</v>
      </c>
      <c r="N38">
        <v>34.299999999999997</v>
      </c>
      <c r="O38">
        <v>30.31</v>
      </c>
      <c r="P38">
        <v>16.079999999999998</v>
      </c>
      <c r="Q38">
        <v>26.43</v>
      </c>
      <c r="R38">
        <v>24.79</v>
      </c>
      <c r="S38">
        <v>155.13</v>
      </c>
      <c r="T38">
        <v>62.74</v>
      </c>
      <c r="U38">
        <v>144.91</v>
      </c>
      <c r="V38">
        <v>44.884999999999998</v>
      </c>
      <c r="W38">
        <v>179.53</v>
      </c>
      <c r="X38">
        <v>56.72</v>
      </c>
      <c r="Y38">
        <v>44.19</v>
      </c>
      <c r="Z38">
        <v>343.38</v>
      </c>
      <c r="AA38">
        <v>0.52</v>
      </c>
      <c r="AB38">
        <v>25.99</v>
      </c>
      <c r="AC38">
        <v>69.430000000000007</v>
      </c>
      <c r="AD38">
        <v>671.61</v>
      </c>
      <c r="AE38">
        <v>4.72</v>
      </c>
      <c r="AF38">
        <v>54.247799999999998</v>
      </c>
      <c r="AG38">
        <v>13.59</v>
      </c>
      <c r="AH38">
        <v>607.71</v>
      </c>
      <c r="AI38">
        <v>103.22</v>
      </c>
      <c r="AJ38">
        <v>112.75</v>
      </c>
      <c r="AK38">
        <v>119.95</v>
      </c>
      <c r="AL38">
        <v>220.9</v>
      </c>
      <c r="AM38">
        <v>53.52</v>
      </c>
      <c r="AN38">
        <v>27.05</v>
      </c>
      <c r="AO38">
        <v>60.47</v>
      </c>
      <c r="AP38">
        <v>6.75</v>
      </c>
      <c r="AQ38">
        <v>120.54</v>
      </c>
      <c r="AR38">
        <v>52.16</v>
      </c>
      <c r="AS38">
        <v>116.331</v>
      </c>
      <c r="AT38">
        <v>7.59</v>
      </c>
      <c r="AU38">
        <v>358.77</v>
      </c>
      <c r="AV38">
        <v>256.98</v>
      </c>
      <c r="AW38">
        <v>126.87</v>
      </c>
    </row>
    <row r="39" spans="2:49">
      <c r="B39" s="13">
        <v>45937</v>
      </c>
      <c r="C39">
        <v>242.33</v>
      </c>
      <c r="D39">
        <v>4.3499999999999996</v>
      </c>
      <c r="E39">
        <v>1.78</v>
      </c>
      <c r="F39">
        <v>2.42</v>
      </c>
      <c r="G39">
        <v>23.67</v>
      </c>
      <c r="H39">
        <v>3.33</v>
      </c>
      <c r="I39">
        <v>45.68</v>
      </c>
      <c r="J39">
        <v>6.7378999999999998</v>
      </c>
      <c r="K39">
        <v>48.92</v>
      </c>
      <c r="L39">
        <v>54.06</v>
      </c>
      <c r="M39">
        <v>262.62</v>
      </c>
      <c r="N39">
        <v>33.99</v>
      </c>
      <c r="O39">
        <v>29.68</v>
      </c>
      <c r="P39">
        <v>15.89</v>
      </c>
      <c r="Q39">
        <v>26.27</v>
      </c>
      <c r="R39">
        <v>24.44</v>
      </c>
      <c r="S39">
        <v>154.25</v>
      </c>
      <c r="T39">
        <v>62.12</v>
      </c>
      <c r="U39">
        <v>138.94</v>
      </c>
      <c r="V39">
        <v>45.09</v>
      </c>
      <c r="W39">
        <v>182.17</v>
      </c>
      <c r="X39">
        <v>56.55</v>
      </c>
      <c r="Y39">
        <v>43.79</v>
      </c>
      <c r="Z39">
        <v>337.05</v>
      </c>
      <c r="AA39">
        <v>0.49399999999999999</v>
      </c>
      <c r="AB39">
        <v>26.5</v>
      </c>
      <c r="AC39">
        <v>69.08</v>
      </c>
      <c r="AD39">
        <v>669.12</v>
      </c>
      <c r="AE39">
        <v>4.72</v>
      </c>
      <c r="AF39">
        <v>54.204999999999998</v>
      </c>
      <c r="AG39">
        <v>13.244999999999999</v>
      </c>
      <c r="AH39">
        <v>604.51</v>
      </c>
      <c r="AI39">
        <v>103.71</v>
      </c>
      <c r="AJ39">
        <v>112.53</v>
      </c>
      <c r="AK39">
        <v>117.85</v>
      </c>
      <c r="AL39">
        <v>221.78</v>
      </c>
      <c r="AM39">
        <v>52.655000000000001</v>
      </c>
      <c r="AN39">
        <v>26.68</v>
      </c>
      <c r="AO39">
        <v>59.65</v>
      </c>
      <c r="AP39">
        <v>6.61</v>
      </c>
      <c r="AQ39">
        <v>122.33</v>
      </c>
      <c r="AR39">
        <v>51.99</v>
      </c>
      <c r="AS39">
        <v>119.10599999999999</v>
      </c>
      <c r="AT39">
        <v>7.5</v>
      </c>
      <c r="AU39">
        <v>363.66</v>
      </c>
      <c r="AV39">
        <v>260.5</v>
      </c>
      <c r="AW39">
        <v>124.72</v>
      </c>
    </row>
    <row r="40" spans="2:49">
      <c r="B40" s="13">
        <v>45938</v>
      </c>
      <c r="C40">
        <v>239.93</v>
      </c>
      <c r="D40" t="s">
        <v>220</v>
      </c>
      <c r="E40" t="s">
        <v>220</v>
      </c>
      <c r="F40" t="s">
        <v>220</v>
      </c>
      <c r="G40">
        <v>24.19</v>
      </c>
      <c r="H40" t="s">
        <v>220</v>
      </c>
      <c r="I40">
        <v>46.14</v>
      </c>
      <c r="J40">
        <v>6.7572999999999999</v>
      </c>
      <c r="K40">
        <v>49.33</v>
      </c>
      <c r="L40">
        <v>54.49</v>
      </c>
      <c r="M40">
        <v>264.5</v>
      </c>
      <c r="N40">
        <v>34.29</v>
      </c>
      <c r="O40">
        <v>29.87</v>
      </c>
      <c r="P40">
        <v>16.010000000000002</v>
      </c>
      <c r="Q40">
        <v>25.68</v>
      </c>
      <c r="R40">
        <v>26.26</v>
      </c>
      <c r="S40">
        <v>155.59</v>
      </c>
      <c r="T40">
        <v>62.52</v>
      </c>
      <c r="U40">
        <v>137.9</v>
      </c>
      <c r="V40">
        <v>45.4</v>
      </c>
      <c r="W40">
        <v>183.56</v>
      </c>
      <c r="X40">
        <v>56.83</v>
      </c>
      <c r="Y40">
        <v>44.3</v>
      </c>
      <c r="Z40">
        <v>346.07</v>
      </c>
      <c r="AA40" t="s">
        <v>220</v>
      </c>
      <c r="AB40" t="s">
        <v>220</v>
      </c>
      <c r="AC40">
        <v>69.2</v>
      </c>
      <c r="AD40">
        <v>673.11</v>
      </c>
      <c r="AE40" t="s">
        <v>220</v>
      </c>
      <c r="AF40">
        <v>54.299300000000002</v>
      </c>
      <c r="AG40">
        <v>13.3239</v>
      </c>
      <c r="AH40">
        <v>611.44000000000005</v>
      </c>
      <c r="AI40">
        <v>102.89</v>
      </c>
      <c r="AJ40">
        <v>111.89</v>
      </c>
      <c r="AK40">
        <v>118.2</v>
      </c>
      <c r="AL40">
        <v>225.22</v>
      </c>
      <c r="AM40">
        <v>54.44</v>
      </c>
      <c r="AN40">
        <v>26.7774</v>
      </c>
      <c r="AO40">
        <v>59.67</v>
      </c>
      <c r="AP40">
        <v>6.47</v>
      </c>
      <c r="AQ40">
        <v>119.63</v>
      </c>
      <c r="AR40">
        <v>52.78</v>
      </c>
      <c r="AS40">
        <v>121.425</v>
      </c>
      <c r="AT40">
        <v>7.85</v>
      </c>
      <c r="AU40">
        <v>369.92</v>
      </c>
      <c r="AV40">
        <v>258.07</v>
      </c>
      <c r="AW40">
        <v>124.73</v>
      </c>
    </row>
    <row r="41" spans="2:49">
      <c r="B41" s="13">
        <v>45939</v>
      </c>
      <c r="C41">
        <v>237</v>
      </c>
      <c r="D41">
        <v>4.5</v>
      </c>
      <c r="E41">
        <v>1.78</v>
      </c>
      <c r="F41">
        <v>2.4700000000000002</v>
      </c>
      <c r="G41">
        <v>22.91</v>
      </c>
      <c r="H41">
        <v>3.31</v>
      </c>
      <c r="I41">
        <v>47.54</v>
      </c>
      <c r="J41">
        <v>6.7282000000000002</v>
      </c>
      <c r="K41">
        <v>48.67</v>
      </c>
      <c r="L41">
        <v>53.93</v>
      </c>
      <c r="M41">
        <v>261.24</v>
      </c>
      <c r="N41">
        <v>33.74</v>
      </c>
      <c r="O41">
        <v>29.67</v>
      </c>
      <c r="P41">
        <v>16.14</v>
      </c>
      <c r="Q41">
        <v>25.24</v>
      </c>
      <c r="R41">
        <v>24.93</v>
      </c>
      <c r="S41">
        <v>153.29</v>
      </c>
      <c r="T41">
        <v>61.92</v>
      </c>
      <c r="U41">
        <v>132.4</v>
      </c>
      <c r="V41">
        <v>45.284999999999997</v>
      </c>
      <c r="W41">
        <v>185.47</v>
      </c>
      <c r="X41">
        <v>56.36</v>
      </c>
      <c r="Y41">
        <v>43.89</v>
      </c>
      <c r="Z41">
        <v>345.21</v>
      </c>
      <c r="AA41">
        <v>0.497</v>
      </c>
      <c r="AB41">
        <v>27</v>
      </c>
      <c r="AC41">
        <v>68.69</v>
      </c>
      <c r="AD41">
        <v>671.16</v>
      </c>
      <c r="AE41">
        <v>4.7</v>
      </c>
      <c r="AF41">
        <v>54.295299999999997</v>
      </c>
      <c r="AG41">
        <v>13.154999999999999</v>
      </c>
      <c r="AH41">
        <v>610.70000000000005</v>
      </c>
      <c r="AI41">
        <v>102.56</v>
      </c>
      <c r="AJ41">
        <v>110.99</v>
      </c>
      <c r="AK41">
        <v>117.61</v>
      </c>
      <c r="AL41">
        <v>227.74</v>
      </c>
      <c r="AM41">
        <v>54.225000000000001</v>
      </c>
      <c r="AN41">
        <v>26.58</v>
      </c>
      <c r="AO41">
        <v>58.86</v>
      </c>
      <c r="AP41">
        <v>6.58</v>
      </c>
      <c r="AQ41">
        <v>119.55</v>
      </c>
      <c r="AR41">
        <v>54.46</v>
      </c>
      <c r="AS41">
        <v>123.107</v>
      </c>
      <c r="AT41">
        <v>7.46</v>
      </c>
      <c r="AU41">
        <v>367.69</v>
      </c>
      <c r="AV41">
        <v>256.69</v>
      </c>
      <c r="AW41">
        <v>124.06</v>
      </c>
    </row>
    <row r="42" spans="2:49">
      <c r="B42" s="13">
        <v>45940</v>
      </c>
      <c r="C42">
        <v>224.63</v>
      </c>
      <c r="D42">
        <v>4.49</v>
      </c>
      <c r="E42" t="s">
        <v>220</v>
      </c>
      <c r="F42">
        <v>2.42</v>
      </c>
      <c r="G42">
        <v>21.02</v>
      </c>
      <c r="H42">
        <v>3.32</v>
      </c>
      <c r="I42">
        <v>44.95</v>
      </c>
      <c r="J42">
        <v>6.5631000000000004</v>
      </c>
      <c r="K42">
        <v>48.33</v>
      </c>
      <c r="L42">
        <v>51.94</v>
      </c>
      <c r="M42">
        <v>254.99</v>
      </c>
      <c r="N42">
        <v>33.4</v>
      </c>
      <c r="O42">
        <v>28.79</v>
      </c>
      <c r="P42">
        <v>15.78</v>
      </c>
      <c r="Q42">
        <v>24.78</v>
      </c>
      <c r="R42">
        <v>24.59</v>
      </c>
      <c r="S42">
        <v>149.9</v>
      </c>
      <c r="T42">
        <v>61.02</v>
      </c>
      <c r="U42">
        <v>121.69</v>
      </c>
      <c r="V42">
        <v>45.1</v>
      </c>
      <c r="W42">
        <v>175.44</v>
      </c>
      <c r="X42">
        <v>56.1</v>
      </c>
      <c r="Y42">
        <v>43.29</v>
      </c>
      <c r="Z42">
        <v>325.33999999999997</v>
      </c>
      <c r="AA42">
        <v>0.48499999999999999</v>
      </c>
      <c r="AB42">
        <v>26.8</v>
      </c>
      <c r="AC42">
        <v>67.150000000000006</v>
      </c>
      <c r="AD42">
        <v>653.02</v>
      </c>
      <c r="AE42" t="s">
        <v>220</v>
      </c>
      <c r="AF42">
        <v>53.640599999999999</v>
      </c>
      <c r="AG42">
        <v>12.74</v>
      </c>
      <c r="AH42">
        <v>589.5</v>
      </c>
      <c r="AI42">
        <v>99.13</v>
      </c>
      <c r="AJ42">
        <v>109.19</v>
      </c>
      <c r="AK42">
        <v>114.375</v>
      </c>
      <c r="AL42">
        <v>216.37</v>
      </c>
      <c r="AM42">
        <v>48.534999999999997</v>
      </c>
      <c r="AN42">
        <v>24.59</v>
      </c>
      <c r="AO42">
        <v>54.27</v>
      </c>
      <c r="AP42">
        <v>6.55</v>
      </c>
      <c r="AQ42">
        <v>119.57</v>
      </c>
      <c r="AR42">
        <v>52.54</v>
      </c>
      <c r="AS42">
        <v>122.008</v>
      </c>
      <c r="AT42">
        <v>6.71</v>
      </c>
      <c r="AU42">
        <v>354.5</v>
      </c>
      <c r="AV42">
        <v>251.97</v>
      </c>
      <c r="AW42">
        <v>117.82</v>
      </c>
    </row>
    <row r="43" spans="2:49">
      <c r="B43" s="13">
        <v>45941</v>
      </c>
      <c r="C43" t="s">
        <v>220</v>
      </c>
      <c r="D43" t="s">
        <v>220</v>
      </c>
      <c r="E43" t="s">
        <v>220</v>
      </c>
      <c r="F43" t="s">
        <v>220</v>
      </c>
      <c r="G43" t="s">
        <v>220</v>
      </c>
      <c r="H43" t="s">
        <v>220</v>
      </c>
      <c r="I43" t="s">
        <v>220</v>
      </c>
      <c r="J43" t="s">
        <v>220</v>
      </c>
      <c r="K43" t="s">
        <v>220</v>
      </c>
      <c r="L43" t="s">
        <v>220</v>
      </c>
      <c r="M43" t="s">
        <v>220</v>
      </c>
      <c r="N43" t="s">
        <v>220</v>
      </c>
      <c r="O43" t="s">
        <v>220</v>
      </c>
      <c r="P43" t="s">
        <v>220</v>
      </c>
      <c r="Q43" t="s">
        <v>220</v>
      </c>
      <c r="R43" t="s">
        <v>220</v>
      </c>
      <c r="S43" t="s">
        <v>220</v>
      </c>
      <c r="T43" t="s">
        <v>220</v>
      </c>
      <c r="U43" t="s">
        <v>220</v>
      </c>
      <c r="V43" t="s">
        <v>220</v>
      </c>
      <c r="W43" t="s">
        <v>220</v>
      </c>
      <c r="X43" t="s">
        <v>220</v>
      </c>
      <c r="Y43" t="s">
        <v>220</v>
      </c>
      <c r="Z43" t="s">
        <v>220</v>
      </c>
      <c r="AA43" t="s">
        <v>220</v>
      </c>
      <c r="AB43" t="s">
        <v>220</v>
      </c>
      <c r="AC43" t="s">
        <v>220</v>
      </c>
      <c r="AD43" t="s">
        <v>220</v>
      </c>
      <c r="AE43" t="s">
        <v>220</v>
      </c>
      <c r="AF43" t="s">
        <v>220</v>
      </c>
      <c r="AG43" t="s">
        <v>220</v>
      </c>
      <c r="AH43" t="s">
        <v>220</v>
      </c>
      <c r="AI43" t="s">
        <v>220</v>
      </c>
      <c r="AJ43" t="s">
        <v>220</v>
      </c>
      <c r="AK43" t="s">
        <v>220</v>
      </c>
      <c r="AL43" t="s">
        <v>220</v>
      </c>
      <c r="AM43" t="s">
        <v>220</v>
      </c>
      <c r="AN43" t="s">
        <v>220</v>
      </c>
      <c r="AO43" t="s">
        <v>220</v>
      </c>
      <c r="AP43" t="s">
        <v>220</v>
      </c>
      <c r="AQ43" t="s">
        <v>220</v>
      </c>
      <c r="AR43" t="s">
        <v>220</v>
      </c>
      <c r="AS43" t="s">
        <v>220</v>
      </c>
      <c r="AT43" t="s">
        <v>220</v>
      </c>
      <c r="AU43" t="s">
        <v>220</v>
      </c>
      <c r="AV43" t="s">
        <v>220</v>
      </c>
      <c r="AW43" t="s">
        <v>220</v>
      </c>
    </row>
    <row r="44" spans="2:49">
      <c r="B44" s="13">
        <v>45942</v>
      </c>
      <c r="C44" t="s">
        <v>220</v>
      </c>
      <c r="D44" t="s">
        <v>220</v>
      </c>
      <c r="E44" t="s">
        <v>220</v>
      </c>
      <c r="F44" t="s">
        <v>220</v>
      </c>
      <c r="G44" t="s">
        <v>220</v>
      </c>
      <c r="H44" t="s">
        <v>220</v>
      </c>
      <c r="I44" t="s">
        <v>220</v>
      </c>
      <c r="J44" t="s">
        <v>220</v>
      </c>
      <c r="K44" t="s">
        <v>220</v>
      </c>
      <c r="L44" t="s">
        <v>220</v>
      </c>
      <c r="M44" t="s">
        <v>220</v>
      </c>
      <c r="N44" t="s">
        <v>220</v>
      </c>
      <c r="O44" t="s">
        <v>220</v>
      </c>
      <c r="P44" t="s">
        <v>220</v>
      </c>
      <c r="Q44" t="s">
        <v>220</v>
      </c>
      <c r="R44" t="s">
        <v>220</v>
      </c>
      <c r="S44" t="s">
        <v>220</v>
      </c>
      <c r="T44" t="s">
        <v>220</v>
      </c>
      <c r="U44" t="s">
        <v>220</v>
      </c>
      <c r="V44" t="s">
        <v>220</v>
      </c>
      <c r="W44" t="s">
        <v>220</v>
      </c>
      <c r="X44" t="s">
        <v>220</v>
      </c>
      <c r="Y44" t="s">
        <v>220</v>
      </c>
      <c r="Z44" t="s">
        <v>220</v>
      </c>
      <c r="AA44" t="s">
        <v>220</v>
      </c>
      <c r="AB44" t="s">
        <v>220</v>
      </c>
      <c r="AC44" t="s">
        <v>220</v>
      </c>
      <c r="AD44" t="s">
        <v>220</v>
      </c>
      <c r="AE44" t="s">
        <v>220</v>
      </c>
      <c r="AF44" t="s">
        <v>220</v>
      </c>
      <c r="AG44" t="s">
        <v>220</v>
      </c>
      <c r="AH44" t="s">
        <v>220</v>
      </c>
      <c r="AI44" t="s">
        <v>220</v>
      </c>
      <c r="AJ44" t="s">
        <v>220</v>
      </c>
      <c r="AK44" t="s">
        <v>220</v>
      </c>
      <c r="AL44" t="s">
        <v>220</v>
      </c>
      <c r="AM44" t="s">
        <v>220</v>
      </c>
      <c r="AN44" t="s">
        <v>220</v>
      </c>
      <c r="AO44" t="s">
        <v>220</v>
      </c>
      <c r="AP44" t="s">
        <v>220</v>
      </c>
      <c r="AQ44" t="s">
        <v>220</v>
      </c>
      <c r="AR44" t="s">
        <v>220</v>
      </c>
      <c r="AS44" t="s">
        <v>220</v>
      </c>
      <c r="AT44" t="s">
        <v>220</v>
      </c>
      <c r="AU44" t="s">
        <v>220</v>
      </c>
      <c r="AV44" t="s">
        <v>220</v>
      </c>
      <c r="AW44" t="s">
        <v>220</v>
      </c>
    </row>
    <row r="45" spans="2:49">
      <c r="B45" s="13">
        <v>45943</v>
      </c>
      <c r="C45">
        <v>229.65</v>
      </c>
      <c r="D45">
        <v>4.53</v>
      </c>
      <c r="E45">
        <v>1.78</v>
      </c>
      <c r="F45">
        <v>2.5</v>
      </c>
      <c r="G45">
        <v>21.73</v>
      </c>
      <c r="H45">
        <v>3.39</v>
      </c>
      <c r="I45">
        <v>46.32</v>
      </c>
      <c r="J45">
        <v>6.6699000000000002</v>
      </c>
      <c r="K45">
        <v>48.73</v>
      </c>
      <c r="L45">
        <v>53.45</v>
      </c>
      <c r="M45">
        <v>258</v>
      </c>
      <c r="N45">
        <v>33.630000000000003</v>
      </c>
      <c r="O45">
        <v>29.18</v>
      </c>
      <c r="P45">
        <v>16.37</v>
      </c>
      <c r="Q45">
        <v>24.73</v>
      </c>
      <c r="R45">
        <v>25.64</v>
      </c>
      <c r="S45">
        <v>151.46</v>
      </c>
      <c r="T45">
        <v>61.48</v>
      </c>
      <c r="U45">
        <v>125.72</v>
      </c>
      <c r="V45">
        <v>45.445</v>
      </c>
      <c r="W45">
        <v>177.21</v>
      </c>
      <c r="X45">
        <v>56.08</v>
      </c>
      <c r="Y45">
        <v>43.35</v>
      </c>
      <c r="Z45">
        <v>339.75</v>
      </c>
      <c r="AA45">
        <v>0.51</v>
      </c>
      <c r="AB45">
        <v>26.9</v>
      </c>
      <c r="AC45">
        <v>67.91</v>
      </c>
      <c r="AD45">
        <v>663.04</v>
      </c>
      <c r="AE45">
        <v>4.8099999999999996</v>
      </c>
      <c r="AF45">
        <v>53.700600000000001</v>
      </c>
      <c r="AG45">
        <v>12.885</v>
      </c>
      <c r="AH45">
        <v>602.01</v>
      </c>
      <c r="AI45">
        <v>101.25</v>
      </c>
      <c r="AJ45">
        <v>110.27</v>
      </c>
      <c r="AK45">
        <v>116.93</v>
      </c>
      <c r="AL45">
        <v>220.07</v>
      </c>
      <c r="AM45">
        <v>51.615000000000002</v>
      </c>
      <c r="AN45">
        <v>25.47</v>
      </c>
      <c r="AO45">
        <v>56.61</v>
      </c>
      <c r="AP45">
        <v>6.56</v>
      </c>
      <c r="AQ45">
        <v>119.27</v>
      </c>
      <c r="AR45">
        <v>54.96</v>
      </c>
      <c r="AS45">
        <v>121.90300000000001</v>
      </c>
      <c r="AT45">
        <v>7.18</v>
      </c>
      <c r="AU45">
        <v>358.66</v>
      </c>
      <c r="AV45">
        <v>256.68</v>
      </c>
      <c r="AW45">
        <v>120.44</v>
      </c>
    </row>
    <row r="46" spans="2:49">
      <c r="B46" s="13">
        <v>45944</v>
      </c>
      <c r="C46">
        <v>234.67</v>
      </c>
      <c r="D46">
        <v>4.49</v>
      </c>
      <c r="E46">
        <v>1.78</v>
      </c>
      <c r="F46">
        <v>2.5</v>
      </c>
      <c r="G46">
        <v>21.29</v>
      </c>
      <c r="H46">
        <v>3.37</v>
      </c>
      <c r="I46">
        <v>46.89</v>
      </c>
      <c r="J46">
        <v>6.6601999999999997</v>
      </c>
      <c r="K46">
        <v>49.12</v>
      </c>
      <c r="L46">
        <v>52.97</v>
      </c>
      <c r="M46">
        <v>253.95</v>
      </c>
      <c r="N46">
        <v>33.909999999999997</v>
      </c>
      <c r="O46">
        <v>29.1</v>
      </c>
      <c r="P46">
        <v>16.420000000000002</v>
      </c>
      <c r="Q46">
        <v>24.52</v>
      </c>
      <c r="R46">
        <v>25.28</v>
      </c>
      <c r="S46">
        <v>153.24</v>
      </c>
      <c r="T46">
        <v>61.83</v>
      </c>
      <c r="U46">
        <v>119.94</v>
      </c>
      <c r="V46">
        <v>45.85</v>
      </c>
      <c r="W46">
        <v>179.74</v>
      </c>
      <c r="X46">
        <v>56.33</v>
      </c>
      <c r="Y46">
        <v>44.13</v>
      </c>
      <c r="Z46">
        <v>333.5</v>
      </c>
      <c r="AA46">
        <v>0.51</v>
      </c>
      <c r="AB46">
        <v>26.5</v>
      </c>
      <c r="AC46">
        <v>68.41</v>
      </c>
      <c r="AD46">
        <v>662.23</v>
      </c>
      <c r="AE46">
        <v>4.82</v>
      </c>
      <c r="AF46">
        <v>53.859099999999998</v>
      </c>
      <c r="AG46">
        <v>12.8588</v>
      </c>
      <c r="AH46">
        <v>598</v>
      </c>
      <c r="AI46">
        <v>103.7</v>
      </c>
      <c r="AJ46">
        <v>111.17</v>
      </c>
      <c r="AK46">
        <v>117.175</v>
      </c>
      <c r="AL46">
        <v>216.39</v>
      </c>
      <c r="AM46">
        <v>50.564999999999998</v>
      </c>
      <c r="AN46">
        <v>24.62</v>
      </c>
      <c r="AO46">
        <v>54.95</v>
      </c>
      <c r="AP46">
        <v>6.64</v>
      </c>
      <c r="AQ46">
        <v>120.17</v>
      </c>
      <c r="AR46">
        <v>54.55</v>
      </c>
      <c r="AS46">
        <v>121.535</v>
      </c>
      <c r="AT46">
        <v>6.8</v>
      </c>
      <c r="AU46">
        <v>359.93</v>
      </c>
      <c r="AV46">
        <v>257.72000000000003</v>
      </c>
      <c r="AW46">
        <v>125.98</v>
      </c>
    </row>
    <row r="47" spans="2:49">
      <c r="B47" s="13">
        <v>45945</v>
      </c>
      <c r="C47">
        <v>235.8</v>
      </c>
      <c r="D47">
        <v>4.5</v>
      </c>
      <c r="E47">
        <v>1.77</v>
      </c>
      <c r="F47">
        <v>2.4900000000000002</v>
      </c>
      <c r="G47">
        <v>21.64</v>
      </c>
      <c r="H47">
        <v>3.37</v>
      </c>
      <c r="I47">
        <v>48.93</v>
      </c>
      <c r="J47">
        <v>6.6699000000000002</v>
      </c>
      <c r="K47">
        <v>48.95</v>
      </c>
      <c r="L47">
        <v>53.84</v>
      </c>
      <c r="M47">
        <v>254.9</v>
      </c>
      <c r="N47">
        <v>33.700000000000003</v>
      </c>
      <c r="O47">
        <v>29.32</v>
      </c>
      <c r="P47">
        <v>16.87</v>
      </c>
      <c r="Q47">
        <v>24.39</v>
      </c>
      <c r="R47">
        <v>25.54</v>
      </c>
      <c r="S47">
        <v>152.6</v>
      </c>
      <c r="T47">
        <v>61.99</v>
      </c>
      <c r="U47">
        <v>121.58</v>
      </c>
      <c r="V47">
        <v>46.45</v>
      </c>
      <c r="W47">
        <v>179.62</v>
      </c>
      <c r="X47">
        <v>56.64</v>
      </c>
      <c r="Y47">
        <v>44.42</v>
      </c>
      <c r="Z47">
        <v>341.78</v>
      </c>
      <c r="AA47">
        <v>0.57999999999999996</v>
      </c>
      <c r="AB47">
        <v>26.5</v>
      </c>
      <c r="AC47">
        <v>68.819999999999993</v>
      </c>
      <c r="AD47">
        <v>665.17</v>
      </c>
      <c r="AE47">
        <v>4.82</v>
      </c>
      <c r="AF47">
        <v>54.119199999999999</v>
      </c>
      <c r="AG47">
        <v>13.114100000000001</v>
      </c>
      <c r="AH47">
        <v>602.22</v>
      </c>
      <c r="AI47">
        <v>103.13</v>
      </c>
      <c r="AJ47">
        <v>111.71</v>
      </c>
      <c r="AK47">
        <v>117.345</v>
      </c>
      <c r="AL47">
        <v>215.57</v>
      </c>
      <c r="AM47">
        <v>51.6</v>
      </c>
      <c r="AN47">
        <v>25.08</v>
      </c>
      <c r="AO47">
        <v>55.55</v>
      </c>
      <c r="AP47">
        <v>6.58</v>
      </c>
      <c r="AQ47">
        <v>119.92</v>
      </c>
      <c r="AR47">
        <v>55.4</v>
      </c>
      <c r="AS47">
        <v>120.32899999999999</v>
      </c>
      <c r="AT47">
        <v>6.82</v>
      </c>
      <c r="AU47">
        <v>361.15</v>
      </c>
      <c r="AV47">
        <v>261.5</v>
      </c>
      <c r="AW47">
        <v>124.46</v>
      </c>
    </row>
    <row r="48" spans="2:49">
      <c r="B48" s="13">
        <v>45946</v>
      </c>
      <c r="C48">
        <v>236.91</v>
      </c>
      <c r="D48">
        <v>4.55</v>
      </c>
      <c r="E48">
        <v>1.77</v>
      </c>
      <c r="F48">
        <v>2.5</v>
      </c>
      <c r="G48">
        <v>21.37</v>
      </c>
      <c r="H48">
        <v>3.35</v>
      </c>
      <c r="I48">
        <v>48.03</v>
      </c>
      <c r="J48">
        <v>6.6601999999999997</v>
      </c>
      <c r="K48">
        <v>49.43</v>
      </c>
      <c r="L48">
        <v>54.19</v>
      </c>
      <c r="M48">
        <v>252.65</v>
      </c>
      <c r="N48">
        <v>33.630000000000003</v>
      </c>
      <c r="O48">
        <v>29.24</v>
      </c>
      <c r="P48">
        <v>16.79</v>
      </c>
      <c r="Q48">
        <v>24.23</v>
      </c>
      <c r="R48">
        <v>26.76</v>
      </c>
      <c r="S48">
        <v>151.6</v>
      </c>
      <c r="T48">
        <v>62.58</v>
      </c>
      <c r="U48">
        <v>120.89</v>
      </c>
      <c r="V48">
        <v>45.945</v>
      </c>
      <c r="W48">
        <v>178.12</v>
      </c>
      <c r="X48">
        <v>57.47</v>
      </c>
      <c r="Y48">
        <v>45.15</v>
      </c>
      <c r="Z48">
        <v>343.3</v>
      </c>
      <c r="AA48">
        <v>0.59</v>
      </c>
      <c r="AB48">
        <v>26.43</v>
      </c>
      <c r="AC48">
        <v>68.19</v>
      </c>
      <c r="AD48">
        <v>660.64</v>
      </c>
      <c r="AE48">
        <v>4.82</v>
      </c>
      <c r="AF48">
        <v>54.254399999999997</v>
      </c>
      <c r="AG48">
        <v>13.0175</v>
      </c>
      <c r="AH48">
        <v>599.99</v>
      </c>
      <c r="AI48">
        <v>99.85</v>
      </c>
      <c r="AJ48">
        <v>109.88</v>
      </c>
      <c r="AK48">
        <v>116.21</v>
      </c>
      <c r="AL48">
        <v>214.47</v>
      </c>
      <c r="AM48">
        <v>51.024999999999999</v>
      </c>
      <c r="AN48">
        <v>25.05</v>
      </c>
      <c r="AO48">
        <v>55.33</v>
      </c>
      <c r="AP48">
        <v>6.39</v>
      </c>
      <c r="AQ48">
        <v>119.7</v>
      </c>
      <c r="AR48">
        <v>56.31</v>
      </c>
      <c r="AS48">
        <v>118.35899999999999</v>
      </c>
      <c r="AT48">
        <v>6.83</v>
      </c>
      <c r="AU48">
        <v>356.67</v>
      </c>
      <c r="AV48">
        <v>259.23</v>
      </c>
      <c r="AW48">
        <v>117.52</v>
      </c>
    </row>
    <row r="49" spans="2:49">
      <c r="B49" s="13">
        <v>45947</v>
      </c>
      <c r="C49">
        <v>237.8</v>
      </c>
      <c r="D49">
        <v>4.55</v>
      </c>
      <c r="E49">
        <v>1.77</v>
      </c>
      <c r="F49">
        <v>2.4700000000000002</v>
      </c>
      <c r="G49">
        <v>21.2</v>
      </c>
      <c r="H49">
        <v>3.34</v>
      </c>
      <c r="I49">
        <v>46.56</v>
      </c>
      <c r="J49">
        <v>6.7282000000000002</v>
      </c>
      <c r="K49">
        <v>49.47</v>
      </c>
      <c r="L49">
        <v>54.18</v>
      </c>
      <c r="M49">
        <v>254.06</v>
      </c>
      <c r="N49">
        <v>33.229999999999997</v>
      </c>
      <c r="O49">
        <v>29.71</v>
      </c>
      <c r="P49">
        <v>16.53</v>
      </c>
      <c r="Q49">
        <v>24.51</v>
      </c>
      <c r="R49">
        <v>25.57</v>
      </c>
      <c r="S49">
        <v>151.72999999999999</v>
      </c>
      <c r="T49">
        <v>62.56</v>
      </c>
      <c r="U49">
        <v>120.01</v>
      </c>
      <c r="V49">
        <v>45.784999999999997</v>
      </c>
      <c r="W49">
        <v>178.15</v>
      </c>
      <c r="X49">
        <v>57.78</v>
      </c>
      <c r="Y49">
        <v>45.23</v>
      </c>
      <c r="Z49">
        <v>342.83</v>
      </c>
      <c r="AA49">
        <v>0.57999999999999996</v>
      </c>
      <c r="AB49">
        <v>26.4</v>
      </c>
      <c r="AC49">
        <v>68.540000000000006</v>
      </c>
      <c r="AD49">
        <v>664.39</v>
      </c>
      <c r="AE49">
        <v>4.8099999999999996</v>
      </c>
      <c r="AF49">
        <v>54.627099999999999</v>
      </c>
      <c r="AG49">
        <v>13.17</v>
      </c>
      <c r="AH49">
        <v>603.92999999999995</v>
      </c>
      <c r="AI49">
        <v>100.67</v>
      </c>
      <c r="AJ49">
        <v>110.67</v>
      </c>
      <c r="AK49">
        <v>117.21</v>
      </c>
      <c r="AL49">
        <v>213.04</v>
      </c>
      <c r="AM49">
        <v>51.994999999999997</v>
      </c>
      <c r="AN49">
        <v>24.59</v>
      </c>
      <c r="AO49">
        <v>54.34</v>
      </c>
      <c r="AP49">
        <v>6.31</v>
      </c>
      <c r="AQ49">
        <v>121.44</v>
      </c>
      <c r="AR49">
        <v>57</v>
      </c>
      <c r="AS49">
        <v>119.93600000000001</v>
      </c>
      <c r="AT49">
        <v>6.75</v>
      </c>
      <c r="AU49">
        <v>356.6</v>
      </c>
      <c r="AV49">
        <v>261.35000000000002</v>
      </c>
      <c r="AW49">
        <v>117.6</v>
      </c>
    </row>
    <row r="50" spans="2:49">
      <c r="B50" s="13">
        <v>45948</v>
      </c>
      <c r="C50" t="s">
        <v>220</v>
      </c>
      <c r="D50" t="s">
        <v>220</v>
      </c>
      <c r="E50" t="s">
        <v>220</v>
      </c>
      <c r="F50" t="s">
        <v>220</v>
      </c>
      <c r="G50" t="s">
        <v>220</v>
      </c>
      <c r="H50" t="s">
        <v>220</v>
      </c>
      <c r="I50" t="s">
        <v>220</v>
      </c>
      <c r="J50" t="s">
        <v>220</v>
      </c>
      <c r="K50" t="s">
        <v>220</v>
      </c>
      <c r="L50" t="s">
        <v>220</v>
      </c>
      <c r="M50" t="s">
        <v>220</v>
      </c>
      <c r="N50" t="s">
        <v>220</v>
      </c>
      <c r="O50" t="s">
        <v>220</v>
      </c>
      <c r="P50" t="s">
        <v>220</v>
      </c>
      <c r="Q50" t="s">
        <v>220</v>
      </c>
      <c r="R50" t="s">
        <v>220</v>
      </c>
      <c r="S50" t="s">
        <v>220</v>
      </c>
      <c r="T50" t="s">
        <v>220</v>
      </c>
      <c r="U50" t="s">
        <v>220</v>
      </c>
      <c r="V50" t="s">
        <v>220</v>
      </c>
      <c r="W50" t="s">
        <v>220</v>
      </c>
      <c r="X50" t="s">
        <v>220</v>
      </c>
      <c r="Y50" t="s">
        <v>220</v>
      </c>
      <c r="Z50" t="s">
        <v>220</v>
      </c>
      <c r="AA50" t="s">
        <v>220</v>
      </c>
      <c r="AB50" t="s">
        <v>220</v>
      </c>
      <c r="AC50" t="s">
        <v>220</v>
      </c>
      <c r="AD50" t="s">
        <v>220</v>
      </c>
      <c r="AE50" t="s">
        <v>220</v>
      </c>
      <c r="AF50" t="s">
        <v>220</v>
      </c>
      <c r="AG50" t="s">
        <v>220</v>
      </c>
      <c r="AH50" t="s">
        <v>220</v>
      </c>
      <c r="AI50" t="s">
        <v>220</v>
      </c>
      <c r="AJ50" t="s">
        <v>220</v>
      </c>
      <c r="AK50" t="s">
        <v>220</v>
      </c>
      <c r="AL50" t="s">
        <v>220</v>
      </c>
      <c r="AM50" t="s">
        <v>220</v>
      </c>
      <c r="AN50" t="s">
        <v>220</v>
      </c>
      <c r="AO50" t="s">
        <v>220</v>
      </c>
      <c r="AP50" t="s">
        <v>220</v>
      </c>
      <c r="AQ50" t="s">
        <v>220</v>
      </c>
      <c r="AR50" t="s">
        <v>220</v>
      </c>
      <c r="AS50" t="s">
        <v>220</v>
      </c>
      <c r="AT50" t="s">
        <v>220</v>
      </c>
      <c r="AU50" t="s">
        <v>220</v>
      </c>
      <c r="AV50" t="s">
        <v>220</v>
      </c>
      <c r="AW50" t="s">
        <v>220</v>
      </c>
    </row>
    <row r="51" spans="2:49">
      <c r="B51" s="13">
        <v>45949</v>
      </c>
      <c r="C51" t="s">
        <v>220</v>
      </c>
      <c r="D51" t="s">
        <v>220</v>
      </c>
      <c r="E51" t="s">
        <v>220</v>
      </c>
      <c r="F51" t="s">
        <v>220</v>
      </c>
      <c r="G51" t="s">
        <v>220</v>
      </c>
      <c r="H51" t="s">
        <v>220</v>
      </c>
      <c r="I51" t="s">
        <v>220</v>
      </c>
      <c r="J51" t="s">
        <v>220</v>
      </c>
      <c r="K51" t="s">
        <v>220</v>
      </c>
      <c r="L51" t="s">
        <v>220</v>
      </c>
      <c r="M51" t="s">
        <v>220</v>
      </c>
      <c r="N51" t="s">
        <v>220</v>
      </c>
      <c r="O51" t="s">
        <v>220</v>
      </c>
      <c r="P51" t="s">
        <v>220</v>
      </c>
      <c r="Q51" t="s">
        <v>220</v>
      </c>
      <c r="R51" t="s">
        <v>220</v>
      </c>
      <c r="S51" t="s">
        <v>220</v>
      </c>
      <c r="T51" t="s">
        <v>220</v>
      </c>
      <c r="U51" t="s">
        <v>220</v>
      </c>
      <c r="V51" t="s">
        <v>220</v>
      </c>
      <c r="W51" t="s">
        <v>220</v>
      </c>
      <c r="X51" t="s">
        <v>220</v>
      </c>
      <c r="Y51" t="s">
        <v>220</v>
      </c>
      <c r="Z51" t="s">
        <v>220</v>
      </c>
      <c r="AA51" t="s">
        <v>220</v>
      </c>
      <c r="AB51" t="s">
        <v>220</v>
      </c>
      <c r="AC51" t="s">
        <v>220</v>
      </c>
      <c r="AD51" t="s">
        <v>220</v>
      </c>
      <c r="AE51" t="s">
        <v>220</v>
      </c>
      <c r="AF51" t="s">
        <v>220</v>
      </c>
      <c r="AG51" t="s">
        <v>220</v>
      </c>
      <c r="AH51" t="s">
        <v>220</v>
      </c>
      <c r="AI51" t="s">
        <v>220</v>
      </c>
      <c r="AJ51" t="s">
        <v>220</v>
      </c>
      <c r="AK51" t="s">
        <v>220</v>
      </c>
      <c r="AL51" t="s">
        <v>220</v>
      </c>
      <c r="AM51" t="s">
        <v>220</v>
      </c>
      <c r="AN51" t="s">
        <v>220</v>
      </c>
      <c r="AO51" t="s">
        <v>220</v>
      </c>
      <c r="AP51" t="s">
        <v>220</v>
      </c>
      <c r="AQ51" t="s">
        <v>220</v>
      </c>
      <c r="AR51" t="s">
        <v>220</v>
      </c>
      <c r="AS51" t="s">
        <v>220</v>
      </c>
      <c r="AT51" t="s">
        <v>220</v>
      </c>
      <c r="AU51" t="s">
        <v>220</v>
      </c>
      <c r="AV51" t="s">
        <v>220</v>
      </c>
      <c r="AW51" t="s">
        <v>220</v>
      </c>
    </row>
    <row r="52" spans="2:49">
      <c r="B52" s="13">
        <v>45950</v>
      </c>
      <c r="C52">
        <v>239.81</v>
      </c>
      <c r="D52">
        <v>4.53</v>
      </c>
      <c r="E52">
        <v>1.75</v>
      </c>
      <c r="F52">
        <v>2.48</v>
      </c>
      <c r="G52">
        <v>21.46</v>
      </c>
      <c r="H52">
        <v>3.35</v>
      </c>
      <c r="I52">
        <v>47.24</v>
      </c>
      <c r="J52">
        <v>6.9126000000000003</v>
      </c>
      <c r="K52">
        <v>49.92</v>
      </c>
      <c r="L52">
        <v>54.92</v>
      </c>
      <c r="M52">
        <v>253.57</v>
      </c>
      <c r="N52">
        <v>33.36</v>
      </c>
      <c r="O52">
        <v>30.22</v>
      </c>
      <c r="P52">
        <v>16.600000000000001</v>
      </c>
      <c r="Q52">
        <v>24.69</v>
      </c>
      <c r="R52">
        <v>25.65</v>
      </c>
      <c r="S52">
        <v>153.52000000000001</v>
      </c>
      <c r="T52">
        <v>62.88</v>
      </c>
      <c r="U52">
        <v>122.12</v>
      </c>
      <c r="V52">
        <v>45.77</v>
      </c>
      <c r="W52">
        <v>181.59</v>
      </c>
      <c r="X52">
        <v>57.68</v>
      </c>
      <c r="Y52">
        <v>45.2</v>
      </c>
      <c r="Z52">
        <v>347.22</v>
      </c>
      <c r="AA52">
        <v>0.55000000000000004</v>
      </c>
      <c r="AB52">
        <v>26.4</v>
      </c>
      <c r="AC52">
        <v>69.31</v>
      </c>
      <c r="AD52">
        <v>671.3</v>
      </c>
      <c r="AE52">
        <v>4.82</v>
      </c>
      <c r="AF52">
        <v>54.958399999999997</v>
      </c>
      <c r="AG52">
        <v>13.435</v>
      </c>
      <c r="AH52">
        <v>611.54</v>
      </c>
      <c r="AI52">
        <v>101.52</v>
      </c>
      <c r="AJ52">
        <v>111.96</v>
      </c>
      <c r="AK52">
        <v>118.14</v>
      </c>
      <c r="AL52">
        <v>216.48</v>
      </c>
      <c r="AM52">
        <v>53.945</v>
      </c>
      <c r="AN52">
        <v>25.01</v>
      </c>
      <c r="AO52">
        <v>55.03</v>
      </c>
      <c r="AP52">
        <v>6.33</v>
      </c>
      <c r="AQ52">
        <v>120.7</v>
      </c>
      <c r="AR52">
        <v>55.66</v>
      </c>
      <c r="AS52">
        <v>123.85599999999999</v>
      </c>
      <c r="AT52">
        <v>7.06</v>
      </c>
      <c r="AU52">
        <v>364.48</v>
      </c>
      <c r="AV52">
        <v>262.29000000000002</v>
      </c>
      <c r="AW52">
        <v>120.11</v>
      </c>
    </row>
    <row r="53" spans="2:49">
      <c r="B53" s="13">
        <v>45951</v>
      </c>
      <c r="C53">
        <v>242.84</v>
      </c>
      <c r="D53">
        <v>4.45</v>
      </c>
      <c r="E53">
        <v>1.82</v>
      </c>
      <c r="F53">
        <v>2.5</v>
      </c>
      <c r="G53">
        <v>21.48</v>
      </c>
      <c r="H53">
        <v>3.3</v>
      </c>
      <c r="I53">
        <v>46.81</v>
      </c>
      <c r="J53">
        <v>6.8251999999999997</v>
      </c>
      <c r="K53">
        <v>49.21</v>
      </c>
      <c r="L53">
        <v>54.31</v>
      </c>
      <c r="M53">
        <v>253.85</v>
      </c>
      <c r="N53">
        <v>33.08</v>
      </c>
      <c r="O53">
        <v>29.94</v>
      </c>
      <c r="P53">
        <v>16.34</v>
      </c>
      <c r="Q53">
        <v>24.85</v>
      </c>
      <c r="R53">
        <v>22.96</v>
      </c>
      <c r="S53">
        <v>154.88</v>
      </c>
      <c r="T53">
        <v>62.42</v>
      </c>
      <c r="U53">
        <v>119.14</v>
      </c>
      <c r="V53">
        <v>45.305</v>
      </c>
      <c r="W53">
        <v>181.51</v>
      </c>
      <c r="X53">
        <v>57.11</v>
      </c>
      <c r="Y53">
        <v>44.98</v>
      </c>
      <c r="Z53">
        <v>345.3</v>
      </c>
      <c r="AA53">
        <v>0.5</v>
      </c>
      <c r="AB53">
        <v>26.15</v>
      </c>
      <c r="AC53">
        <v>69.44</v>
      </c>
      <c r="AD53">
        <v>671.29</v>
      </c>
      <c r="AE53">
        <v>4.8</v>
      </c>
      <c r="AF53">
        <v>54.982500000000002</v>
      </c>
      <c r="AG53">
        <v>13.35</v>
      </c>
      <c r="AH53">
        <v>611.38</v>
      </c>
      <c r="AI53">
        <v>101.86</v>
      </c>
      <c r="AJ53">
        <v>114.3</v>
      </c>
      <c r="AK53">
        <v>119.58499999999999</v>
      </c>
      <c r="AL53">
        <v>222.03</v>
      </c>
      <c r="AM53">
        <v>53.884999999999998</v>
      </c>
      <c r="AN53">
        <v>25.135300000000001</v>
      </c>
      <c r="AO53">
        <v>55.02</v>
      </c>
      <c r="AP53">
        <v>6.36</v>
      </c>
      <c r="AQ53">
        <v>120.05</v>
      </c>
      <c r="AR53">
        <v>54.06</v>
      </c>
      <c r="AS53">
        <v>124.13500000000001</v>
      </c>
      <c r="AT53">
        <v>6.8</v>
      </c>
      <c r="AU53">
        <v>365.37</v>
      </c>
      <c r="AV53">
        <v>260.27999999999997</v>
      </c>
      <c r="AW53">
        <v>123.68</v>
      </c>
    </row>
    <row r="54" spans="2:49">
      <c r="B54" s="13">
        <v>45952</v>
      </c>
      <c r="C54">
        <v>239.41</v>
      </c>
      <c r="D54">
        <v>4.3499999999999996</v>
      </c>
      <c r="E54">
        <v>1.78</v>
      </c>
      <c r="F54">
        <v>2.46</v>
      </c>
      <c r="G54">
        <v>21.24</v>
      </c>
      <c r="H54">
        <v>3.3</v>
      </c>
      <c r="I54">
        <v>45.95</v>
      </c>
      <c r="J54">
        <v>6.8640999999999996</v>
      </c>
      <c r="K54">
        <v>49.34</v>
      </c>
      <c r="L54">
        <v>54.26</v>
      </c>
      <c r="M54">
        <v>253.04</v>
      </c>
      <c r="N54">
        <v>33.229999999999997</v>
      </c>
      <c r="O54">
        <v>30.03</v>
      </c>
      <c r="P54">
        <v>16.12</v>
      </c>
      <c r="Q54">
        <v>24.72</v>
      </c>
      <c r="R54">
        <v>22.9</v>
      </c>
      <c r="S54">
        <v>152.87</v>
      </c>
      <c r="T54">
        <v>62.23</v>
      </c>
      <c r="U54">
        <v>117.03</v>
      </c>
      <c r="V54">
        <v>45.2</v>
      </c>
      <c r="W54">
        <v>175.49</v>
      </c>
      <c r="X54">
        <v>57.14</v>
      </c>
      <c r="Y54">
        <v>44.91</v>
      </c>
      <c r="Z54">
        <v>338.6</v>
      </c>
      <c r="AA54">
        <v>0.496</v>
      </c>
      <c r="AB54">
        <v>26.2</v>
      </c>
      <c r="AC54">
        <v>69.040000000000006</v>
      </c>
      <c r="AD54">
        <v>667.8</v>
      </c>
      <c r="AE54">
        <v>4.82</v>
      </c>
      <c r="AF54">
        <v>55.002200000000002</v>
      </c>
      <c r="AG54">
        <v>13.305300000000001</v>
      </c>
      <c r="AH54">
        <v>605.49</v>
      </c>
      <c r="AI54">
        <v>102.09</v>
      </c>
      <c r="AJ54">
        <v>113.08</v>
      </c>
      <c r="AK54">
        <v>118.65</v>
      </c>
      <c r="AL54">
        <v>217.95</v>
      </c>
      <c r="AM54">
        <v>52.3</v>
      </c>
      <c r="AN54">
        <v>24.853200000000001</v>
      </c>
      <c r="AO54">
        <v>54.62</v>
      </c>
      <c r="AP54">
        <v>6.26</v>
      </c>
      <c r="AQ54">
        <v>120.21</v>
      </c>
      <c r="AR54">
        <v>55.07</v>
      </c>
      <c r="AS54">
        <v>111.637</v>
      </c>
      <c r="AT54">
        <v>6.84</v>
      </c>
      <c r="AU54">
        <v>361.49</v>
      </c>
      <c r="AV54">
        <v>255.56</v>
      </c>
      <c r="AW54">
        <v>123.3</v>
      </c>
    </row>
    <row r="55" spans="2:49">
      <c r="B55" s="13">
        <v>45953</v>
      </c>
      <c r="C55">
        <v>238.17</v>
      </c>
      <c r="D55">
        <v>4.3499999999999996</v>
      </c>
      <c r="E55">
        <v>1.78</v>
      </c>
      <c r="F55">
        <v>2.4500000000000002</v>
      </c>
      <c r="G55">
        <v>21.47</v>
      </c>
      <c r="H55">
        <v>3.32</v>
      </c>
      <c r="I55">
        <v>46.53</v>
      </c>
      <c r="J55">
        <v>6.8932000000000002</v>
      </c>
      <c r="K55">
        <v>49.57</v>
      </c>
      <c r="L55">
        <v>54.74</v>
      </c>
      <c r="M55">
        <v>257.93</v>
      </c>
      <c r="N55">
        <v>33.380000000000003</v>
      </c>
      <c r="O55">
        <v>30.47</v>
      </c>
      <c r="P55">
        <v>16.34</v>
      </c>
      <c r="Q55">
        <v>24.67</v>
      </c>
      <c r="R55">
        <v>22.91</v>
      </c>
      <c r="S55">
        <v>154.78</v>
      </c>
      <c r="T55">
        <v>62.68</v>
      </c>
      <c r="U55">
        <v>120.48</v>
      </c>
      <c r="V55">
        <v>45.164999999999999</v>
      </c>
      <c r="W55">
        <v>180.48</v>
      </c>
      <c r="X55">
        <v>57.17</v>
      </c>
      <c r="Y55">
        <v>45.27</v>
      </c>
      <c r="Z55">
        <v>344.8</v>
      </c>
      <c r="AA55">
        <v>0.54</v>
      </c>
      <c r="AB55">
        <v>25.9</v>
      </c>
      <c r="AC55">
        <v>69.48</v>
      </c>
      <c r="AD55">
        <v>671.76</v>
      </c>
      <c r="AE55">
        <v>4.82</v>
      </c>
      <c r="AF55">
        <v>54.9604</v>
      </c>
      <c r="AG55">
        <v>13.49</v>
      </c>
      <c r="AH55">
        <v>610.58000000000004</v>
      </c>
      <c r="AI55">
        <v>101.76</v>
      </c>
      <c r="AJ55">
        <v>113.03</v>
      </c>
      <c r="AK55">
        <v>119.185</v>
      </c>
      <c r="AL55">
        <v>221.09</v>
      </c>
      <c r="AM55">
        <v>53.61</v>
      </c>
      <c r="AN55">
        <v>25.0823</v>
      </c>
      <c r="AO55">
        <v>55.22</v>
      </c>
      <c r="AP55">
        <v>6.25</v>
      </c>
      <c r="AQ55">
        <v>118.76</v>
      </c>
      <c r="AR55">
        <v>55.84</v>
      </c>
      <c r="AS55">
        <v>111.35899999999999</v>
      </c>
      <c r="AT55">
        <v>6.89</v>
      </c>
      <c r="AU55">
        <v>360.45</v>
      </c>
      <c r="AV55">
        <v>254.53</v>
      </c>
      <c r="AW55">
        <v>120.96</v>
      </c>
    </row>
    <row r="56" spans="2:49">
      <c r="B56" s="13">
        <v>45954</v>
      </c>
      <c r="C56">
        <v>241.15</v>
      </c>
      <c r="D56">
        <v>4.3</v>
      </c>
      <c r="E56" t="s">
        <v>220</v>
      </c>
      <c r="F56">
        <v>2.4500000000000002</v>
      </c>
      <c r="G56">
        <v>21.62</v>
      </c>
      <c r="H56">
        <v>3.3</v>
      </c>
      <c r="I56">
        <v>48.1</v>
      </c>
      <c r="J56">
        <v>6.8640999999999996</v>
      </c>
      <c r="K56">
        <v>49.7</v>
      </c>
      <c r="L56">
        <v>55.1</v>
      </c>
      <c r="M56">
        <v>256.8</v>
      </c>
      <c r="N56">
        <v>33.549999999999997</v>
      </c>
      <c r="O56">
        <v>30.48</v>
      </c>
      <c r="P56">
        <v>16.7</v>
      </c>
      <c r="Q56">
        <v>24.76</v>
      </c>
      <c r="R56">
        <v>22.47</v>
      </c>
      <c r="S56">
        <v>154.91</v>
      </c>
      <c r="T56">
        <v>62.65</v>
      </c>
      <c r="U56">
        <v>122.76</v>
      </c>
      <c r="V56">
        <v>45.695</v>
      </c>
      <c r="W56">
        <v>184.63</v>
      </c>
      <c r="X56">
        <v>57.12</v>
      </c>
      <c r="Y56">
        <v>45.11</v>
      </c>
      <c r="Z56">
        <v>351.14</v>
      </c>
      <c r="AA56">
        <v>0.51</v>
      </c>
      <c r="AB56">
        <v>25.5</v>
      </c>
      <c r="AC56">
        <v>69.849999999999994</v>
      </c>
      <c r="AD56">
        <v>677.25</v>
      </c>
      <c r="AE56">
        <v>4.82</v>
      </c>
      <c r="AF56">
        <v>55.119199999999999</v>
      </c>
      <c r="AG56">
        <v>13.5318</v>
      </c>
      <c r="AH56">
        <v>617.1</v>
      </c>
      <c r="AI56">
        <v>102.18</v>
      </c>
      <c r="AJ56">
        <v>111.68</v>
      </c>
      <c r="AK56">
        <v>118.83</v>
      </c>
      <c r="AL56">
        <v>224.21</v>
      </c>
      <c r="AM56">
        <v>55.28</v>
      </c>
      <c r="AN56">
        <v>25.67</v>
      </c>
      <c r="AO56">
        <v>56.55</v>
      </c>
      <c r="AP56">
        <v>6.16</v>
      </c>
      <c r="AQ56">
        <v>118.93</v>
      </c>
      <c r="AR56">
        <v>56.07</v>
      </c>
      <c r="AS56">
        <v>109.46899999999999</v>
      </c>
      <c r="AT56">
        <v>6.9</v>
      </c>
      <c r="AU56">
        <v>362.5</v>
      </c>
      <c r="AV56">
        <v>255.12</v>
      </c>
      <c r="AW56">
        <v>121.24</v>
      </c>
    </row>
    <row r="57" spans="2:49">
      <c r="B57" s="13">
        <v>45955</v>
      </c>
      <c r="C57" t="s">
        <v>220</v>
      </c>
      <c r="D57" t="s">
        <v>220</v>
      </c>
      <c r="E57" t="s">
        <v>220</v>
      </c>
      <c r="F57" t="s">
        <v>220</v>
      </c>
      <c r="G57" t="s">
        <v>220</v>
      </c>
      <c r="H57" t="s">
        <v>220</v>
      </c>
      <c r="I57" t="s">
        <v>220</v>
      </c>
      <c r="J57" t="s">
        <v>220</v>
      </c>
      <c r="K57" t="s">
        <v>220</v>
      </c>
      <c r="L57" t="s">
        <v>220</v>
      </c>
      <c r="M57" t="s">
        <v>220</v>
      </c>
      <c r="N57" t="s">
        <v>220</v>
      </c>
      <c r="O57" t="s">
        <v>220</v>
      </c>
      <c r="P57" t="s">
        <v>220</v>
      </c>
      <c r="Q57" t="s">
        <v>220</v>
      </c>
      <c r="R57" t="s">
        <v>220</v>
      </c>
      <c r="S57" t="s">
        <v>220</v>
      </c>
      <c r="T57" t="s">
        <v>220</v>
      </c>
      <c r="U57" t="s">
        <v>220</v>
      </c>
      <c r="V57" t="s">
        <v>220</v>
      </c>
      <c r="W57" t="s">
        <v>220</v>
      </c>
      <c r="X57" t="s">
        <v>220</v>
      </c>
      <c r="Y57" t="s">
        <v>220</v>
      </c>
      <c r="Z57" t="s">
        <v>220</v>
      </c>
      <c r="AA57" t="s">
        <v>220</v>
      </c>
      <c r="AB57" t="s">
        <v>220</v>
      </c>
      <c r="AC57" t="s">
        <v>220</v>
      </c>
      <c r="AD57" t="s">
        <v>220</v>
      </c>
      <c r="AE57" t="s">
        <v>220</v>
      </c>
      <c r="AF57" t="s">
        <v>220</v>
      </c>
      <c r="AG57" t="s">
        <v>220</v>
      </c>
      <c r="AH57" t="s">
        <v>220</v>
      </c>
      <c r="AI57" t="s">
        <v>220</v>
      </c>
      <c r="AJ57" t="s">
        <v>220</v>
      </c>
      <c r="AK57" t="s">
        <v>220</v>
      </c>
      <c r="AL57" t="s">
        <v>220</v>
      </c>
      <c r="AM57" t="s">
        <v>220</v>
      </c>
      <c r="AN57" t="s">
        <v>220</v>
      </c>
      <c r="AO57" t="s">
        <v>220</v>
      </c>
      <c r="AP57" t="s">
        <v>220</v>
      </c>
      <c r="AQ57" t="s">
        <v>220</v>
      </c>
      <c r="AR57" t="s">
        <v>220</v>
      </c>
      <c r="AS57" t="s">
        <v>220</v>
      </c>
      <c r="AT57" t="s">
        <v>220</v>
      </c>
      <c r="AU57" t="s">
        <v>220</v>
      </c>
      <c r="AV57" t="s">
        <v>220</v>
      </c>
      <c r="AW57" t="s">
        <v>220</v>
      </c>
    </row>
    <row r="58" spans="2:49">
      <c r="B58" s="13">
        <v>45956</v>
      </c>
      <c r="C58" t="s">
        <v>220</v>
      </c>
      <c r="D58" t="s">
        <v>220</v>
      </c>
      <c r="E58" t="s">
        <v>220</v>
      </c>
      <c r="F58" t="s">
        <v>220</v>
      </c>
      <c r="G58" t="s">
        <v>220</v>
      </c>
      <c r="H58" t="s">
        <v>220</v>
      </c>
      <c r="I58" t="s">
        <v>220</v>
      </c>
      <c r="J58" t="s">
        <v>220</v>
      </c>
      <c r="K58" t="s">
        <v>220</v>
      </c>
      <c r="L58" t="s">
        <v>220</v>
      </c>
      <c r="M58" t="s">
        <v>220</v>
      </c>
      <c r="N58" t="s">
        <v>220</v>
      </c>
      <c r="O58" t="s">
        <v>220</v>
      </c>
      <c r="P58" t="s">
        <v>220</v>
      </c>
      <c r="Q58" t="s">
        <v>220</v>
      </c>
      <c r="R58" t="s">
        <v>220</v>
      </c>
      <c r="S58" t="s">
        <v>220</v>
      </c>
      <c r="T58" t="s">
        <v>220</v>
      </c>
      <c r="U58" t="s">
        <v>220</v>
      </c>
      <c r="V58" t="s">
        <v>220</v>
      </c>
      <c r="W58" t="s">
        <v>220</v>
      </c>
      <c r="X58" t="s">
        <v>220</v>
      </c>
      <c r="Y58" t="s">
        <v>220</v>
      </c>
      <c r="Z58" t="s">
        <v>220</v>
      </c>
      <c r="AA58" t="s">
        <v>220</v>
      </c>
      <c r="AB58" t="s">
        <v>220</v>
      </c>
      <c r="AC58" t="s">
        <v>220</v>
      </c>
      <c r="AD58" t="s">
        <v>220</v>
      </c>
      <c r="AE58" t="s">
        <v>220</v>
      </c>
      <c r="AF58" t="s">
        <v>220</v>
      </c>
      <c r="AG58" t="s">
        <v>220</v>
      </c>
      <c r="AH58" t="s">
        <v>220</v>
      </c>
      <c r="AI58" t="s">
        <v>220</v>
      </c>
      <c r="AJ58" t="s">
        <v>220</v>
      </c>
      <c r="AK58" t="s">
        <v>220</v>
      </c>
      <c r="AL58" t="s">
        <v>220</v>
      </c>
      <c r="AM58" t="s">
        <v>220</v>
      </c>
      <c r="AN58" t="s">
        <v>220</v>
      </c>
      <c r="AO58" t="s">
        <v>220</v>
      </c>
      <c r="AP58" t="s">
        <v>220</v>
      </c>
      <c r="AQ58" t="s">
        <v>220</v>
      </c>
      <c r="AR58" t="s">
        <v>220</v>
      </c>
      <c r="AS58" t="s">
        <v>220</v>
      </c>
      <c r="AT58" t="s">
        <v>220</v>
      </c>
      <c r="AU58" t="s">
        <v>220</v>
      </c>
      <c r="AV58" t="s">
        <v>220</v>
      </c>
      <c r="AW58" t="s">
        <v>220</v>
      </c>
    </row>
    <row r="59" spans="2:49">
      <c r="B59" s="13">
        <v>45957</v>
      </c>
      <c r="C59">
        <v>247.34</v>
      </c>
      <c r="D59">
        <v>4.2300000000000004</v>
      </c>
      <c r="E59" t="s">
        <v>220</v>
      </c>
      <c r="F59">
        <v>2.4500000000000002</v>
      </c>
      <c r="G59">
        <v>23.02</v>
      </c>
      <c r="H59">
        <v>3.32</v>
      </c>
      <c r="I59">
        <v>48.91</v>
      </c>
      <c r="J59">
        <v>6.9320000000000004</v>
      </c>
      <c r="K59">
        <v>50.23</v>
      </c>
      <c r="L59">
        <v>55.71</v>
      </c>
      <c r="M59">
        <v>256.49</v>
      </c>
      <c r="N59">
        <v>33.94</v>
      </c>
      <c r="O59">
        <v>30.77</v>
      </c>
      <c r="P59">
        <v>16.75</v>
      </c>
      <c r="Q59">
        <v>24.77</v>
      </c>
      <c r="R59">
        <v>21.5</v>
      </c>
      <c r="S59">
        <v>155.79</v>
      </c>
      <c r="T59">
        <v>63.13</v>
      </c>
      <c r="U59">
        <v>128.66</v>
      </c>
      <c r="V59">
        <v>45.82</v>
      </c>
      <c r="W59">
        <v>189.18</v>
      </c>
      <c r="X59">
        <v>56.94</v>
      </c>
      <c r="Y59">
        <v>45.33</v>
      </c>
      <c r="Z59">
        <v>359.94</v>
      </c>
      <c r="AA59">
        <v>0.498</v>
      </c>
      <c r="AB59">
        <v>25.8</v>
      </c>
      <c r="AC59">
        <v>70.11</v>
      </c>
      <c r="AD59">
        <v>685.24</v>
      </c>
      <c r="AE59">
        <v>4.79</v>
      </c>
      <c r="AF59">
        <v>55.671599999999998</v>
      </c>
      <c r="AG59">
        <v>13.7</v>
      </c>
      <c r="AH59">
        <v>628.09</v>
      </c>
      <c r="AI59">
        <v>102.21</v>
      </c>
      <c r="AJ59">
        <v>112.34</v>
      </c>
      <c r="AK59">
        <v>120.54</v>
      </c>
      <c r="AL59">
        <v>226.97</v>
      </c>
      <c r="AM59">
        <v>58.215000000000003</v>
      </c>
      <c r="AN59">
        <v>26.215</v>
      </c>
      <c r="AO59">
        <v>57.94</v>
      </c>
      <c r="AP59">
        <v>6.03</v>
      </c>
      <c r="AQ59">
        <v>120.62</v>
      </c>
      <c r="AR59">
        <v>56.92</v>
      </c>
      <c r="AS59">
        <v>109.456</v>
      </c>
      <c r="AT59">
        <v>7.04</v>
      </c>
      <c r="AU59">
        <v>365.98</v>
      </c>
      <c r="AV59">
        <v>254.27</v>
      </c>
      <c r="AW59">
        <v>122.26</v>
      </c>
    </row>
    <row r="60" spans="2:49">
      <c r="B60" s="13">
        <v>45958</v>
      </c>
      <c r="C60">
        <v>249.55</v>
      </c>
      <c r="D60">
        <v>4.22</v>
      </c>
      <c r="E60" t="s">
        <v>220</v>
      </c>
      <c r="F60">
        <v>2.4500000000000002</v>
      </c>
      <c r="G60">
        <v>23.34</v>
      </c>
      <c r="H60">
        <v>3.31</v>
      </c>
      <c r="I60">
        <v>48.45</v>
      </c>
      <c r="J60">
        <v>6.9611999999999998</v>
      </c>
      <c r="K60">
        <v>50.6</v>
      </c>
      <c r="L60">
        <v>55.69</v>
      </c>
      <c r="M60">
        <v>260.33999999999997</v>
      </c>
      <c r="N60">
        <v>34.04</v>
      </c>
      <c r="O60">
        <v>30.92</v>
      </c>
      <c r="P60">
        <v>16.89</v>
      </c>
      <c r="Q60">
        <v>24.5</v>
      </c>
      <c r="R60">
        <v>22.11</v>
      </c>
      <c r="S60">
        <v>154.68</v>
      </c>
      <c r="T60">
        <v>63.04</v>
      </c>
      <c r="U60">
        <v>126.82</v>
      </c>
      <c r="V60">
        <v>45.064999999999998</v>
      </c>
      <c r="W60">
        <v>189.6</v>
      </c>
      <c r="X60">
        <v>56.17</v>
      </c>
      <c r="Y60">
        <v>45.14</v>
      </c>
      <c r="Z60">
        <v>363.11</v>
      </c>
      <c r="AA60">
        <v>0.49399999999999999</v>
      </c>
      <c r="AB60">
        <v>25.8</v>
      </c>
      <c r="AC60">
        <v>69.62</v>
      </c>
      <c r="AD60">
        <v>687.06</v>
      </c>
      <c r="AE60">
        <v>4.8</v>
      </c>
      <c r="AF60">
        <v>55.255499999999998</v>
      </c>
      <c r="AG60">
        <v>13.645</v>
      </c>
      <c r="AH60">
        <v>632.91999999999996</v>
      </c>
      <c r="AI60">
        <v>101.45</v>
      </c>
      <c r="AJ60">
        <v>111.65</v>
      </c>
      <c r="AK60">
        <v>120.57</v>
      </c>
      <c r="AL60">
        <v>229.25</v>
      </c>
      <c r="AM60">
        <v>59.545000000000002</v>
      </c>
      <c r="AN60">
        <v>26.13</v>
      </c>
      <c r="AO60">
        <v>57.98</v>
      </c>
      <c r="AP60">
        <v>6.11</v>
      </c>
      <c r="AQ60">
        <v>120.66</v>
      </c>
      <c r="AR60">
        <v>56.73</v>
      </c>
      <c r="AS60">
        <v>110.25</v>
      </c>
      <c r="AT60">
        <v>7.09</v>
      </c>
      <c r="AU60">
        <v>367.84</v>
      </c>
      <c r="AV60">
        <v>251.57</v>
      </c>
      <c r="AW60">
        <v>120.61</v>
      </c>
    </row>
    <row r="61" spans="2:49">
      <c r="B61" s="13">
        <v>45959</v>
      </c>
      <c r="C61">
        <v>249.64</v>
      </c>
      <c r="D61">
        <v>4.28</v>
      </c>
      <c r="E61" t="s">
        <v>220</v>
      </c>
      <c r="F61">
        <v>2.4500000000000002</v>
      </c>
      <c r="G61">
        <v>23.18</v>
      </c>
      <c r="H61">
        <v>3.32</v>
      </c>
      <c r="I61">
        <v>48.6</v>
      </c>
      <c r="J61">
        <v>7.1359000000000004</v>
      </c>
      <c r="K61">
        <v>50.65</v>
      </c>
      <c r="L61">
        <v>56.01</v>
      </c>
      <c r="M61">
        <v>263.36</v>
      </c>
      <c r="N61">
        <v>34.06</v>
      </c>
      <c r="O61">
        <v>31.18</v>
      </c>
      <c r="P61">
        <v>17.32</v>
      </c>
      <c r="Q61">
        <v>24.29</v>
      </c>
      <c r="R61">
        <v>22.26</v>
      </c>
      <c r="S61">
        <v>155.08000000000001</v>
      </c>
      <c r="T61">
        <v>62.83</v>
      </c>
      <c r="U61">
        <v>127.6</v>
      </c>
      <c r="V61">
        <v>45.05</v>
      </c>
      <c r="W61">
        <v>198.81</v>
      </c>
      <c r="X61">
        <v>55.66</v>
      </c>
      <c r="Y61">
        <v>44.86</v>
      </c>
      <c r="Z61">
        <v>368.61</v>
      </c>
      <c r="AA61">
        <v>0.5</v>
      </c>
      <c r="AB61">
        <v>25.8</v>
      </c>
      <c r="AC61">
        <v>69.41</v>
      </c>
      <c r="AD61">
        <v>687.39</v>
      </c>
      <c r="AE61">
        <v>4.82</v>
      </c>
      <c r="AF61">
        <v>54.741399999999999</v>
      </c>
      <c r="AG61">
        <v>13.654299999999999</v>
      </c>
      <c r="AH61">
        <v>635.77</v>
      </c>
      <c r="AI61">
        <v>101.19</v>
      </c>
      <c r="AJ61">
        <v>110.24</v>
      </c>
      <c r="AK61">
        <v>119.575</v>
      </c>
      <c r="AL61">
        <v>230.3</v>
      </c>
      <c r="AM61">
        <v>60.305</v>
      </c>
      <c r="AN61">
        <v>26.364999999999998</v>
      </c>
      <c r="AO61">
        <v>58.39</v>
      </c>
      <c r="AP61">
        <v>5.92</v>
      </c>
      <c r="AQ61">
        <v>116.72</v>
      </c>
      <c r="AR61">
        <v>57.4</v>
      </c>
      <c r="AS61">
        <v>110.041</v>
      </c>
      <c r="AT61">
        <v>7.14</v>
      </c>
      <c r="AU61">
        <v>355.26</v>
      </c>
      <c r="AV61">
        <v>251.73</v>
      </c>
      <c r="AW61">
        <v>118.55</v>
      </c>
    </row>
    <row r="62" spans="2:49">
      <c r="B62" s="13">
        <v>45960</v>
      </c>
      <c r="C62">
        <v>248.93</v>
      </c>
      <c r="D62">
        <v>4.37</v>
      </c>
      <c r="E62">
        <v>1.65</v>
      </c>
      <c r="F62">
        <v>2.44</v>
      </c>
      <c r="G62">
        <v>22.95</v>
      </c>
      <c r="H62">
        <v>3.32</v>
      </c>
      <c r="I62">
        <v>47.73</v>
      </c>
      <c r="J62">
        <v>7.1165000000000003</v>
      </c>
      <c r="K62">
        <v>50.28</v>
      </c>
      <c r="L62">
        <v>55.43</v>
      </c>
      <c r="M62">
        <v>260</v>
      </c>
      <c r="N62">
        <v>33.97</v>
      </c>
      <c r="O62">
        <v>31.05</v>
      </c>
      <c r="P62">
        <v>17.03</v>
      </c>
      <c r="Q62">
        <v>24.29</v>
      </c>
      <c r="R62">
        <v>22.73</v>
      </c>
      <c r="S62">
        <v>154.69</v>
      </c>
      <c r="T62">
        <v>62.42</v>
      </c>
      <c r="U62">
        <v>121.81</v>
      </c>
      <c r="V62">
        <v>44.86</v>
      </c>
      <c r="W62">
        <v>194.55</v>
      </c>
      <c r="X62">
        <v>55.6</v>
      </c>
      <c r="Y62">
        <v>44.44</v>
      </c>
      <c r="Z62">
        <v>363.73</v>
      </c>
      <c r="AA62">
        <v>0.51</v>
      </c>
      <c r="AB62">
        <v>25.8</v>
      </c>
      <c r="AC62">
        <v>69.069999999999993</v>
      </c>
      <c r="AD62">
        <v>679.83</v>
      </c>
      <c r="AE62">
        <v>4.82</v>
      </c>
      <c r="AF62">
        <v>54.983400000000003</v>
      </c>
      <c r="AG62">
        <v>13.65</v>
      </c>
      <c r="AH62">
        <v>626.04999999999995</v>
      </c>
      <c r="AI62">
        <v>103.09</v>
      </c>
      <c r="AJ62">
        <v>111.84</v>
      </c>
      <c r="AK62">
        <v>116.875</v>
      </c>
      <c r="AL62">
        <v>222.86</v>
      </c>
      <c r="AM62">
        <v>57.545000000000002</v>
      </c>
      <c r="AN62">
        <v>25.785499999999999</v>
      </c>
      <c r="AO62">
        <v>57.11</v>
      </c>
      <c r="AP62">
        <v>5.79</v>
      </c>
      <c r="AQ62">
        <v>120.21</v>
      </c>
      <c r="AR62">
        <v>57.87</v>
      </c>
      <c r="AS62">
        <v>108.9</v>
      </c>
      <c r="AT62">
        <v>7.01</v>
      </c>
      <c r="AU62">
        <v>344.75</v>
      </c>
      <c r="AV62">
        <v>252.78</v>
      </c>
      <c r="AW62">
        <v>118.11</v>
      </c>
    </row>
    <row r="63" spans="2:49">
      <c r="B63" s="13">
        <v>45961</v>
      </c>
      <c r="C63">
        <v>253.82</v>
      </c>
      <c r="D63">
        <v>4.3</v>
      </c>
      <c r="E63" t="s">
        <v>220</v>
      </c>
      <c r="F63">
        <v>2.46</v>
      </c>
      <c r="G63">
        <v>23.49</v>
      </c>
      <c r="H63">
        <v>3.29</v>
      </c>
      <c r="I63">
        <v>49.12</v>
      </c>
      <c r="J63">
        <v>7.1456</v>
      </c>
      <c r="K63">
        <v>50.17</v>
      </c>
      <c r="L63">
        <v>55.3</v>
      </c>
      <c r="M63">
        <v>261</v>
      </c>
      <c r="N63">
        <v>33.85</v>
      </c>
      <c r="O63">
        <v>31.17</v>
      </c>
      <c r="P63">
        <v>17.3</v>
      </c>
      <c r="Q63">
        <v>24.65</v>
      </c>
      <c r="R63">
        <v>22.77</v>
      </c>
      <c r="S63">
        <v>155.06</v>
      </c>
      <c r="T63">
        <v>62.17</v>
      </c>
      <c r="U63">
        <v>120.87</v>
      </c>
      <c r="V63">
        <v>44.55</v>
      </c>
      <c r="W63">
        <v>200.47</v>
      </c>
      <c r="X63">
        <v>55.36</v>
      </c>
      <c r="Y63">
        <v>44.28</v>
      </c>
      <c r="Z63">
        <v>363.02</v>
      </c>
      <c r="AA63">
        <v>0.53</v>
      </c>
      <c r="AB63">
        <v>25.5</v>
      </c>
      <c r="AC63">
        <v>69.349999999999994</v>
      </c>
      <c r="AD63">
        <v>682.06</v>
      </c>
      <c r="AE63">
        <v>4.8099999999999996</v>
      </c>
      <c r="AF63">
        <v>54.834000000000003</v>
      </c>
      <c r="AG63">
        <v>13.725</v>
      </c>
      <c r="AH63">
        <v>629.07000000000005</v>
      </c>
      <c r="AI63">
        <v>104</v>
      </c>
      <c r="AJ63">
        <v>112.62</v>
      </c>
      <c r="AK63">
        <v>119.965</v>
      </c>
      <c r="AL63">
        <v>244.22</v>
      </c>
      <c r="AM63">
        <v>58.36</v>
      </c>
      <c r="AN63">
        <v>25.344999999999999</v>
      </c>
      <c r="AO63">
        <v>56.11</v>
      </c>
      <c r="AP63">
        <v>5.91</v>
      </c>
      <c r="AQ63">
        <v>119.71</v>
      </c>
      <c r="AR63">
        <v>58.04</v>
      </c>
      <c r="AS63">
        <v>111.886</v>
      </c>
      <c r="AT63">
        <v>7.25</v>
      </c>
      <c r="AU63">
        <v>341.56</v>
      </c>
      <c r="AV63">
        <v>256.37</v>
      </c>
      <c r="AW63">
        <v>118.33</v>
      </c>
    </row>
    <row r="64" spans="2:49">
      <c r="B64" s="13">
        <v>45962</v>
      </c>
      <c r="C64" t="s">
        <v>220</v>
      </c>
      <c r="D64" t="s">
        <v>220</v>
      </c>
      <c r="E64" t="s">
        <v>220</v>
      </c>
      <c r="F64" t="s">
        <v>220</v>
      </c>
      <c r="G64" t="s">
        <v>220</v>
      </c>
      <c r="H64" t="s">
        <v>220</v>
      </c>
      <c r="I64" t="s">
        <v>220</v>
      </c>
      <c r="J64" t="s">
        <v>220</v>
      </c>
      <c r="K64" t="s">
        <v>220</v>
      </c>
      <c r="L64" t="s">
        <v>220</v>
      </c>
      <c r="M64" t="s">
        <v>220</v>
      </c>
      <c r="N64" t="s">
        <v>220</v>
      </c>
      <c r="O64" t="s">
        <v>220</v>
      </c>
      <c r="P64" t="s">
        <v>220</v>
      </c>
      <c r="Q64" t="s">
        <v>220</v>
      </c>
      <c r="R64" t="s">
        <v>220</v>
      </c>
      <c r="S64" t="s">
        <v>220</v>
      </c>
      <c r="T64" t="s">
        <v>220</v>
      </c>
      <c r="U64" t="s">
        <v>220</v>
      </c>
      <c r="V64" t="s">
        <v>220</v>
      </c>
      <c r="W64" t="s">
        <v>220</v>
      </c>
      <c r="X64" t="s">
        <v>220</v>
      </c>
      <c r="Y64" t="s">
        <v>220</v>
      </c>
      <c r="Z64" t="s">
        <v>220</v>
      </c>
      <c r="AA64" t="s">
        <v>220</v>
      </c>
      <c r="AB64" t="s">
        <v>220</v>
      </c>
      <c r="AC64" t="s">
        <v>220</v>
      </c>
      <c r="AD64" t="s">
        <v>220</v>
      </c>
      <c r="AE64" t="s">
        <v>220</v>
      </c>
      <c r="AF64" t="s">
        <v>220</v>
      </c>
      <c r="AG64" t="s">
        <v>220</v>
      </c>
      <c r="AH64" t="s">
        <v>220</v>
      </c>
      <c r="AI64" t="s">
        <v>220</v>
      </c>
      <c r="AJ64" t="s">
        <v>220</v>
      </c>
      <c r="AK64" t="s">
        <v>220</v>
      </c>
      <c r="AL64" t="s">
        <v>220</v>
      </c>
      <c r="AM64" t="s">
        <v>220</v>
      </c>
      <c r="AN64" t="s">
        <v>220</v>
      </c>
      <c r="AO64" t="s">
        <v>220</v>
      </c>
      <c r="AP64" t="s">
        <v>220</v>
      </c>
      <c r="AQ64" t="s">
        <v>220</v>
      </c>
      <c r="AR64" t="s">
        <v>220</v>
      </c>
      <c r="AS64" t="s">
        <v>220</v>
      </c>
      <c r="AT64" t="s">
        <v>220</v>
      </c>
      <c r="AU64" t="s">
        <v>220</v>
      </c>
      <c r="AV64" t="s">
        <v>220</v>
      </c>
      <c r="AW64" t="s">
        <v>220</v>
      </c>
    </row>
    <row r="65" spans="2:49">
      <c r="B65" s="13">
        <v>45963</v>
      </c>
      <c r="C65" t="s">
        <v>220</v>
      </c>
      <c r="D65" t="s">
        <v>220</v>
      </c>
      <c r="E65" t="s">
        <v>220</v>
      </c>
      <c r="F65" t="s">
        <v>220</v>
      </c>
      <c r="G65" t="s">
        <v>220</v>
      </c>
      <c r="H65" t="s">
        <v>220</v>
      </c>
      <c r="I65" t="s">
        <v>220</v>
      </c>
      <c r="J65" t="s">
        <v>220</v>
      </c>
      <c r="K65" t="s">
        <v>220</v>
      </c>
      <c r="L65" t="s">
        <v>220</v>
      </c>
      <c r="M65" t="s">
        <v>220</v>
      </c>
      <c r="N65" t="s">
        <v>220</v>
      </c>
      <c r="O65" t="s">
        <v>220</v>
      </c>
      <c r="P65" t="s">
        <v>220</v>
      </c>
      <c r="Q65" t="s">
        <v>220</v>
      </c>
      <c r="R65" t="s">
        <v>220</v>
      </c>
      <c r="S65" t="s">
        <v>220</v>
      </c>
      <c r="T65" t="s">
        <v>220</v>
      </c>
      <c r="U65" t="s">
        <v>220</v>
      </c>
      <c r="V65" t="s">
        <v>220</v>
      </c>
      <c r="W65" t="s">
        <v>220</v>
      </c>
      <c r="X65" t="s">
        <v>220</v>
      </c>
      <c r="Y65" t="s">
        <v>220</v>
      </c>
      <c r="Z65" t="s">
        <v>220</v>
      </c>
      <c r="AA65" t="s">
        <v>220</v>
      </c>
      <c r="AB65" t="s">
        <v>220</v>
      </c>
      <c r="AC65" t="s">
        <v>220</v>
      </c>
      <c r="AD65" t="s">
        <v>220</v>
      </c>
      <c r="AE65" t="s">
        <v>220</v>
      </c>
      <c r="AF65" t="s">
        <v>220</v>
      </c>
      <c r="AG65" t="s">
        <v>220</v>
      </c>
      <c r="AH65" t="s">
        <v>220</v>
      </c>
      <c r="AI65" t="s">
        <v>220</v>
      </c>
      <c r="AJ65" t="s">
        <v>220</v>
      </c>
      <c r="AK65" t="s">
        <v>220</v>
      </c>
      <c r="AL65" t="s">
        <v>220</v>
      </c>
      <c r="AM65" t="s">
        <v>220</v>
      </c>
      <c r="AN65" t="s">
        <v>220</v>
      </c>
      <c r="AO65" t="s">
        <v>220</v>
      </c>
      <c r="AP65" t="s">
        <v>220</v>
      </c>
      <c r="AQ65" t="s">
        <v>220</v>
      </c>
      <c r="AR65" t="s">
        <v>220</v>
      </c>
      <c r="AS65" t="s">
        <v>220</v>
      </c>
      <c r="AT65" t="s">
        <v>220</v>
      </c>
      <c r="AU65" t="s">
        <v>220</v>
      </c>
      <c r="AV65" t="s">
        <v>220</v>
      </c>
      <c r="AW65" t="s">
        <v>220</v>
      </c>
    </row>
    <row r="66" spans="2:49">
      <c r="B66" s="13">
        <v>45964</v>
      </c>
      <c r="C66">
        <v>252.99</v>
      </c>
      <c r="D66">
        <v>4.2699999999999996</v>
      </c>
      <c r="E66">
        <v>1.78</v>
      </c>
      <c r="F66">
        <v>2.4700000000000002</v>
      </c>
      <c r="G66">
        <v>23.61</v>
      </c>
      <c r="H66">
        <v>3.27</v>
      </c>
      <c r="I66">
        <v>49.14</v>
      </c>
      <c r="J66">
        <v>7.2523999999999997</v>
      </c>
      <c r="K66">
        <v>50.13</v>
      </c>
      <c r="L66">
        <v>55.65</v>
      </c>
      <c r="M66">
        <v>260.45</v>
      </c>
      <c r="N66">
        <v>33.81</v>
      </c>
      <c r="O66">
        <v>31.52</v>
      </c>
      <c r="P66">
        <v>17.600000000000001</v>
      </c>
      <c r="Q66">
        <v>24.66</v>
      </c>
      <c r="R66">
        <v>21.92</v>
      </c>
      <c r="S66">
        <v>154.4</v>
      </c>
      <c r="T66">
        <v>62.145000000000003</v>
      </c>
      <c r="U66">
        <v>121.23</v>
      </c>
      <c r="V66">
        <v>44.575000000000003</v>
      </c>
      <c r="W66">
        <v>207.18</v>
      </c>
      <c r="X66">
        <v>55.12</v>
      </c>
      <c r="Y66">
        <v>44.07</v>
      </c>
      <c r="Z66">
        <v>366.1</v>
      </c>
      <c r="AA66">
        <v>0.495</v>
      </c>
      <c r="AB66">
        <v>25.5</v>
      </c>
      <c r="AC66">
        <v>69.31</v>
      </c>
      <c r="AD66">
        <v>683.34</v>
      </c>
      <c r="AE66">
        <v>4.8099999999999996</v>
      </c>
      <c r="AF66">
        <v>54.514699999999998</v>
      </c>
      <c r="AG66">
        <v>13.7</v>
      </c>
      <c r="AH66">
        <v>632.08000000000004</v>
      </c>
      <c r="AI66">
        <v>104.63</v>
      </c>
      <c r="AJ66">
        <v>112.12</v>
      </c>
      <c r="AK66">
        <v>121.09</v>
      </c>
      <c r="AL66">
        <v>254</v>
      </c>
      <c r="AM66">
        <v>59.16</v>
      </c>
      <c r="AN66">
        <v>25.2742</v>
      </c>
      <c r="AO66">
        <v>55.78</v>
      </c>
      <c r="AP66">
        <v>5.59</v>
      </c>
      <c r="AQ66">
        <v>102.27</v>
      </c>
      <c r="AR66">
        <v>57.95</v>
      </c>
      <c r="AS66">
        <v>110.009</v>
      </c>
      <c r="AT66">
        <v>7.42</v>
      </c>
      <c r="AU66">
        <v>333.79</v>
      </c>
      <c r="AV66">
        <v>255.65</v>
      </c>
      <c r="AW66">
        <v>117.63</v>
      </c>
    </row>
    <row r="67" spans="2:49">
      <c r="B67" s="13">
        <v>45965</v>
      </c>
      <c r="C67">
        <v>251.88</v>
      </c>
      <c r="D67">
        <v>4.3</v>
      </c>
      <c r="E67">
        <v>1.7</v>
      </c>
      <c r="F67">
        <v>2.44</v>
      </c>
      <c r="G67">
        <v>22.69</v>
      </c>
      <c r="H67">
        <v>3.27</v>
      </c>
      <c r="I67">
        <v>47.93</v>
      </c>
      <c r="J67">
        <v>7.165</v>
      </c>
      <c r="K67">
        <v>49.73</v>
      </c>
      <c r="L67">
        <v>54.63</v>
      </c>
      <c r="M67">
        <v>257.38</v>
      </c>
      <c r="N67">
        <v>33.56</v>
      </c>
      <c r="O67">
        <v>31.18</v>
      </c>
      <c r="P67">
        <v>17.170000000000002</v>
      </c>
      <c r="Q67">
        <v>24.3</v>
      </c>
      <c r="R67">
        <v>21.16</v>
      </c>
      <c r="S67">
        <v>152.61000000000001</v>
      </c>
      <c r="T67">
        <v>61.42</v>
      </c>
      <c r="U67">
        <v>124.99</v>
      </c>
      <c r="V67">
        <v>44.414999999999999</v>
      </c>
      <c r="W67">
        <v>190.74</v>
      </c>
      <c r="X67">
        <v>55.06</v>
      </c>
      <c r="Y67">
        <v>43.63</v>
      </c>
      <c r="Z67">
        <v>352.76</v>
      </c>
      <c r="AA67">
        <v>0.47</v>
      </c>
      <c r="AB67">
        <v>25.5</v>
      </c>
      <c r="AC67">
        <v>68.98</v>
      </c>
      <c r="AD67">
        <v>675.24</v>
      </c>
      <c r="AE67">
        <v>4.8099999999999996</v>
      </c>
      <c r="AF67">
        <v>54.548000000000002</v>
      </c>
      <c r="AG67">
        <v>13.594200000000001</v>
      </c>
      <c r="AH67">
        <v>619.25</v>
      </c>
      <c r="AI67">
        <v>105.04</v>
      </c>
      <c r="AJ67">
        <v>111.47</v>
      </c>
      <c r="AK67">
        <v>119.08</v>
      </c>
      <c r="AL67">
        <v>249.32</v>
      </c>
      <c r="AM67">
        <v>55.54</v>
      </c>
      <c r="AN67">
        <v>24.8</v>
      </c>
      <c r="AO67">
        <v>54.78</v>
      </c>
      <c r="AP67">
        <v>5.6</v>
      </c>
      <c r="AQ67">
        <v>100.64</v>
      </c>
      <c r="AR67">
        <v>58.06</v>
      </c>
      <c r="AS67">
        <v>109.29600000000001</v>
      </c>
      <c r="AT67">
        <v>7.16</v>
      </c>
      <c r="AU67">
        <v>330.83</v>
      </c>
      <c r="AV67">
        <v>252.43</v>
      </c>
      <c r="AW67">
        <v>118.29</v>
      </c>
    </row>
    <row r="68" spans="2:49">
      <c r="B68" s="13">
        <v>45966</v>
      </c>
      <c r="C68">
        <v>256.10000000000002</v>
      </c>
      <c r="D68">
        <v>4.4000000000000004</v>
      </c>
      <c r="E68">
        <v>1.78</v>
      </c>
      <c r="F68">
        <v>2.4300000000000002</v>
      </c>
      <c r="G68">
        <v>21.79</v>
      </c>
      <c r="H68">
        <v>3.24</v>
      </c>
      <c r="I68">
        <v>51.28</v>
      </c>
      <c r="J68">
        <v>7.2621000000000002</v>
      </c>
      <c r="K68">
        <v>50.4</v>
      </c>
      <c r="L68">
        <v>55.12</v>
      </c>
      <c r="M68">
        <v>258.82</v>
      </c>
      <c r="N68">
        <v>34</v>
      </c>
      <c r="O68">
        <v>32.1</v>
      </c>
      <c r="P68">
        <v>18.100000000000001</v>
      </c>
      <c r="Q68">
        <v>24.61</v>
      </c>
      <c r="R68">
        <v>21.68</v>
      </c>
      <c r="S68">
        <v>153.19999999999999</v>
      </c>
      <c r="T68">
        <v>61.93</v>
      </c>
      <c r="U68">
        <v>123.33</v>
      </c>
      <c r="V68">
        <v>44.424999999999997</v>
      </c>
      <c r="W68">
        <v>187.9</v>
      </c>
      <c r="X68">
        <v>55.4</v>
      </c>
      <c r="Y68">
        <v>43.88</v>
      </c>
      <c r="Z68">
        <v>359.5</v>
      </c>
      <c r="AA68">
        <v>0.47699999999999998</v>
      </c>
      <c r="AB68">
        <v>25.5</v>
      </c>
      <c r="AC68">
        <v>69.27</v>
      </c>
      <c r="AD68">
        <v>677.58</v>
      </c>
      <c r="AE68">
        <v>4.8099999999999996</v>
      </c>
      <c r="AF68">
        <v>54.578499999999998</v>
      </c>
      <c r="AG68">
        <v>14.015000000000001</v>
      </c>
      <c r="AH68">
        <v>623.28</v>
      </c>
      <c r="AI68">
        <v>104.43</v>
      </c>
      <c r="AJ68">
        <v>111.36</v>
      </c>
      <c r="AK68">
        <v>120.53</v>
      </c>
      <c r="AL68">
        <v>250.2</v>
      </c>
      <c r="AM68">
        <v>56.62</v>
      </c>
      <c r="AN68">
        <v>25.074000000000002</v>
      </c>
      <c r="AO68">
        <v>55.35</v>
      </c>
      <c r="AP68">
        <v>5.43</v>
      </c>
      <c r="AQ68">
        <v>100.05</v>
      </c>
      <c r="AR68">
        <v>59.13</v>
      </c>
      <c r="AS68">
        <v>109.846</v>
      </c>
      <c r="AT68">
        <v>7.29</v>
      </c>
      <c r="AU68">
        <v>327.74</v>
      </c>
      <c r="AV68">
        <v>254.76</v>
      </c>
      <c r="AW68">
        <v>118.89</v>
      </c>
    </row>
    <row r="69" spans="2:49">
      <c r="B69" s="13">
        <v>45967</v>
      </c>
      <c r="C69">
        <v>258.86</v>
      </c>
      <c r="D69">
        <v>4.45</v>
      </c>
      <c r="E69">
        <v>1.66</v>
      </c>
      <c r="F69">
        <v>2.42</v>
      </c>
      <c r="G69">
        <v>23.89</v>
      </c>
      <c r="H69">
        <v>3.27</v>
      </c>
      <c r="I69">
        <v>50.24</v>
      </c>
      <c r="J69">
        <v>7.2717999999999998</v>
      </c>
      <c r="K69">
        <v>50.65</v>
      </c>
      <c r="L69">
        <v>54.71</v>
      </c>
      <c r="M69">
        <v>258.83999999999997</v>
      </c>
      <c r="N69">
        <v>34.04</v>
      </c>
      <c r="O69">
        <v>32.04</v>
      </c>
      <c r="P69">
        <v>17.77</v>
      </c>
      <c r="Q69">
        <v>24.85</v>
      </c>
      <c r="R69">
        <v>21.7</v>
      </c>
      <c r="S69">
        <v>152.59</v>
      </c>
      <c r="T69">
        <v>61.55</v>
      </c>
      <c r="U69">
        <v>127.04</v>
      </c>
      <c r="V69">
        <v>44.23</v>
      </c>
      <c r="W69">
        <v>175.05</v>
      </c>
      <c r="X69">
        <v>55.22</v>
      </c>
      <c r="Y69">
        <v>43.42</v>
      </c>
      <c r="Z69">
        <v>351.09</v>
      </c>
      <c r="AA69">
        <v>0.46500000000000002</v>
      </c>
      <c r="AB69">
        <v>25.1</v>
      </c>
      <c r="AC69">
        <v>69.069999999999993</v>
      </c>
      <c r="AD69">
        <v>670.31</v>
      </c>
      <c r="AE69">
        <v>4.8099999999999996</v>
      </c>
      <c r="AF69">
        <v>54.787799999999997</v>
      </c>
      <c r="AG69">
        <v>13.818</v>
      </c>
      <c r="AH69">
        <v>611.66999999999996</v>
      </c>
      <c r="AI69">
        <v>105.2</v>
      </c>
      <c r="AJ69">
        <v>110.49</v>
      </c>
      <c r="AK69">
        <v>117.745</v>
      </c>
      <c r="AL69">
        <v>243.04</v>
      </c>
      <c r="AM69">
        <v>53.445</v>
      </c>
      <c r="AN69">
        <v>25.344999999999999</v>
      </c>
      <c r="AO69">
        <v>56.05</v>
      </c>
      <c r="AP69">
        <v>5.53</v>
      </c>
      <c r="AQ69">
        <v>100.77</v>
      </c>
      <c r="AR69">
        <v>60.27</v>
      </c>
      <c r="AS69">
        <v>109.702</v>
      </c>
      <c r="AT69">
        <v>7.16</v>
      </c>
      <c r="AU69">
        <v>321.56</v>
      </c>
      <c r="AV69">
        <v>252.4</v>
      </c>
      <c r="AW69">
        <v>119.31</v>
      </c>
    </row>
    <row r="70" spans="2:49">
      <c r="B70" s="13">
        <v>45968</v>
      </c>
      <c r="C70">
        <v>262.08999999999997</v>
      </c>
      <c r="D70">
        <v>4.45</v>
      </c>
      <c r="E70" t="s">
        <v>220</v>
      </c>
      <c r="F70">
        <v>2.41</v>
      </c>
      <c r="G70">
        <v>22.42</v>
      </c>
      <c r="H70">
        <v>3.26</v>
      </c>
      <c r="I70">
        <v>50.39</v>
      </c>
      <c r="J70">
        <v>7.3494999999999999</v>
      </c>
      <c r="K70">
        <v>50.52</v>
      </c>
      <c r="L70">
        <v>54.55</v>
      </c>
      <c r="M70">
        <v>259.52</v>
      </c>
      <c r="N70">
        <v>34.130000000000003</v>
      </c>
      <c r="O70">
        <v>32.299999999999997</v>
      </c>
      <c r="P70">
        <v>17.66</v>
      </c>
      <c r="Q70">
        <v>24.43</v>
      </c>
      <c r="R70">
        <v>22.37</v>
      </c>
      <c r="S70">
        <v>153.33000000000001</v>
      </c>
      <c r="T70">
        <v>61.77</v>
      </c>
      <c r="U70">
        <v>125.96</v>
      </c>
      <c r="V70">
        <v>44.844999999999999</v>
      </c>
      <c r="W70">
        <v>177.93</v>
      </c>
      <c r="X70">
        <v>55.74</v>
      </c>
      <c r="Y70">
        <v>43.78</v>
      </c>
      <c r="Z70">
        <v>348.12</v>
      </c>
      <c r="AA70">
        <v>0.442</v>
      </c>
      <c r="AB70">
        <v>25.08</v>
      </c>
      <c r="AC70">
        <v>69.52</v>
      </c>
      <c r="AD70">
        <v>670.97</v>
      </c>
      <c r="AE70">
        <v>4.8099999999999996</v>
      </c>
      <c r="AF70">
        <v>54.934699999999999</v>
      </c>
      <c r="AG70">
        <v>13.705</v>
      </c>
      <c r="AH70">
        <v>609.74</v>
      </c>
      <c r="AI70">
        <v>106.29</v>
      </c>
      <c r="AJ70">
        <v>110.74</v>
      </c>
      <c r="AK70">
        <v>117.93</v>
      </c>
      <c r="AL70">
        <v>244.41</v>
      </c>
      <c r="AM70">
        <v>52.89</v>
      </c>
      <c r="AN70">
        <v>25.035</v>
      </c>
      <c r="AO70">
        <v>55.08</v>
      </c>
      <c r="AP70">
        <v>5.42</v>
      </c>
      <c r="AQ70">
        <v>103.85</v>
      </c>
      <c r="AR70">
        <v>63.22</v>
      </c>
      <c r="AS70">
        <v>110.366</v>
      </c>
      <c r="AT70">
        <v>6.86</v>
      </c>
      <c r="AU70">
        <v>324.20999999999998</v>
      </c>
      <c r="AV70">
        <v>232</v>
      </c>
      <c r="AW70">
        <v>121.32</v>
      </c>
    </row>
    <row r="71" spans="2:49">
      <c r="B71" s="13">
        <v>45969</v>
      </c>
      <c r="C71" t="s">
        <v>220</v>
      </c>
      <c r="D71" t="s">
        <v>220</v>
      </c>
      <c r="E71" t="s">
        <v>220</v>
      </c>
      <c r="F71" t="s">
        <v>220</v>
      </c>
      <c r="G71" t="s">
        <v>220</v>
      </c>
      <c r="H71" t="s">
        <v>220</v>
      </c>
      <c r="I71" t="s">
        <v>220</v>
      </c>
      <c r="J71" t="s">
        <v>220</v>
      </c>
      <c r="K71" t="s">
        <v>220</v>
      </c>
      <c r="L71" t="s">
        <v>220</v>
      </c>
      <c r="M71" t="s">
        <v>220</v>
      </c>
      <c r="N71" t="s">
        <v>220</v>
      </c>
      <c r="O71" t="s">
        <v>220</v>
      </c>
      <c r="P71" t="s">
        <v>220</v>
      </c>
      <c r="Q71" t="s">
        <v>220</v>
      </c>
      <c r="R71" t="s">
        <v>220</v>
      </c>
      <c r="S71" t="s">
        <v>220</v>
      </c>
      <c r="T71" t="s">
        <v>220</v>
      </c>
      <c r="U71" t="s">
        <v>220</v>
      </c>
      <c r="V71" t="s">
        <v>220</v>
      </c>
      <c r="W71" t="s">
        <v>220</v>
      </c>
      <c r="X71" t="s">
        <v>220</v>
      </c>
      <c r="Y71" t="s">
        <v>220</v>
      </c>
      <c r="Z71" t="s">
        <v>220</v>
      </c>
      <c r="AA71" t="s">
        <v>220</v>
      </c>
      <c r="AB71" t="s">
        <v>220</v>
      </c>
      <c r="AC71" t="s">
        <v>220</v>
      </c>
      <c r="AD71" t="s">
        <v>220</v>
      </c>
      <c r="AE71" t="s">
        <v>220</v>
      </c>
      <c r="AF71" t="s">
        <v>220</v>
      </c>
      <c r="AG71" t="s">
        <v>220</v>
      </c>
      <c r="AH71" t="s">
        <v>220</v>
      </c>
      <c r="AI71" t="s">
        <v>220</v>
      </c>
      <c r="AJ71" t="s">
        <v>220</v>
      </c>
      <c r="AK71" t="s">
        <v>220</v>
      </c>
      <c r="AL71" t="s">
        <v>220</v>
      </c>
      <c r="AM71" t="s">
        <v>220</v>
      </c>
      <c r="AN71" t="s">
        <v>220</v>
      </c>
      <c r="AO71" t="s">
        <v>220</v>
      </c>
      <c r="AP71" t="s">
        <v>220</v>
      </c>
      <c r="AQ71" t="s">
        <v>220</v>
      </c>
      <c r="AR71" t="s">
        <v>220</v>
      </c>
      <c r="AS71" t="s">
        <v>220</v>
      </c>
      <c r="AT71" t="s">
        <v>220</v>
      </c>
      <c r="AU71" t="s">
        <v>220</v>
      </c>
      <c r="AV71" t="s">
        <v>220</v>
      </c>
      <c r="AW71" t="s">
        <v>220</v>
      </c>
    </row>
    <row r="72" spans="2:49">
      <c r="B72" s="13">
        <v>45970</v>
      </c>
      <c r="C72" t="s">
        <v>220</v>
      </c>
      <c r="D72" t="s">
        <v>220</v>
      </c>
      <c r="E72" t="s">
        <v>220</v>
      </c>
      <c r="F72" t="s">
        <v>220</v>
      </c>
      <c r="G72" t="s">
        <v>220</v>
      </c>
      <c r="H72" t="s">
        <v>220</v>
      </c>
      <c r="I72" t="s">
        <v>220</v>
      </c>
      <c r="J72" t="s">
        <v>220</v>
      </c>
      <c r="K72" t="s">
        <v>220</v>
      </c>
      <c r="L72" t="s">
        <v>220</v>
      </c>
      <c r="M72" t="s">
        <v>220</v>
      </c>
      <c r="N72" t="s">
        <v>220</v>
      </c>
      <c r="O72" t="s">
        <v>220</v>
      </c>
      <c r="P72" t="s">
        <v>220</v>
      </c>
      <c r="Q72" t="s">
        <v>220</v>
      </c>
      <c r="R72" t="s">
        <v>220</v>
      </c>
      <c r="S72" t="s">
        <v>220</v>
      </c>
      <c r="T72" t="s">
        <v>220</v>
      </c>
      <c r="U72" t="s">
        <v>220</v>
      </c>
      <c r="V72" t="s">
        <v>220</v>
      </c>
      <c r="W72" t="s">
        <v>220</v>
      </c>
      <c r="X72" t="s">
        <v>220</v>
      </c>
      <c r="Y72" t="s">
        <v>220</v>
      </c>
      <c r="Z72" t="s">
        <v>220</v>
      </c>
      <c r="AA72" t="s">
        <v>220</v>
      </c>
      <c r="AB72" t="s">
        <v>220</v>
      </c>
      <c r="AC72" t="s">
        <v>220</v>
      </c>
      <c r="AD72" t="s">
        <v>220</v>
      </c>
      <c r="AE72" t="s">
        <v>220</v>
      </c>
      <c r="AF72" t="s">
        <v>220</v>
      </c>
      <c r="AG72" t="s">
        <v>220</v>
      </c>
      <c r="AH72" t="s">
        <v>220</v>
      </c>
      <c r="AI72" t="s">
        <v>220</v>
      </c>
      <c r="AJ72" t="s">
        <v>220</v>
      </c>
      <c r="AK72" t="s">
        <v>220</v>
      </c>
      <c r="AL72" t="s">
        <v>220</v>
      </c>
      <c r="AM72" t="s">
        <v>220</v>
      </c>
      <c r="AN72" t="s">
        <v>220</v>
      </c>
      <c r="AO72" t="s">
        <v>220</v>
      </c>
      <c r="AP72" t="s">
        <v>220</v>
      </c>
      <c r="AQ72" t="s">
        <v>220</v>
      </c>
      <c r="AR72" t="s">
        <v>220</v>
      </c>
      <c r="AS72" t="s">
        <v>220</v>
      </c>
      <c r="AT72" t="s">
        <v>220</v>
      </c>
      <c r="AU72" t="s">
        <v>220</v>
      </c>
      <c r="AV72" t="s">
        <v>220</v>
      </c>
      <c r="AW72" t="s">
        <v>220</v>
      </c>
    </row>
    <row r="73" spans="2:49">
      <c r="B73" s="13">
        <v>45971</v>
      </c>
      <c r="C73">
        <v>253.89</v>
      </c>
      <c r="D73">
        <v>4.45</v>
      </c>
      <c r="E73">
        <v>1.65</v>
      </c>
      <c r="F73">
        <v>2.4</v>
      </c>
      <c r="G73">
        <v>26.04</v>
      </c>
      <c r="H73">
        <v>3.27</v>
      </c>
      <c r="I73">
        <v>52.86</v>
      </c>
      <c r="J73">
        <v>7.4077999999999999</v>
      </c>
      <c r="K73">
        <v>51.26</v>
      </c>
      <c r="L73">
        <v>55.51</v>
      </c>
      <c r="M73">
        <v>259.01</v>
      </c>
      <c r="N73">
        <v>34.700000000000003</v>
      </c>
      <c r="O73">
        <v>32.72</v>
      </c>
      <c r="P73">
        <v>18.010000000000002</v>
      </c>
      <c r="Q73">
        <v>24.39</v>
      </c>
      <c r="R73">
        <v>23.34</v>
      </c>
      <c r="S73">
        <v>154.19999999999999</v>
      </c>
      <c r="T73">
        <v>62.54</v>
      </c>
      <c r="U73">
        <v>132.32</v>
      </c>
      <c r="V73">
        <v>44.83</v>
      </c>
      <c r="W73">
        <v>193.61</v>
      </c>
      <c r="X73">
        <v>56.36</v>
      </c>
      <c r="Y73">
        <v>44.19</v>
      </c>
      <c r="Z73">
        <v>358.79</v>
      </c>
      <c r="AA73">
        <v>0.46</v>
      </c>
      <c r="AB73">
        <v>25.45</v>
      </c>
      <c r="AC73">
        <v>70.06</v>
      </c>
      <c r="AD73">
        <v>681.44</v>
      </c>
      <c r="AE73">
        <v>4.8</v>
      </c>
      <c r="AF73">
        <v>55.505000000000003</v>
      </c>
      <c r="AG73">
        <v>13.9267</v>
      </c>
      <c r="AH73">
        <v>623.23</v>
      </c>
      <c r="AI73">
        <v>107</v>
      </c>
      <c r="AJ73">
        <v>112.24</v>
      </c>
      <c r="AK73">
        <v>119.48</v>
      </c>
      <c r="AL73">
        <v>248.4</v>
      </c>
      <c r="AM73">
        <v>56.354999999999997</v>
      </c>
      <c r="AN73">
        <v>25.245000000000001</v>
      </c>
      <c r="AO73">
        <v>55.91</v>
      </c>
      <c r="AP73">
        <v>5.2</v>
      </c>
      <c r="AQ73">
        <v>103.09</v>
      </c>
      <c r="AR73">
        <v>63.57</v>
      </c>
      <c r="AS73">
        <v>112.00700000000001</v>
      </c>
      <c r="AT73">
        <v>6.71</v>
      </c>
      <c r="AU73">
        <v>321.58</v>
      </c>
      <c r="AV73">
        <v>234.06</v>
      </c>
      <c r="AW73">
        <v>120.11</v>
      </c>
    </row>
    <row r="74" spans="2:49">
      <c r="B74" s="13">
        <v>45972</v>
      </c>
      <c r="C74">
        <v>267.72000000000003</v>
      </c>
      <c r="D74">
        <v>4.45</v>
      </c>
      <c r="E74">
        <v>1.68</v>
      </c>
      <c r="F74">
        <v>2.4</v>
      </c>
      <c r="G74">
        <v>28.07</v>
      </c>
      <c r="H74">
        <v>3.3</v>
      </c>
      <c r="I74">
        <v>51.85</v>
      </c>
      <c r="J74">
        <v>7.6018999999999997</v>
      </c>
      <c r="K74">
        <v>51.9</v>
      </c>
      <c r="L74">
        <v>55.57</v>
      </c>
      <c r="M74">
        <v>258.16000000000003</v>
      </c>
      <c r="N74">
        <v>35.020000000000003</v>
      </c>
      <c r="O74">
        <v>33.49</v>
      </c>
      <c r="P74">
        <v>17.760000000000002</v>
      </c>
      <c r="Q74">
        <v>25.51</v>
      </c>
      <c r="R74">
        <v>23.38</v>
      </c>
      <c r="S74">
        <v>154.24</v>
      </c>
      <c r="T74">
        <v>63.09</v>
      </c>
      <c r="U74">
        <v>131.94999999999999</v>
      </c>
      <c r="V74">
        <v>44.854999999999997</v>
      </c>
      <c r="W74">
        <v>190.96</v>
      </c>
      <c r="X74">
        <v>57.67</v>
      </c>
      <c r="Y74">
        <v>44.71</v>
      </c>
      <c r="Z74">
        <v>351.05</v>
      </c>
      <c r="AA74">
        <v>0.46500000000000002</v>
      </c>
      <c r="AB74">
        <v>25.43</v>
      </c>
      <c r="AC74">
        <v>70.510000000000005</v>
      </c>
      <c r="AD74">
        <v>683</v>
      </c>
      <c r="AE74">
        <v>4.76</v>
      </c>
      <c r="AF74">
        <v>56.752200000000002</v>
      </c>
      <c r="AG74">
        <v>14.233499999999999</v>
      </c>
      <c r="AH74">
        <v>621.57000000000005</v>
      </c>
      <c r="AI74">
        <v>106.74</v>
      </c>
      <c r="AJ74">
        <v>114.85</v>
      </c>
      <c r="AK74">
        <v>119.77500000000001</v>
      </c>
      <c r="AL74">
        <v>249.1</v>
      </c>
      <c r="AM74">
        <v>55.89</v>
      </c>
      <c r="AN74">
        <v>25.004999999999999</v>
      </c>
      <c r="AO74">
        <v>55.36</v>
      </c>
      <c r="AP74">
        <v>5.22</v>
      </c>
      <c r="AQ74">
        <v>103.03</v>
      </c>
      <c r="AR74">
        <v>63.83</v>
      </c>
      <c r="AS74">
        <v>113.64400000000001</v>
      </c>
      <c r="AT74">
        <v>6.63</v>
      </c>
      <c r="AU74">
        <v>327.45</v>
      </c>
      <c r="AV74">
        <v>240.7</v>
      </c>
      <c r="AW74">
        <v>121.36</v>
      </c>
    </row>
    <row r="75" spans="2:49">
      <c r="B75" s="13">
        <v>45973</v>
      </c>
      <c r="C75">
        <v>268.67</v>
      </c>
      <c r="D75">
        <v>4.45</v>
      </c>
      <c r="E75">
        <v>1.73</v>
      </c>
      <c r="F75">
        <v>2.38</v>
      </c>
      <c r="G75">
        <v>27.28</v>
      </c>
      <c r="H75">
        <v>3.3</v>
      </c>
      <c r="I75">
        <v>50.57</v>
      </c>
      <c r="J75">
        <v>7.4175000000000004</v>
      </c>
      <c r="K75">
        <v>52.52</v>
      </c>
      <c r="L75">
        <v>55.58</v>
      </c>
      <c r="M75">
        <v>262.52</v>
      </c>
      <c r="N75">
        <v>35.380000000000003</v>
      </c>
      <c r="O75">
        <v>33.22</v>
      </c>
      <c r="P75">
        <v>17.66</v>
      </c>
      <c r="Q75">
        <v>25.87</v>
      </c>
      <c r="R75">
        <v>23.51</v>
      </c>
      <c r="S75">
        <v>154.38999999999999</v>
      </c>
      <c r="T75">
        <v>63.76</v>
      </c>
      <c r="U75">
        <v>128.94</v>
      </c>
      <c r="V75">
        <v>44.96</v>
      </c>
      <c r="W75">
        <v>184.17</v>
      </c>
      <c r="X75">
        <v>58.06</v>
      </c>
      <c r="Y75">
        <v>45.14</v>
      </c>
      <c r="Z75">
        <v>355.53</v>
      </c>
      <c r="AA75">
        <v>0.495</v>
      </c>
      <c r="AB75">
        <v>25.78</v>
      </c>
      <c r="AC75">
        <v>70.77</v>
      </c>
      <c r="AD75">
        <v>683.38</v>
      </c>
      <c r="AE75">
        <v>4.8</v>
      </c>
      <c r="AF75">
        <v>57.335000000000001</v>
      </c>
      <c r="AG75">
        <v>14.175000000000001</v>
      </c>
      <c r="AH75">
        <v>621.08000000000004</v>
      </c>
      <c r="AI75">
        <v>107.79</v>
      </c>
      <c r="AJ75">
        <v>116.65</v>
      </c>
      <c r="AK75">
        <v>118.97</v>
      </c>
      <c r="AL75">
        <v>244.2</v>
      </c>
      <c r="AM75">
        <v>55.774999999999999</v>
      </c>
      <c r="AN75">
        <v>24.765000000000001</v>
      </c>
      <c r="AO75">
        <v>54.93</v>
      </c>
      <c r="AP75">
        <v>5.23</v>
      </c>
      <c r="AQ75">
        <v>104.12</v>
      </c>
      <c r="AR75">
        <v>64.150000000000006</v>
      </c>
      <c r="AS75">
        <v>115.75</v>
      </c>
      <c r="AT75">
        <v>6.45</v>
      </c>
      <c r="AU75">
        <v>339.06</v>
      </c>
      <c r="AV75">
        <v>240.34</v>
      </c>
      <c r="AW75">
        <v>123.07</v>
      </c>
    </row>
    <row r="76" spans="2:49">
      <c r="B76" s="13">
        <v>45974</v>
      </c>
      <c r="C76">
        <v>267.33999999999997</v>
      </c>
      <c r="D76">
        <v>4.47</v>
      </c>
      <c r="E76">
        <v>1.78</v>
      </c>
      <c r="F76">
        <v>2.34</v>
      </c>
      <c r="G76">
        <v>26.38</v>
      </c>
      <c r="H76">
        <v>3.3</v>
      </c>
      <c r="I76">
        <v>48.48</v>
      </c>
      <c r="J76">
        <v>7.3689</v>
      </c>
      <c r="K76">
        <v>52.21</v>
      </c>
      <c r="L76">
        <v>54.93</v>
      </c>
      <c r="M76">
        <v>252.15</v>
      </c>
      <c r="N76">
        <v>35.119999999999997</v>
      </c>
      <c r="O76">
        <v>32.979999999999997</v>
      </c>
      <c r="P76">
        <v>16.87</v>
      </c>
      <c r="Q76">
        <v>25.79</v>
      </c>
      <c r="R76">
        <v>23.6</v>
      </c>
      <c r="S76">
        <v>152</v>
      </c>
      <c r="T76">
        <v>63.34</v>
      </c>
      <c r="U76">
        <v>120.65</v>
      </c>
      <c r="V76">
        <v>44.34</v>
      </c>
      <c r="W76">
        <v>172.14</v>
      </c>
      <c r="X76">
        <v>57.85</v>
      </c>
      <c r="Y76">
        <v>45.04</v>
      </c>
      <c r="Z76">
        <v>344.82</v>
      </c>
      <c r="AA76">
        <v>0.48399999999999999</v>
      </c>
      <c r="AB76">
        <v>25.75</v>
      </c>
      <c r="AC76">
        <v>69.87</v>
      </c>
      <c r="AD76">
        <v>672.04</v>
      </c>
      <c r="AE76">
        <v>4.8099999999999996</v>
      </c>
      <c r="AF76">
        <v>57.135800000000003</v>
      </c>
      <c r="AG76">
        <v>13.852399999999999</v>
      </c>
      <c r="AH76">
        <v>608.4</v>
      </c>
      <c r="AI76">
        <v>107.85</v>
      </c>
      <c r="AJ76">
        <v>107.61</v>
      </c>
      <c r="AK76">
        <v>116</v>
      </c>
      <c r="AL76">
        <v>237.58</v>
      </c>
      <c r="AM76">
        <v>52.33</v>
      </c>
      <c r="AN76">
        <v>24.63</v>
      </c>
      <c r="AO76">
        <v>54.28</v>
      </c>
      <c r="AP76">
        <v>4.95</v>
      </c>
      <c r="AQ76">
        <v>104.45</v>
      </c>
      <c r="AR76">
        <v>62.69</v>
      </c>
      <c r="AS76">
        <v>115.423</v>
      </c>
      <c r="AT76">
        <v>6.24</v>
      </c>
      <c r="AU76">
        <v>332.52</v>
      </c>
      <c r="AV76">
        <v>237.55</v>
      </c>
      <c r="AW76">
        <v>120.75</v>
      </c>
    </row>
    <row r="77" spans="2:49">
      <c r="B77" s="13">
        <v>45975</v>
      </c>
      <c r="C77">
        <v>267.56</v>
      </c>
      <c r="D77">
        <v>4.5</v>
      </c>
      <c r="E77">
        <v>1.7</v>
      </c>
      <c r="F77">
        <v>2.2999999999999998</v>
      </c>
      <c r="G77">
        <v>25.01</v>
      </c>
      <c r="H77">
        <v>3.3</v>
      </c>
      <c r="I77">
        <v>49.51</v>
      </c>
      <c r="J77">
        <v>7.4175000000000004</v>
      </c>
      <c r="K77">
        <v>51.65</v>
      </c>
      <c r="L77">
        <v>54.96</v>
      </c>
      <c r="M77">
        <v>253.8</v>
      </c>
      <c r="N77">
        <v>34.65</v>
      </c>
      <c r="O77">
        <v>33.18</v>
      </c>
      <c r="P77">
        <v>17.02</v>
      </c>
      <c r="Q77">
        <v>25.06</v>
      </c>
      <c r="R77">
        <v>23.56</v>
      </c>
      <c r="S77">
        <v>152.01</v>
      </c>
      <c r="T77">
        <v>62.79</v>
      </c>
      <c r="U77">
        <v>116</v>
      </c>
      <c r="V77">
        <v>44.38</v>
      </c>
      <c r="W77">
        <v>174.01</v>
      </c>
      <c r="X77">
        <v>57.55</v>
      </c>
      <c r="Y77">
        <v>44.84</v>
      </c>
      <c r="Z77">
        <v>344.98</v>
      </c>
      <c r="AA77">
        <v>0.48</v>
      </c>
      <c r="AB77">
        <v>25.5</v>
      </c>
      <c r="AC77">
        <v>69.59</v>
      </c>
      <c r="AD77">
        <v>671.93</v>
      </c>
      <c r="AE77">
        <v>4.84</v>
      </c>
      <c r="AF77">
        <v>57.1479</v>
      </c>
      <c r="AG77">
        <v>13.965</v>
      </c>
      <c r="AH77">
        <v>608.86</v>
      </c>
      <c r="AI77">
        <v>107.16</v>
      </c>
      <c r="AJ77">
        <v>105.8</v>
      </c>
      <c r="AK77">
        <v>115.44499999999999</v>
      </c>
      <c r="AL77">
        <v>234.69</v>
      </c>
      <c r="AM77">
        <v>52.37</v>
      </c>
      <c r="AN77">
        <v>24.12</v>
      </c>
      <c r="AO77">
        <v>53.2</v>
      </c>
      <c r="AP77">
        <v>5.18</v>
      </c>
      <c r="AQ77">
        <v>104.015</v>
      </c>
      <c r="AR77">
        <v>62.94</v>
      </c>
      <c r="AS77">
        <v>111.217</v>
      </c>
      <c r="AT77">
        <v>6.16</v>
      </c>
      <c r="AU77">
        <v>321.86</v>
      </c>
      <c r="AV77">
        <v>235.03</v>
      </c>
      <c r="AW77">
        <v>119.92</v>
      </c>
    </row>
    <row r="78" spans="2:49">
      <c r="B78" s="13">
        <v>45976</v>
      </c>
      <c r="C78" t="s">
        <v>220</v>
      </c>
      <c r="D78" t="s">
        <v>220</v>
      </c>
      <c r="E78" t="s">
        <v>220</v>
      </c>
      <c r="F78" t="s">
        <v>220</v>
      </c>
      <c r="G78" t="s">
        <v>220</v>
      </c>
      <c r="H78" t="s">
        <v>220</v>
      </c>
      <c r="I78" t="s">
        <v>220</v>
      </c>
      <c r="J78" t="s">
        <v>220</v>
      </c>
      <c r="K78" t="s">
        <v>220</v>
      </c>
      <c r="L78" t="s">
        <v>220</v>
      </c>
      <c r="M78" t="s">
        <v>220</v>
      </c>
      <c r="N78" t="s">
        <v>220</v>
      </c>
      <c r="O78" t="s">
        <v>220</v>
      </c>
      <c r="P78" t="s">
        <v>220</v>
      </c>
      <c r="Q78" t="s">
        <v>220</v>
      </c>
      <c r="R78" t="s">
        <v>220</v>
      </c>
      <c r="S78" t="s">
        <v>220</v>
      </c>
      <c r="T78" t="s">
        <v>220</v>
      </c>
      <c r="U78" t="s">
        <v>220</v>
      </c>
      <c r="V78" t="s">
        <v>220</v>
      </c>
      <c r="W78" t="s">
        <v>220</v>
      </c>
      <c r="X78" t="s">
        <v>220</v>
      </c>
      <c r="Y78" t="s">
        <v>220</v>
      </c>
      <c r="Z78" t="s">
        <v>220</v>
      </c>
      <c r="AA78" t="s">
        <v>220</v>
      </c>
      <c r="AB78" t="s">
        <v>220</v>
      </c>
      <c r="AC78" t="s">
        <v>220</v>
      </c>
      <c r="AD78" t="s">
        <v>220</v>
      </c>
      <c r="AE78" t="s">
        <v>220</v>
      </c>
      <c r="AF78" t="s">
        <v>220</v>
      </c>
      <c r="AG78" t="s">
        <v>220</v>
      </c>
      <c r="AH78" t="s">
        <v>220</v>
      </c>
      <c r="AI78" t="s">
        <v>220</v>
      </c>
      <c r="AJ78" t="s">
        <v>220</v>
      </c>
      <c r="AK78" t="s">
        <v>220</v>
      </c>
      <c r="AL78" t="s">
        <v>220</v>
      </c>
      <c r="AM78" t="s">
        <v>220</v>
      </c>
      <c r="AN78" t="s">
        <v>220</v>
      </c>
      <c r="AO78" t="s">
        <v>220</v>
      </c>
      <c r="AP78" t="s">
        <v>220</v>
      </c>
      <c r="AQ78" t="s">
        <v>220</v>
      </c>
      <c r="AR78" t="s">
        <v>220</v>
      </c>
      <c r="AS78" t="s">
        <v>220</v>
      </c>
      <c r="AT78" t="s">
        <v>220</v>
      </c>
      <c r="AU78" t="s">
        <v>220</v>
      </c>
      <c r="AV78" t="s">
        <v>220</v>
      </c>
      <c r="AW78" t="s">
        <v>220</v>
      </c>
    </row>
    <row r="79" spans="2:49">
      <c r="B79" s="13">
        <v>45977</v>
      </c>
      <c r="C79" t="s">
        <v>220</v>
      </c>
      <c r="D79" t="s">
        <v>220</v>
      </c>
      <c r="E79" t="s">
        <v>220</v>
      </c>
      <c r="F79" t="s">
        <v>220</v>
      </c>
      <c r="G79" t="s">
        <v>220</v>
      </c>
      <c r="H79" t="s">
        <v>220</v>
      </c>
      <c r="I79" t="s">
        <v>220</v>
      </c>
      <c r="J79" t="s">
        <v>220</v>
      </c>
      <c r="K79" t="s">
        <v>220</v>
      </c>
      <c r="L79" t="s">
        <v>220</v>
      </c>
      <c r="M79" t="s">
        <v>220</v>
      </c>
      <c r="N79" t="s">
        <v>220</v>
      </c>
      <c r="O79" t="s">
        <v>220</v>
      </c>
      <c r="P79" t="s">
        <v>220</v>
      </c>
      <c r="Q79" t="s">
        <v>220</v>
      </c>
      <c r="R79" t="s">
        <v>220</v>
      </c>
      <c r="S79" t="s">
        <v>220</v>
      </c>
      <c r="T79" t="s">
        <v>220</v>
      </c>
      <c r="U79" t="s">
        <v>220</v>
      </c>
      <c r="V79" t="s">
        <v>220</v>
      </c>
      <c r="W79" t="s">
        <v>220</v>
      </c>
      <c r="X79" t="s">
        <v>220</v>
      </c>
      <c r="Y79" t="s">
        <v>220</v>
      </c>
      <c r="Z79" t="s">
        <v>220</v>
      </c>
      <c r="AA79" t="s">
        <v>220</v>
      </c>
      <c r="AB79" t="s">
        <v>220</v>
      </c>
      <c r="AC79" t="s">
        <v>220</v>
      </c>
      <c r="AD79" t="s">
        <v>220</v>
      </c>
      <c r="AE79" t="s">
        <v>220</v>
      </c>
      <c r="AF79" t="s">
        <v>220</v>
      </c>
      <c r="AG79" t="s">
        <v>220</v>
      </c>
      <c r="AH79" t="s">
        <v>220</v>
      </c>
      <c r="AI79" t="s">
        <v>220</v>
      </c>
      <c r="AJ79" t="s">
        <v>220</v>
      </c>
      <c r="AK79" t="s">
        <v>220</v>
      </c>
      <c r="AL79" t="s">
        <v>220</v>
      </c>
      <c r="AM79" t="s">
        <v>220</v>
      </c>
      <c r="AN79" t="s">
        <v>220</v>
      </c>
      <c r="AO79" t="s">
        <v>220</v>
      </c>
      <c r="AP79" t="s">
        <v>220</v>
      </c>
      <c r="AQ79" t="s">
        <v>220</v>
      </c>
      <c r="AR79" t="s">
        <v>220</v>
      </c>
      <c r="AS79" t="s">
        <v>220</v>
      </c>
      <c r="AT79" t="s">
        <v>220</v>
      </c>
      <c r="AU79" t="s">
        <v>220</v>
      </c>
      <c r="AV79" t="s">
        <v>220</v>
      </c>
      <c r="AW79" t="s">
        <v>220</v>
      </c>
    </row>
    <row r="80" spans="2:49">
      <c r="B80" s="13">
        <v>45978</v>
      </c>
      <c r="C80">
        <v>264.73</v>
      </c>
      <c r="D80">
        <v>4.5199999999999996</v>
      </c>
      <c r="E80" t="s">
        <v>220</v>
      </c>
      <c r="F80">
        <v>2.2999999999999998</v>
      </c>
      <c r="G80">
        <v>22.43</v>
      </c>
      <c r="H80">
        <v>3.27</v>
      </c>
      <c r="I80">
        <v>48.76</v>
      </c>
      <c r="J80">
        <v>7.3398000000000003</v>
      </c>
      <c r="K80">
        <v>50.78</v>
      </c>
      <c r="L80">
        <v>54.31</v>
      </c>
      <c r="M80">
        <v>250.47</v>
      </c>
      <c r="N80">
        <v>33.99</v>
      </c>
      <c r="O80">
        <v>32.78</v>
      </c>
      <c r="P80">
        <v>16.8</v>
      </c>
      <c r="Q80">
        <v>25.08</v>
      </c>
      <c r="R80">
        <v>23.04</v>
      </c>
      <c r="S80">
        <v>150.52000000000001</v>
      </c>
      <c r="T80">
        <v>61.84</v>
      </c>
      <c r="U80">
        <v>114.11</v>
      </c>
      <c r="V80">
        <v>44.78</v>
      </c>
      <c r="W80">
        <v>171.25</v>
      </c>
      <c r="X80">
        <v>56.81</v>
      </c>
      <c r="Y80">
        <v>44.2</v>
      </c>
      <c r="Z80">
        <v>340.3</v>
      </c>
      <c r="AA80">
        <v>0.46100000000000002</v>
      </c>
      <c r="AB80">
        <v>25.4</v>
      </c>
      <c r="AC80">
        <v>68.849999999999994</v>
      </c>
      <c r="AD80">
        <v>665.67</v>
      </c>
      <c r="AE80">
        <v>4.82</v>
      </c>
      <c r="AF80">
        <v>57.089399999999998</v>
      </c>
      <c r="AG80">
        <v>13.712899999999999</v>
      </c>
      <c r="AH80">
        <v>603.66</v>
      </c>
      <c r="AI80">
        <v>103.51</v>
      </c>
      <c r="AJ80">
        <v>105.69</v>
      </c>
      <c r="AK80">
        <v>114.36</v>
      </c>
      <c r="AL80">
        <v>232.87</v>
      </c>
      <c r="AM80">
        <v>51.024999999999999</v>
      </c>
      <c r="AN80">
        <v>23.893799999999999</v>
      </c>
      <c r="AO80">
        <v>52.66</v>
      </c>
      <c r="AP80">
        <v>5</v>
      </c>
      <c r="AQ80">
        <v>103.66</v>
      </c>
      <c r="AR80">
        <v>62.53</v>
      </c>
      <c r="AS80">
        <v>110.29</v>
      </c>
      <c r="AT80">
        <v>6.08</v>
      </c>
      <c r="AU80">
        <v>320.52</v>
      </c>
      <c r="AV80">
        <v>233.58</v>
      </c>
      <c r="AW80">
        <v>114.02</v>
      </c>
    </row>
    <row r="81" spans="2:49">
      <c r="B81" s="13">
        <v>45979</v>
      </c>
      <c r="C81">
        <v>263.08</v>
      </c>
      <c r="D81">
        <v>4.5</v>
      </c>
      <c r="E81">
        <v>1.77</v>
      </c>
      <c r="F81">
        <v>2.2999999999999998</v>
      </c>
      <c r="G81">
        <v>22.62</v>
      </c>
      <c r="H81">
        <v>3.17</v>
      </c>
      <c r="I81">
        <v>48.22</v>
      </c>
      <c r="J81">
        <v>7.3010000000000002</v>
      </c>
      <c r="K81">
        <v>49.99</v>
      </c>
      <c r="L81">
        <v>54.04</v>
      </c>
      <c r="M81">
        <v>251.66</v>
      </c>
      <c r="N81">
        <v>33.5</v>
      </c>
      <c r="O81">
        <v>32.71</v>
      </c>
      <c r="P81">
        <v>16.600000000000001</v>
      </c>
      <c r="Q81">
        <v>25.45</v>
      </c>
      <c r="R81">
        <v>23.08</v>
      </c>
      <c r="S81">
        <v>149.85</v>
      </c>
      <c r="T81">
        <v>61.07</v>
      </c>
      <c r="U81">
        <v>117.14</v>
      </c>
      <c r="V81">
        <v>44.61</v>
      </c>
      <c r="W81">
        <v>167.33</v>
      </c>
      <c r="X81">
        <v>56.58</v>
      </c>
      <c r="Y81">
        <v>43.63</v>
      </c>
      <c r="Z81">
        <v>333.29</v>
      </c>
      <c r="AA81">
        <v>0.45500000000000002</v>
      </c>
      <c r="AB81">
        <v>25.1</v>
      </c>
      <c r="AC81">
        <v>68.67</v>
      </c>
      <c r="AD81">
        <v>660.08</v>
      </c>
      <c r="AE81">
        <v>4.82</v>
      </c>
      <c r="AF81">
        <v>57.375599999999999</v>
      </c>
      <c r="AG81">
        <v>13.744999999999999</v>
      </c>
      <c r="AH81">
        <v>596.30999999999995</v>
      </c>
      <c r="AI81">
        <v>102.64</v>
      </c>
      <c r="AJ81">
        <v>106.28</v>
      </c>
      <c r="AK81">
        <v>112.25</v>
      </c>
      <c r="AL81">
        <v>222.55</v>
      </c>
      <c r="AM81">
        <v>49.18</v>
      </c>
      <c r="AN81">
        <v>23.846499999999999</v>
      </c>
      <c r="AO81">
        <v>52.59</v>
      </c>
      <c r="AP81">
        <v>5.13</v>
      </c>
      <c r="AQ81">
        <v>103.25</v>
      </c>
      <c r="AR81">
        <v>62.77</v>
      </c>
      <c r="AS81">
        <v>114.09</v>
      </c>
      <c r="AT81">
        <v>5.98</v>
      </c>
      <c r="AU81">
        <v>313.58</v>
      </c>
      <c r="AV81">
        <v>239.09</v>
      </c>
      <c r="AW81">
        <v>114.18</v>
      </c>
    </row>
    <row r="82" spans="2:49">
      <c r="B82" s="13">
        <v>45980</v>
      </c>
      <c r="C82">
        <v>262.57</v>
      </c>
      <c r="D82">
        <v>4.5</v>
      </c>
      <c r="E82">
        <v>1.78</v>
      </c>
      <c r="F82">
        <v>2.2999999999999998</v>
      </c>
      <c r="G82">
        <v>21.17</v>
      </c>
      <c r="H82">
        <v>3.25</v>
      </c>
      <c r="I82">
        <v>47.62</v>
      </c>
      <c r="J82">
        <v>7.2427000000000001</v>
      </c>
      <c r="K82">
        <v>49.91</v>
      </c>
      <c r="L82">
        <v>53.85</v>
      </c>
      <c r="M82">
        <v>254.7</v>
      </c>
      <c r="N82">
        <v>33.409999999999997</v>
      </c>
      <c r="O82">
        <v>32.49</v>
      </c>
      <c r="P82">
        <v>16.559999999999999</v>
      </c>
      <c r="Q82">
        <v>24.88</v>
      </c>
      <c r="R82">
        <v>23.95</v>
      </c>
      <c r="S82">
        <v>150.35</v>
      </c>
      <c r="T82">
        <v>60.95</v>
      </c>
      <c r="U82">
        <v>115.49</v>
      </c>
      <c r="V82">
        <v>44.234999999999999</v>
      </c>
      <c r="W82">
        <v>165.42</v>
      </c>
      <c r="X82">
        <v>56.36</v>
      </c>
      <c r="Y82">
        <v>43.44</v>
      </c>
      <c r="Z82">
        <v>339.44</v>
      </c>
      <c r="AA82">
        <v>0.46</v>
      </c>
      <c r="AB82">
        <v>24.95</v>
      </c>
      <c r="AC82">
        <v>68.599999999999994</v>
      </c>
      <c r="AD82">
        <v>662.63</v>
      </c>
      <c r="AE82">
        <v>4.8</v>
      </c>
      <c r="AF82">
        <v>57.2684</v>
      </c>
      <c r="AG82">
        <v>13.645</v>
      </c>
      <c r="AH82">
        <v>599.87</v>
      </c>
      <c r="AI82">
        <v>103.56</v>
      </c>
      <c r="AJ82">
        <v>104.67</v>
      </c>
      <c r="AK82">
        <v>112.255</v>
      </c>
      <c r="AL82">
        <v>222.69</v>
      </c>
      <c r="AM82">
        <v>50.024999999999999</v>
      </c>
      <c r="AN82">
        <v>23.543800000000001</v>
      </c>
      <c r="AO82">
        <v>51.87</v>
      </c>
      <c r="AP82">
        <v>4.92</v>
      </c>
      <c r="AQ82">
        <v>102.37</v>
      </c>
      <c r="AR82">
        <v>62.79</v>
      </c>
      <c r="AS82">
        <v>110</v>
      </c>
      <c r="AT82">
        <v>5.75</v>
      </c>
      <c r="AU82">
        <v>309.08999999999997</v>
      </c>
      <c r="AV82">
        <v>240.46</v>
      </c>
      <c r="AW82">
        <v>117.5</v>
      </c>
    </row>
    <row r="83" spans="2:49">
      <c r="B83" s="13">
        <v>45981</v>
      </c>
      <c r="C83">
        <v>263.10000000000002</v>
      </c>
      <c r="D83">
        <v>4.5</v>
      </c>
      <c r="E83">
        <v>1.78</v>
      </c>
      <c r="F83">
        <v>2.38</v>
      </c>
      <c r="G83">
        <v>20.09</v>
      </c>
      <c r="H83">
        <v>3.24</v>
      </c>
      <c r="I83">
        <v>45.66</v>
      </c>
      <c r="J83">
        <v>7.1359000000000004</v>
      </c>
      <c r="K83">
        <v>49.37</v>
      </c>
      <c r="L83">
        <v>53.11</v>
      </c>
      <c r="M83">
        <v>248.31</v>
      </c>
      <c r="N83">
        <v>32.97</v>
      </c>
      <c r="O83">
        <v>31.9</v>
      </c>
      <c r="P83">
        <v>16.079999999999998</v>
      </c>
      <c r="Q83">
        <v>24.4</v>
      </c>
      <c r="R83">
        <v>22.78</v>
      </c>
      <c r="S83">
        <v>147.83000000000001</v>
      </c>
      <c r="T83">
        <v>60.08</v>
      </c>
      <c r="U83">
        <v>110.45</v>
      </c>
      <c r="V83">
        <v>44.01</v>
      </c>
      <c r="W83">
        <v>155.745</v>
      </c>
      <c r="X83">
        <v>55.69</v>
      </c>
      <c r="Y83">
        <v>42.99</v>
      </c>
      <c r="Z83">
        <v>325.10000000000002</v>
      </c>
      <c r="AA83">
        <v>0.46</v>
      </c>
      <c r="AB83">
        <v>24.75</v>
      </c>
      <c r="AC83">
        <v>67.819999999999993</v>
      </c>
      <c r="AD83">
        <v>652.53</v>
      </c>
      <c r="AE83">
        <v>4.8</v>
      </c>
      <c r="AF83">
        <v>57.009300000000003</v>
      </c>
      <c r="AG83">
        <v>13.2722</v>
      </c>
      <c r="AH83">
        <v>585.66999999999996</v>
      </c>
      <c r="AI83">
        <v>104.12</v>
      </c>
      <c r="AJ83">
        <v>102.7</v>
      </c>
      <c r="AK83">
        <v>110.58</v>
      </c>
      <c r="AL83">
        <v>217.14</v>
      </c>
      <c r="AM83">
        <v>46.45</v>
      </c>
      <c r="AN83">
        <v>22.991099999999999</v>
      </c>
      <c r="AO83">
        <v>50.52</v>
      </c>
      <c r="AP83">
        <v>4.83</v>
      </c>
      <c r="AQ83">
        <v>103.76</v>
      </c>
      <c r="AR83">
        <v>61.54</v>
      </c>
      <c r="AS83">
        <v>105.67</v>
      </c>
      <c r="AT83">
        <v>5.4</v>
      </c>
      <c r="AU83">
        <v>311.54000000000002</v>
      </c>
      <c r="AV83">
        <v>235.37</v>
      </c>
      <c r="AW83">
        <v>114.41</v>
      </c>
    </row>
    <row r="84" spans="2:49">
      <c r="B84" s="13">
        <v>45982</v>
      </c>
      <c r="C84">
        <v>269.43</v>
      </c>
      <c r="D84">
        <v>4.51</v>
      </c>
      <c r="E84" t="s">
        <v>220</v>
      </c>
      <c r="F84">
        <v>2.34</v>
      </c>
      <c r="G84">
        <v>20.36</v>
      </c>
      <c r="H84">
        <v>3.24</v>
      </c>
      <c r="I84">
        <v>45.94</v>
      </c>
      <c r="J84">
        <v>7.165</v>
      </c>
      <c r="K84">
        <v>49.73</v>
      </c>
      <c r="L84">
        <v>53.1</v>
      </c>
      <c r="M84">
        <v>247.85</v>
      </c>
      <c r="N84">
        <v>33.58</v>
      </c>
      <c r="O84">
        <v>32.03</v>
      </c>
      <c r="P84">
        <v>16.07</v>
      </c>
      <c r="Q84">
        <v>25.04</v>
      </c>
      <c r="R84">
        <v>23.02</v>
      </c>
      <c r="S84">
        <v>149.63</v>
      </c>
      <c r="T84">
        <v>60.78</v>
      </c>
      <c r="U84">
        <v>110.95</v>
      </c>
      <c r="V84">
        <v>44.075000000000003</v>
      </c>
      <c r="W84">
        <v>154.85</v>
      </c>
      <c r="X84">
        <v>56.69</v>
      </c>
      <c r="Y84">
        <v>43.69</v>
      </c>
      <c r="Z84">
        <v>326.13</v>
      </c>
      <c r="AA84">
        <v>0.435</v>
      </c>
      <c r="AB84">
        <v>24.48</v>
      </c>
      <c r="AC84">
        <v>68.84</v>
      </c>
      <c r="AD84">
        <v>659.03</v>
      </c>
      <c r="AE84">
        <v>4.3</v>
      </c>
      <c r="AF84">
        <v>58.155000000000001</v>
      </c>
      <c r="AG84">
        <v>13.3371</v>
      </c>
      <c r="AH84">
        <v>590.07000000000005</v>
      </c>
      <c r="AI84">
        <v>106.75</v>
      </c>
      <c r="AJ84">
        <v>104.28</v>
      </c>
      <c r="AK84">
        <v>112.75</v>
      </c>
      <c r="AL84">
        <v>220.69</v>
      </c>
      <c r="AM84">
        <v>47.48</v>
      </c>
      <c r="AN84">
        <v>22.9</v>
      </c>
      <c r="AO84">
        <v>50.41</v>
      </c>
      <c r="AP84">
        <v>4.7300000000000004</v>
      </c>
      <c r="AQ84">
        <v>105.18</v>
      </c>
      <c r="AR84">
        <v>60.62</v>
      </c>
      <c r="AS84">
        <v>104.31</v>
      </c>
      <c r="AT84">
        <v>5.58</v>
      </c>
      <c r="AU84">
        <v>319.97000000000003</v>
      </c>
      <c r="AV84">
        <v>235.47</v>
      </c>
      <c r="AW84">
        <v>118.67</v>
      </c>
    </row>
    <row r="85" spans="2:49">
      <c r="B85" s="13">
        <v>45983</v>
      </c>
      <c r="C85" t="s">
        <v>220</v>
      </c>
      <c r="D85" t="s">
        <v>220</v>
      </c>
      <c r="E85" t="s">
        <v>220</v>
      </c>
      <c r="F85" t="s">
        <v>220</v>
      </c>
      <c r="G85" t="s">
        <v>220</v>
      </c>
      <c r="H85" t="s">
        <v>220</v>
      </c>
      <c r="I85" t="s">
        <v>220</v>
      </c>
      <c r="J85" t="s">
        <v>220</v>
      </c>
      <c r="K85" t="s">
        <v>220</v>
      </c>
      <c r="L85" t="s">
        <v>220</v>
      </c>
      <c r="M85" t="s">
        <v>220</v>
      </c>
      <c r="N85" t="s">
        <v>220</v>
      </c>
      <c r="O85" t="s">
        <v>220</v>
      </c>
      <c r="P85" t="s">
        <v>220</v>
      </c>
      <c r="Q85" t="s">
        <v>220</v>
      </c>
      <c r="R85" t="s">
        <v>220</v>
      </c>
      <c r="S85" t="s">
        <v>220</v>
      </c>
      <c r="T85" t="s">
        <v>220</v>
      </c>
      <c r="U85" t="s">
        <v>220</v>
      </c>
      <c r="V85" t="s">
        <v>220</v>
      </c>
      <c r="W85" t="s">
        <v>220</v>
      </c>
      <c r="X85" t="s">
        <v>220</v>
      </c>
      <c r="Y85" t="s">
        <v>220</v>
      </c>
      <c r="Z85" t="s">
        <v>220</v>
      </c>
      <c r="AA85" t="s">
        <v>220</v>
      </c>
      <c r="AB85" t="s">
        <v>220</v>
      </c>
      <c r="AC85" t="s">
        <v>220</v>
      </c>
      <c r="AD85" t="s">
        <v>220</v>
      </c>
      <c r="AE85" t="s">
        <v>220</v>
      </c>
      <c r="AF85" t="s">
        <v>220</v>
      </c>
      <c r="AG85" t="s">
        <v>220</v>
      </c>
      <c r="AH85" t="s">
        <v>220</v>
      </c>
      <c r="AI85" t="s">
        <v>220</v>
      </c>
      <c r="AJ85" t="s">
        <v>220</v>
      </c>
      <c r="AK85" t="s">
        <v>220</v>
      </c>
      <c r="AL85" t="s">
        <v>220</v>
      </c>
      <c r="AM85" t="s">
        <v>220</v>
      </c>
      <c r="AN85" t="s">
        <v>220</v>
      </c>
      <c r="AO85" t="s">
        <v>220</v>
      </c>
      <c r="AP85" t="s">
        <v>220</v>
      </c>
      <c r="AQ85" t="s">
        <v>220</v>
      </c>
      <c r="AR85" t="s">
        <v>220</v>
      </c>
      <c r="AS85" t="s">
        <v>220</v>
      </c>
      <c r="AT85" t="s">
        <v>220</v>
      </c>
      <c r="AU85" t="s">
        <v>220</v>
      </c>
      <c r="AV85" t="s">
        <v>220</v>
      </c>
      <c r="AW85" t="s">
        <v>220</v>
      </c>
    </row>
    <row r="86" spans="2:49">
      <c r="B86" s="13">
        <v>45984</v>
      </c>
      <c r="C86" t="s">
        <v>220</v>
      </c>
      <c r="D86" t="s">
        <v>220</v>
      </c>
      <c r="E86" t="s">
        <v>220</v>
      </c>
      <c r="F86" t="s">
        <v>220</v>
      </c>
      <c r="G86" t="s">
        <v>220</v>
      </c>
      <c r="H86" t="s">
        <v>220</v>
      </c>
      <c r="I86" t="s">
        <v>220</v>
      </c>
      <c r="J86" t="s">
        <v>220</v>
      </c>
      <c r="K86" t="s">
        <v>220</v>
      </c>
      <c r="L86" t="s">
        <v>220</v>
      </c>
      <c r="M86" t="s">
        <v>220</v>
      </c>
      <c r="N86" t="s">
        <v>220</v>
      </c>
      <c r="O86" t="s">
        <v>220</v>
      </c>
      <c r="P86" t="s">
        <v>220</v>
      </c>
      <c r="Q86" t="s">
        <v>220</v>
      </c>
      <c r="R86" t="s">
        <v>220</v>
      </c>
      <c r="S86" t="s">
        <v>220</v>
      </c>
      <c r="T86" t="s">
        <v>220</v>
      </c>
      <c r="U86" t="s">
        <v>220</v>
      </c>
      <c r="V86" t="s">
        <v>220</v>
      </c>
      <c r="W86" t="s">
        <v>220</v>
      </c>
      <c r="X86" t="s">
        <v>220</v>
      </c>
      <c r="Y86" t="s">
        <v>220</v>
      </c>
      <c r="Z86" t="s">
        <v>220</v>
      </c>
      <c r="AA86" t="s">
        <v>220</v>
      </c>
      <c r="AB86" t="s">
        <v>220</v>
      </c>
      <c r="AC86" t="s">
        <v>220</v>
      </c>
      <c r="AD86" t="s">
        <v>220</v>
      </c>
      <c r="AE86" t="s">
        <v>220</v>
      </c>
      <c r="AF86" t="s">
        <v>220</v>
      </c>
      <c r="AG86" t="s">
        <v>220</v>
      </c>
      <c r="AH86" t="s">
        <v>220</v>
      </c>
      <c r="AI86" t="s">
        <v>220</v>
      </c>
      <c r="AJ86" t="s">
        <v>220</v>
      </c>
      <c r="AK86" t="s">
        <v>220</v>
      </c>
      <c r="AL86" t="s">
        <v>220</v>
      </c>
      <c r="AM86" t="s">
        <v>220</v>
      </c>
      <c r="AN86" t="s">
        <v>220</v>
      </c>
      <c r="AO86" t="s">
        <v>220</v>
      </c>
      <c r="AP86" t="s">
        <v>220</v>
      </c>
      <c r="AQ86" t="s">
        <v>220</v>
      </c>
      <c r="AR86" t="s">
        <v>220</v>
      </c>
      <c r="AS86" t="s">
        <v>220</v>
      </c>
      <c r="AT86" t="s">
        <v>220</v>
      </c>
      <c r="AU86" t="s">
        <v>220</v>
      </c>
      <c r="AV86" t="s">
        <v>220</v>
      </c>
      <c r="AW86" t="s">
        <v>220</v>
      </c>
    </row>
    <row r="87" spans="2:49">
      <c r="B87" s="13">
        <v>45985</v>
      </c>
      <c r="C87">
        <v>266.98</v>
      </c>
      <c r="D87">
        <v>4.1500000000000004</v>
      </c>
      <c r="E87" t="s">
        <v>220</v>
      </c>
      <c r="F87">
        <v>2.29</v>
      </c>
      <c r="G87">
        <v>20.93</v>
      </c>
      <c r="H87">
        <v>3.18</v>
      </c>
      <c r="I87">
        <v>46.46</v>
      </c>
      <c r="J87">
        <v>7.165</v>
      </c>
      <c r="K87">
        <v>49.94</v>
      </c>
      <c r="L87">
        <v>53.66</v>
      </c>
      <c r="M87">
        <v>253.78</v>
      </c>
      <c r="N87">
        <v>33.54</v>
      </c>
      <c r="O87">
        <v>32.200000000000003</v>
      </c>
      <c r="P87">
        <v>16.29</v>
      </c>
      <c r="Q87">
        <v>25.22</v>
      </c>
      <c r="R87">
        <v>23.62</v>
      </c>
      <c r="S87">
        <v>150</v>
      </c>
      <c r="T87">
        <v>60.7</v>
      </c>
      <c r="U87">
        <v>119.21</v>
      </c>
      <c r="V87">
        <v>44.575000000000003</v>
      </c>
      <c r="W87">
        <v>162.25</v>
      </c>
      <c r="X87">
        <v>56.39</v>
      </c>
      <c r="Y87">
        <v>43.33</v>
      </c>
      <c r="Z87">
        <v>339.12</v>
      </c>
      <c r="AA87">
        <v>0.44</v>
      </c>
      <c r="AB87">
        <v>24</v>
      </c>
      <c r="AC87">
        <v>69.39</v>
      </c>
      <c r="AD87">
        <v>668.73</v>
      </c>
      <c r="AE87">
        <v>4.29</v>
      </c>
      <c r="AF87">
        <v>58.260800000000003</v>
      </c>
      <c r="AG87">
        <v>13.513299999999999</v>
      </c>
      <c r="AH87">
        <v>605.16</v>
      </c>
      <c r="AI87">
        <v>107.19</v>
      </c>
      <c r="AJ87">
        <v>101.94</v>
      </c>
      <c r="AK87">
        <v>114.255</v>
      </c>
      <c r="AL87">
        <v>226.28</v>
      </c>
      <c r="AM87">
        <v>51.08</v>
      </c>
      <c r="AN87">
        <v>23.284099999999999</v>
      </c>
      <c r="AO87">
        <v>51.83</v>
      </c>
      <c r="AP87">
        <v>4.74</v>
      </c>
      <c r="AQ87">
        <v>105.03</v>
      </c>
      <c r="AR87">
        <v>60.64</v>
      </c>
      <c r="AS87">
        <v>106.97</v>
      </c>
      <c r="AT87">
        <v>5.75</v>
      </c>
      <c r="AU87">
        <v>319.05</v>
      </c>
      <c r="AV87">
        <v>239.07</v>
      </c>
      <c r="AW87">
        <v>117.85</v>
      </c>
    </row>
    <row r="88" spans="2:49">
      <c r="B88" s="13">
        <v>45986</v>
      </c>
      <c r="C88">
        <v>273.87</v>
      </c>
      <c r="D88">
        <v>4.25</v>
      </c>
      <c r="E88">
        <v>1.7</v>
      </c>
      <c r="F88">
        <v>2.29</v>
      </c>
      <c r="G88">
        <v>21.62</v>
      </c>
      <c r="H88">
        <v>3.26</v>
      </c>
      <c r="I88">
        <v>47.08</v>
      </c>
      <c r="J88">
        <v>7.2039</v>
      </c>
      <c r="K88">
        <v>50.84</v>
      </c>
      <c r="L88">
        <v>53.85</v>
      </c>
      <c r="M88">
        <v>251.65</v>
      </c>
      <c r="N88">
        <v>34.270000000000003</v>
      </c>
      <c r="O88">
        <v>32.549999999999997</v>
      </c>
      <c r="P88">
        <v>16.43</v>
      </c>
      <c r="Q88">
        <v>25.72</v>
      </c>
      <c r="R88">
        <v>23.38</v>
      </c>
      <c r="S88">
        <v>151.91999999999999</v>
      </c>
      <c r="T88">
        <v>61.76</v>
      </c>
      <c r="U88">
        <v>117.88</v>
      </c>
      <c r="V88">
        <v>44.405000000000001</v>
      </c>
      <c r="W88">
        <v>163.55000000000001</v>
      </c>
      <c r="X88">
        <v>57.26</v>
      </c>
      <c r="Y88">
        <v>44.06</v>
      </c>
      <c r="Z88">
        <v>340.01</v>
      </c>
      <c r="AA88">
        <v>0.47</v>
      </c>
      <c r="AB88">
        <v>24.2</v>
      </c>
      <c r="AC88">
        <v>70.459999999999994</v>
      </c>
      <c r="AD88">
        <v>675.02</v>
      </c>
      <c r="AE88" t="s">
        <v>220</v>
      </c>
      <c r="AF88">
        <v>59.4482</v>
      </c>
      <c r="AG88">
        <v>13.585100000000001</v>
      </c>
      <c r="AH88">
        <v>608.89</v>
      </c>
      <c r="AI88">
        <v>108.35</v>
      </c>
      <c r="AJ88">
        <v>103.31</v>
      </c>
      <c r="AK88">
        <v>116.7</v>
      </c>
      <c r="AL88">
        <v>229.67</v>
      </c>
      <c r="AM88">
        <v>52.01</v>
      </c>
      <c r="AN88">
        <v>23.535</v>
      </c>
      <c r="AO88">
        <v>52.44</v>
      </c>
      <c r="AP88">
        <v>4.6399999999999997</v>
      </c>
      <c r="AQ88">
        <v>106.01</v>
      </c>
      <c r="AR88">
        <v>60.49</v>
      </c>
      <c r="AS88">
        <v>104.4</v>
      </c>
      <c r="AT88">
        <v>5.5</v>
      </c>
      <c r="AU88">
        <v>326.27999999999997</v>
      </c>
      <c r="AV88">
        <v>241.84</v>
      </c>
      <c r="AW88">
        <v>120.81</v>
      </c>
    </row>
    <row r="89" spans="2:49">
      <c r="B89" s="13">
        <v>45987</v>
      </c>
      <c r="C89">
        <v>275.83</v>
      </c>
      <c r="D89">
        <v>4.3</v>
      </c>
      <c r="E89">
        <v>1.78</v>
      </c>
      <c r="F89">
        <v>2.46</v>
      </c>
      <c r="G89">
        <v>21.14</v>
      </c>
      <c r="H89">
        <v>3.25</v>
      </c>
      <c r="I89">
        <v>47.9</v>
      </c>
      <c r="J89">
        <v>7.4368999999999996</v>
      </c>
      <c r="K89">
        <v>51.59</v>
      </c>
      <c r="L89">
        <v>54.24</v>
      </c>
      <c r="M89">
        <v>255.87</v>
      </c>
      <c r="N89">
        <v>34.75</v>
      </c>
      <c r="O89">
        <v>33.47</v>
      </c>
      <c r="P89">
        <v>16.8</v>
      </c>
      <c r="Q89">
        <v>25.71</v>
      </c>
      <c r="R89">
        <v>24.28</v>
      </c>
      <c r="S89">
        <v>152.80000000000001</v>
      </c>
      <c r="T89">
        <v>62.42</v>
      </c>
      <c r="U89">
        <v>116.34</v>
      </c>
      <c r="V89">
        <v>44.994999999999997</v>
      </c>
      <c r="W89">
        <v>165.77</v>
      </c>
      <c r="X89">
        <v>57.55</v>
      </c>
      <c r="Y89">
        <v>44.43</v>
      </c>
      <c r="Z89">
        <v>347.71</v>
      </c>
      <c r="AA89">
        <v>0.52</v>
      </c>
      <c r="AB89">
        <v>25</v>
      </c>
      <c r="AC89">
        <v>70.84</v>
      </c>
      <c r="AD89">
        <v>679.68</v>
      </c>
      <c r="AE89">
        <v>4.26</v>
      </c>
      <c r="AF89">
        <v>59.421700000000001</v>
      </c>
      <c r="AG89">
        <v>13.9754</v>
      </c>
      <c r="AH89">
        <v>614.27</v>
      </c>
      <c r="AI89">
        <v>107.97</v>
      </c>
      <c r="AJ89">
        <v>103.43</v>
      </c>
      <c r="AK89">
        <v>117.5</v>
      </c>
      <c r="AL89">
        <v>229.16</v>
      </c>
      <c r="AM89">
        <v>53.37</v>
      </c>
      <c r="AN89">
        <v>23.594899999999999</v>
      </c>
      <c r="AO89">
        <v>52.3</v>
      </c>
      <c r="AP89">
        <v>4.78</v>
      </c>
      <c r="AQ89">
        <v>108.29</v>
      </c>
      <c r="AR89">
        <v>62.7</v>
      </c>
      <c r="AS89">
        <v>106.14</v>
      </c>
      <c r="AT89">
        <v>5.46</v>
      </c>
      <c r="AU89">
        <v>329.71</v>
      </c>
      <c r="AV89">
        <v>243.63</v>
      </c>
      <c r="AW89">
        <v>120.83</v>
      </c>
    </row>
    <row r="90" spans="2:49">
      <c r="B90" s="13">
        <v>45988</v>
      </c>
      <c r="C90" t="s">
        <v>220</v>
      </c>
      <c r="D90">
        <v>4.29</v>
      </c>
      <c r="E90">
        <v>1.77</v>
      </c>
      <c r="F90">
        <v>2.4300000000000002</v>
      </c>
      <c r="G90" t="s">
        <v>220</v>
      </c>
      <c r="H90">
        <v>3.34</v>
      </c>
      <c r="I90" t="s">
        <v>220</v>
      </c>
      <c r="J90" t="s">
        <v>220</v>
      </c>
      <c r="K90" t="s">
        <v>220</v>
      </c>
      <c r="L90" t="s">
        <v>220</v>
      </c>
      <c r="M90" t="s">
        <v>220</v>
      </c>
      <c r="N90" t="s">
        <v>220</v>
      </c>
      <c r="O90" t="s">
        <v>220</v>
      </c>
      <c r="P90" t="s">
        <v>220</v>
      </c>
      <c r="Q90" t="s">
        <v>220</v>
      </c>
      <c r="R90" t="s">
        <v>220</v>
      </c>
      <c r="S90" t="s">
        <v>220</v>
      </c>
      <c r="T90" t="s">
        <v>220</v>
      </c>
      <c r="U90" t="s">
        <v>220</v>
      </c>
      <c r="V90" t="s">
        <v>220</v>
      </c>
      <c r="W90" t="s">
        <v>220</v>
      </c>
      <c r="X90" t="s">
        <v>220</v>
      </c>
      <c r="Y90" t="s">
        <v>220</v>
      </c>
      <c r="Z90" t="s">
        <v>220</v>
      </c>
      <c r="AA90">
        <v>0.53</v>
      </c>
      <c r="AB90">
        <v>24.7</v>
      </c>
      <c r="AC90" t="s">
        <v>220</v>
      </c>
      <c r="AD90" t="s">
        <v>220</v>
      </c>
      <c r="AE90" t="s">
        <v>220</v>
      </c>
      <c r="AF90" t="s">
        <v>220</v>
      </c>
      <c r="AG90" t="s">
        <v>220</v>
      </c>
      <c r="AH90" t="s">
        <v>220</v>
      </c>
      <c r="AI90" t="s">
        <v>220</v>
      </c>
      <c r="AJ90" t="s">
        <v>220</v>
      </c>
      <c r="AK90" t="s">
        <v>220</v>
      </c>
      <c r="AL90" t="s">
        <v>220</v>
      </c>
      <c r="AM90" t="s">
        <v>220</v>
      </c>
      <c r="AN90" t="s">
        <v>220</v>
      </c>
      <c r="AO90" t="s">
        <v>220</v>
      </c>
      <c r="AP90" t="s">
        <v>220</v>
      </c>
      <c r="AQ90" t="s">
        <v>220</v>
      </c>
      <c r="AR90" t="s">
        <v>220</v>
      </c>
      <c r="AS90" t="s">
        <v>220</v>
      </c>
      <c r="AT90" t="s">
        <v>220</v>
      </c>
      <c r="AU90" t="s">
        <v>220</v>
      </c>
      <c r="AV90" t="s">
        <v>220</v>
      </c>
      <c r="AW90" t="s">
        <v>220</v>
      </c>
    </row>
    <row r="91" spans="2:49">
      <c r="B91" s="13">
        <v>45989</v>
      </c>
      <c r="C91">
        <v>275.68</v>
      </c>
      <c r="D91">
        <v>4.4000000000000004</v>
      </c>
      <c r="E91">
        <v>1.83</v>
      </c>
      <c r="F91">
        <v>2.4</v>
      </c>
      <c r="G91">
        <v>21.83</v>
      </c>
      <c r="H91">
        <v>3.35</v>
      </c>
      <c r="I91">
        <v>48.91</v>
      </c>
      <c r="J91">
        <v>7.5728</v>
      </c>
      <c r="K91">
        <v>51.66</v>
      </c>
      <c r="L91">
        <v>54.32</v>
      </c>
      <c r="M91">
        <v>257.20999999999998</v>
      </c>
      <c r="N91">
        <v>35</v>
      </c>
      <c r="O91">
        <v>33.61</v>
      </c>
      <c r="P91">
        <v>16.989999999999998</v>
      </c>
      <c r="Q91">
        <v>25.74</v>
      </c>
      <c r="R91">
        <v>24.78</v>
      </c>
      <c r="S91">
        <v>153.69</v>
      </c>
      <c r="T91">
        <v>62.66</v>
      </c>
      <c r="U91">
        <v>116.89</v>
      </c>
      <c r="V91">
        <v>45.314999999999998</v>
      </c>
      <c r="W91">
        <v>168.45</v>
      </c>
      <c r="X91">
        <v>57.82</v>
      </c>
      <c r="Y91">
        <v>44.57</v>
      </c>
      <c r="Z91">
        <v>352.28</v>
      </c>
      <c r="AA91">
        <v>0.55000000000000004</v>
      </c>
      <c r="AB91">
        <v>24.75</v>
      </c>
      <c r="AC91">
        <v>71.319999999999993</v>
      </c>
      <c r="AD91">
        <v>683.39</v>
      </c>
      <c r="AE91">
        <v>4.3499999999999996</v>
      </c>
      <c r="AF91">
        <v>59.302700000000002</v>
      </c>
      <c r="AG91">
        <v>14.1595</v>
      </c>
      <c r="AH91">
        <v>619.25</v>
      </c>
      <c r="AI91">
        <v>108.25</v>
      </c>
      <c r="AJ91">
        <v>104.47</v>
      </c>
      <c r="AK91">
        <v>118.23</v>
      </c>
      <c r="AL91">
        <v>233.22</v>
      </c>
      <c r="AM91">
        <v>54.54</v>
      </c>
      <c r="AN91">
        <v>23.790299999999998</v>
      </c>
      <c r="AO91">
        <v>52.62</v>
      </c>
      <c r="AP91">
        <v>4.63</v>
      </c>
      <c r="AQ91">
        <v>109.12</v>
      </c>
      <c r="AR91">
        <v>63.06</v>
      </c>
      <c r="AS91">
        <v>107.58</v>
      </c>
      <c r="AT91">
        <v>5.5</v>
      </c>
      <c r="AU91">
        <v>329.77</v>
      </c>
      <c r="AV91">
        <v>246.07</v>
      </c>
      <c r="AW91">
        <v>122.31</v>
      </c>
    </row>
    <row r="92" spans="2:49">
      <c r="B92" s="13">
        <v>45990</v>
      </c>
      <c r="C92" t="s">
        <v>220</v>
      </c>
      <c r="D92" t="s">
        <v>220</v>
      </c>
      <c r="E92" t="s">
        <v>220</v>
      </c>
      <c r="F92" t="s">
        <v>220</v>
      </c>
      <c r="G92" t="s">
        <v>220</v>
      </c>
      <c r="H92" t="s">
        <v>220</v>
      </c>
      <c r="I92" t="s">
        <v>220</v>
      </c>
      <c r="J92" t="s">
        <v>220</v>
      </c>
      <c r="K92" t="s">
        <v>220</v>
      </c>
      <c r="L92" t="s">
        <v>220</v>
      </c>
      <c r="M92" t="s">
        <v>220</v>
      </c>
      <c r="N92" t="s">
        <v>220</v>
      </c>
      <c r="O92" t="s">
        <v>220</v>
      </c>
      <c r="P92" t="s">
        <v>220</v>
      </c>
      <c r="Q92" t="s">
        <v>220</v>
      </c>
      <c r="R92" t="s">
        <v>220</v>
      </c>
      <c r="S92" t="s">
        <v>220</v>
      </c>
      <c r="T92" t="s">
        <v>220</v>
      </c>
      <c r="U92" t="s">
        <v>220</v>
      </c>
      <c r="V92" t="s">
        <v>220</v>
      </c>
      <c r="W92" t="s">
        <v>220</v>
      </c>
      <c r="X92" t="s">
        <v>220</v>
      </c>
      <c r="Y92" t="s">
        <v>220</v>
      </c>
      <c r="Z92" t="s">
        <v>220</v>
      </c>
      <c r="AA92" t="s">
        <v>220</v>
      </c>
      <c r="AB92" t="s">
        <v>220</v>
      </c>
      <c r="AC92" t="s">
        <v>220</v>
      </c>
      <c r="AD92" t="s">
        <v>220</v>
      </c>
      <c r="AE92" t="s">
        <v>220</v>
      </c>
      <c r="AF92" t="s">
        <v>220</v>
      </c>
      <c r="AG92" t="s">
        <v>220</v>
      </c>
      <c r="AH92" t="s">
        <v>220</v>
      </c>
      <c r="AI92" t="s">
        <v>220</v>
      </c>
      <c r="AJ92" t="s">
        <v>220</v>
      </c>
      <c r="AK92" t="s">
        <v>220</v>
      </c>
      <c r="AL92" t="s">
        <v>220</v>
      </c>
      <c r="AM92" t="s">
        <v>220</v>
      </c>
      <c r="AN92" t="s">
        <v>220</v>
      </c>
      <c r="AO92" t="s">
        <v>220</v>
      </c>
      <c r="AP92" t="s">
        <v>220</v>
      </c>
      <c r="AQ92" t="s">
        <v>220</v>
      </c>
      <c r="AR92" t="s">
        <v>220</v>
      </c>
      <c r="AS92" t="s">
        <v>220</v>
      </c>
      <c r="AT92" t="s">
        <v>220</v>
      </c>
      <c r="AU92" t="s">
        <v>220</v>
      </c>
      <c r="AV92" t="s">
        <v>220</v>
      </c>
      <c r="AW92" t="s">
        <v>220</v>
      </c>
    </row>
    <row r="93" spans="2:49">
      <c r="B93" s="13">
        <v>45991</v>
      </c>
      <c r="C93" t="s">
        <v>220</v>
      </c>
      <c r="D93" t="s">
        <v>220</v>
      </c>
      <c r="E93" t="s">
        <v>220</v>
      </c>
      <c r="F93" t="s">
        <v>220</v>
      </c>
      <c r="G93" t="s">
        <v>220</v>
      </c>
      <c r="H93" t="s">
        <v>220</v>
      </c>
      <c r="I93" t="s">
        <v>220</v>
      </c>
      <c r="J93" t="s">
        <v>220</v>
      </c>
      <c r="K93" t="s">
        <v>220</v>
      </c>
      <c r="L93" t="s">
        <v>220</v>
      </c>
      <c r="M93" t="s">
        <v>220</v>
      </c>
      <c r="N93" t="s">
        <v>220</v>
      </c>
      <c r="O93" t="s">
        <v>220</v>
      </c>
      <c r="P93" t="s">
        <v>220</v>
      </c>
      <c r="Q93" t="s">
        <v>220</v>
      </c>
      <c r="R93" t="s">
        <v>220</v>
      </c>
      <c r="S93" t="s">
        <v>220</v>
      </c>
      <c r="T93" t="s">
        <v>220</v>
      </c>
      <c r="U93" t="s">
        <v>220</v>
      </c>
      <c r="V93" t="s">
        <v>220</v>
      </c>
      <c r="W93" t="s">
        <v>220</v>
      </c>
      <c r="X93" t="s">
        <v>220</v>
      </c>
      <c r="Y93" t="s">
        <v>220</v>
      </c>
      <c r="Z93" t="s">
        <v>220</v>
      </c>
      <c r="AA93" t="s">
        <v>220</v>
      </c>
      <c r="AB93" t="s">
        <v>220</v>
      </c>
      <c r="AC93" t="s">
        <v>220</v>
      </c>
      <c r="AD93" t="s">
        <v>220</v>
      </c>
      <c r="AE93" t="s">
        <v>220</v>
      </c>
      <c r="AF93" t="s">
        <v>220</v>
      </c>
      <c r="AG93" t="s">
        <v>220</v>
      </c>
      <c r="AH93" t="s">
        <v>220</v>
      </c>
      <c r="AI93" t="s">
        <v>220</v>
      </c>
      <c r="AJ93" t="s">
        <v>220</v>
      </c>
      <c r="AK93" t="s">
        <v>220</v>
      </c>
      <c r="AL93" t="s">
        <v>220</v>
      </c>
      <c r="AM93" t="s">
        <v>220</v>
      </c>
      <c r="AN93" t="s">
        <v>220</v>
      </c>
      <c r="AO93" t="s">
        <v>220</v>
      </c>
      <c r="AP93" t="s">
        <v>220</v>
      </c>
      <c r="AQ93" t="s">
        <v>220</v>
      </c>
      <c r="AR93" t="s">
        <v>220</v>
      </c>
      <c r="AS93" t="s">
        <v>220</v>
      </c>
      <c r="AT93" t="s">
        <v>220</v>
      </c>
      <c r="AU93" t="s">
        <v>220</v>
      </c>
      <c r="AV93" t="s">
        <v>220</v>
      </c>
      <c r="AW93" t="s">
        <v>220</v>
      </c>
    </row>
    <row r="94" spans="2:49">
      <c r="B94" s="13">
        <v>45992</v>
      </c>
      <c r="C94">
        <v>273.33999999999997</v>
      </c>
      <c r="D94">
        <v>4.5199999999999996</v>
      </c>
      <c r="E94">
        <v>1.83</v>
      </c>
      <c r="F94">
        <v>2.42</v>
      </c>
      <c r="G94">
        <v>21.35</v>
      </c>
      <c r="H94">
        <v>3.37</v>
      </c>
      <c r="I94">
        <v>47.64</v>
      </c>
      <c r="J94">
        <v>7.4660000000000002</v>
      </c>
      <c r="K94">
        <v>51.57</v>
      </c>
      <c r="L94">
        <v>54.28</v>
      </c>
      <c r="M94">
        <v>254.95</v>
      </c>
      <c r="N94">
        <v>34.83</v>
      </c>
      <c r="O94">
        <v>33.4</v>
      </c>
      <c r="P94">
        <v>16.55</v>
      </c>
      <c r="Q94">
        <v>25.27</v>
      </c>
      <c r="R94">
        <v>25.22</v>
      </c>
      <c r="S94">
        <v>151.44</v>
      </c>
      <c r="T94">
        <v>62.58</v>
      </c>
      <c r="U94">
        <v>119.71</v>
      </c>
      <c r="V94">
        <v>44.255000000000003</v>
      </c>
      <c r="W94">
        <v>167.49</v>
      </c>
      <c r="X94">
        <v>57.42</v>
      </c>
      <c r="Y94">
        <v>44.41</v>
      </c>
      <c r="Z94">
        <v>352.96</v>
      </c>
      <c r="AA94">
        <v>0.53</v>
      </c>
      <c r="AB94">
        <v>24.32</v>
      </c>
      <c r="AC94">
        <v>70.78</v>
      </c>
      <c r="AD94">
        <v>680.27</v>
      </c>
      <c r="AE94">
        <v>4.4000000000000004</v>
      </c>
      <c r="AF94">
        <v>58.363999999999997</v>
      </c>
      <c r="AG94">
        <v>14.05</v>
      </c>
      <c r="AH94">
        <v>617.16999999999996</v>
      </c>
      <c r="AI94">
        <v>108.22</v>
      </c>
      <c r="AJ94">
        <v>106.77</v>
      </c>
      <c r="AK94">
        <v>118.3</v>
      </c>
      <c r="AL94">
        <v>233.88</v>
      </c>
      <c r="AM94">
        <v>54.05</v>
      </c>
      <c r="AN94">
        <v>24.16</v>
      </c>
      <c r="AO94">
        <v>52.97</v>
      </c>
      <c r="AP94">
        <v>4.82</v>
      </c>
      <c r="AQ94">
        <v>108.54</v>
      </c>
      <c r="AR94">
        <v>62.3</v>
      </c>
      <c r="AS94">
        <v>109.13</v>
      </c>
      <c r="AT94">
        <v>5.18</v>
      </c>
      <c r="AU94">
        <v>323.20999999999998</v>
      </c>
      <c r="AV94">
        <v>249.34</v>
      </c>
      <c r="AW94">
        <v>122.19</v>
      </c>
    </row>
    <row r="95" spans="2:49">
      <c r="B95" s="13">
        <v>45993</v>
      </c>
      <c r="C95">
        <v>270.37</v>
      </c>
      <c r="D95">
        <v>4.5</v>
      </c>
      <c r="E95" t="s">
        <v>220</v>
      </c>
      <c r="F95">
        <v>2.42</v>
      </c>
      <c r="G95">
        <v>19.66</v>
      </c>
      <c r="H95">
        <v>3.41</v>
      </c>
      <c r="I95">
        <v>47.63</v>
      </c>
      <c r="J95">
        <v>7.6601999999999997</v>
      </c>
      <c r="K95">
        <v>52.02</v>
      </c>
      <c r="L95">
        <v>54.3</v>
      </c>
      <c r="M95">
        <v>261.23</v>
      </c>
      <c r="N95">
        <v>35.21</v>
      </c>
      <c r="O95">
        <v>34.03</v>
      </c>
      <c r="P95">
        <v>16.72</v>
      </c>
      <c r="Q95">
        <v>25.15</v>
      </c>
      <c r="R95">
        <v>25.03</v>
      </c>
      <c r="S95">
        <v>152.76</v>
      </c>
      <c r="T95">
        <v>62.95</v>
      </c>
      <c r="U95">
        <v>118.99</v>
      </c>
      <c r="V95">
        <v>43.94</v>
      </c>
      <c r="W95">
        <v>170.69</v>
      </c>
      <c r="X95">
        <v>57.94</v>
      </c>
      <c r="Y95">
        <v>44.44</v>
      </c>
      <c r="Z95">
        <v>359.43</v>
      </c>
      <c r="AA95">
        <v>0.53</v>
      </c>
      <c r="AB95">
        <v>24.75</v>
      </c>
      <c r="AC95">
        <v>70.790000000000006</v>
      </c>
      <c r="AD95">
        <v>681.53</v>
      </c>
      <c r="AE95">
        <v>4.41</v>
      </c>
      <c r="AF95">
        <v>58.170200000000001</v>
      </c>
      <c r="AG95">
        <v>14.3</v>
      </c>
      <c r="AH95">
        <v>622</v>
      </c>
      <c r="AI95">
        <v>107.85</v>
      </c>
      <c r="AJ95">
        <v>104.83</v>
      </c>
      <c r="AK95">
        <v>118.22</v>
      </c>
      <c r="AL95">
        <v>234.42</v>
      </c>
      <c r="AM95">
        <v>55.3</v>
      </c>
      <c r="AN95">
        <v>23.925000000000001</v>
      </c>
      <c r="AO95">
        <v>52.31</v>
      </c>
      <c r="AP95">
        <v>4.79</v>
      </c>
      <c r="AQ95">
        <v>106.95</v>
      </c>
      <c r="AR95">
        <v>64.069999999999993</v>
      </c>
      <c r="AS95">
        <v>109.35</v>
      </c>
      <c r="AT95">
        <v>5.03</v>
      </c>
      <c r="AU95">
        <v>324.54000000000002</v>
      </c>
      <c r="AV95">
        <v>246.83</v>
      </c>
      <c r="AW95">
        <v>122.68</v>
      </c>
    </row>
    <row r="96" spans="2:49">
      <c r="B96" s="13">
        <v>45994</v>
      </c>
      <c r="C96">
        <v>270.45</v>
      </c>
      <c r="D96">
        <v>4.5599999999999996</v>
      </c>
      <c r="E96" t="s">
        <v>220</v>
      </c>
      <c r="F96">
        <v>2.42</v>
      </c>
      <c r="G96">
        <v>18.87</v>
      </c>
      <c r="H96">
        <v>3.41</v>
      </c>
      <c r="I96">
        <v>47.38</v>
      </c>
      <c r="J96">
        <v>7.6893000000000002</v>
      </c>
      <c r="K96">
        <v>52.41</v>
      </c>
      <c r="L96">
        <v>54.34</v>
      </c>
      <c r="M96">
        <v>263.16000000000003</v>
      </c>
      <c r="N96">
        <v>35.119999999999997</v>
      </c>
      <c r="O96">
        <v>34.200000000000003</v>
      </c>
      <c r="P96">
        <v>16.64</v>
      </c>
      <c r="Q96">
        <v>25.57</v>
      </c>
      <c r="R96">
        <v>25.2</v>
      </c>
      <c r="S96">
        <v>154.21</v>
      </c>
      <c r="T96">
        <v>63.38</v>
      </c>
      <c r="U96">
        <v>117.28</v>
      </c>
      <c r="V96">
        <v>43.8</v>
      </c>
      <c r="W96">
        <v>176.08</v>
      </c>
      <c r="X96">
        <v>58.07</v>
      </c>
      <c r="Y96">
        <v>44.79</v>
      </c>
      <c r="Z96">
        <v>364.37</v>
      </c>
      <c r="AA96">
        <v>0.53</v>
      </c>
      <c r="AB96">
        <v>24.75</v>
      </c>
      <c r="AC96">
        <v>71.59</v>
      </c>
      <c r="AD96">
        <v>683.89</v>
      </c>
      <c r="AE96">
        <v>4.42</v>
      </c>
      <c r="AF96">
        <v>58.303699999999999</v>
      </c>
      <c r="AG96">
        <v>14.34</v>
      </c>
      <c r="AH96">
        <v>623.52</v>
      </c>
      <c r="AI96">
        <v>109.57</v>
      </c>
      <c r="AJ96">
        <v>105.74</v>
      </c>
      <c r="AK96">
        <v>119.495</v>
      </c>
      <c r="AL96">
        <v>232.38</v>
      </c>
      <c r="AM96">
        <v>55.69</v>
      </c>
      <c r="AN96">
        <v>23.711300000000001</v>
      </c>
      <c r="AO96">
        <v>51.65</v>
      </c>
      <c r="AP96">
        <v>4.91</v>
      </c>
      <c r="AQ96">
        <v>106.13</v>
      </c>
      <c r="AR96">
        <v>64.05</v>
      </c>
      <c r="AS96">
        <v>103.96</v>
      </c>
      <c r="AT96">
        <v>4.79</v>
      </c>
      <c r="AU96">
        <v>339.71</v>
      </c>
      <c r="AV96">
        <v>244.95</v>
      </c>
      <c r="AW96">
        <v>126.48</v>
      </c>
    </row>
    <row r="97" spans="2:49">
      <c r="B97" s="13">
        <v>45995</v>
      </c>
      <c r="C97">
        <v>274.05</v>
      </c>
      <c r="D97">
        <v>4.58</v>
      </c>
      <c r="E97">
        <v>1.82</v>
      </c>
      <c r="F97">
        <v>2.41</v>
      </c>
      <c r="G97">
        <v>19.5</v>
      </c>
      <c r="H97">
        <v>3.44</v>
      </c>
      <c r="I97">
        <v>48.04</v>
      </c>
      <c r="J97">
        <v>7.835</v>
      </c>
      <c r="K97">
        <v>52.49</v>
      </c>
      <c r="L97">
        <v>54.33</v>
      </c>
      <c r="M97">
        <v>277.64999999999998</v>
      </c>
      <c r="N97">
        <v>35.200000000000003</v>
      </c>
      <c r="O97">
        <v>34.72</v>
      </c>
      <c r="P97">
        <v>16.97</v>
      </c>
      <c r="Q97">
        <v>25.7</v>
      </c>
      <c r="R97">
        <v>25.31</v>
      </c>
      <c r="S97">
        <v>155.01</v>
      </c>
      <c r="T97">
        <v>63.35</v>
      </c>
      <c r="U97">
        <v>118.72</v>
      </c>
      <c r="V97">
        <v>43.71</v>
      </c>
      <c r="W97">
        <v>177.92</v>
      </c>
      <c r="X97">
        <v>57.91</v>
      </c>
      <c r="Y97">
        <v>44.75</v>
      </c>
      <c r="Z97">
        <v>361.6</v>
      </c>
      <c r="AA97">
        <v>0.53</v>
      </c>
      <c r="AB97">
        <v>24.35</v>
      </c>
      <c r="AC97">
        <v>71.540000000000006</v>
      </c>
      <c r="AD97">
        <v>684.39</v>
      </c>
      <c r="AE97">
        <v>4.43</v>
      </c>
      <c r="AF97">
        <v>58.169199999999996</v>
      </c>
      <c r="AG97">
        <v>14.59</v>
      </c>
      <c r="AH97">
        <v>622.94000000000005</v>
      </c>
      <c r="AI97">
        <v>110.25</v>
      </c>
      <c r="AJ97">
        <v>105.47</v>
      </c>
      <c r="AK97">
        <v>119.07</v>
      </c>
      <c r="AL97">
        <v>229.11</v>
      </c>
      <c r="AM97">
        <v>55.51</v>
      </c>
      <c r="AN97">
        <v>23.852699999999999</v>
      </c>
      <c r="AO97">
        <v>52.18</v>
      </c>
      <c r="AP97">
        <v>4.96</v>
      </c>
      <c r="AQ97">
        <v>104.94</v>
      </c>
      <c r="AR97">
        <v>64.400000000000006</v>
      </c>
      <c r="AS97">
        <v>103.22</v>
      </c>
      <c r="AT97">
        <v>5.01</v>
      </c>
      <c r="AU97">
        <v>333.49</v>
      </c>
      <c r="AV97">
        <v>247.51</v>
      </c>
      <c r="AW97">
        <v>128.43</v>
      </c>
    </row>
    <row r="98" spans="2:49">
      <c r="B98" s="13">
        <v>45996</v>
      </c>
      <c r="C98">
        <v>274.29000000000002</v>
      </c>
      <c r="D98">
        <v>4.54</v>
      </c>
      <c r="E98">
        <v>1.82</v>
      </c>
      <c r="F98">
        <v>2.39</v>
      </c>
      <c r="G98">
        <v>20</v>
      </c>
      <c r="H98">
        <v>3.47</v>
      </c>
      <c r="I98">
        <v>47.69</v>
      </c>
      <c r="J98">
        <v>7.3300999999999998</v>
      </c>
      <c r="K98">
        <v>52.29</v>
      </c>
      <c r="L98">
        <v>54.74</v>
      </c>
      <c r="M98">
        <v>272.3</v>
      </c>
      <c r="N98">
        <v>35.11</v>
      </c>
      <c r="O98">
        <v>32.53</v>
      </c>
      <c r="P98">
        <v>16.87</v>
      </c>
      <c r="Q98">
        <v>26.03</v>
      </c>
      <c r="R98">
        <v>25.25</v>
      </c>
      <c r="S98">
        <v>154.58000000000001</v>
      </c>
      <c r="T98">
        <v>63.34</v>
      </c>
      <c r="U98">
        <v>125.66</v>
      </c>
      <c r="V98">
        <v>43.3</v>
      </c>
      <c r="W98">
        <v>181.76</v>
      </c>
      <c r="X98">
        <v>58.03</v>
      </c>
      <c r="Y98">
        <v>44.62</v>
      </c>
      <c r="Z98">
        <v>364.42</v>
      </c>
      <c r="AA98">
        <v>0.54</v>
      </c>
      <c r="AB98">
        <v>24.85</v>
      </c>
      <c r="AC98">
        <v>71.680000000000007</v>
      </c>
      <c r="AD98">
        <v>685.69</v>
      </c>
      <c r="AE98">
        <v>4.3499999999999996</v>
      </c>
      <c r="AF98">
        <v>58.007100000000001</v>
      </c>
      <c r="AG98">
        <v>13.42</v>
      </c>
      <c r="AH98">
        <v>625.48</v>
      </c>
      <c r="AI98">
        <v>111.68</v>
      </c>
      <c r="AJ98">
        <v>105.3</v>
      </c>
      <c r="AK98">
        <v>119.73</v>
      </c>
      <c r="AL98">
        <v>229.53</v>
      </c>
      <c r="AM98">
        <v>56.15</v>
      </c>
      <c r="AN98">
        <v>24.19</v>
      </c>
      <c r="AO98">
        <v>52.92</v>
      </c>
      <c r="AP98">
        <v>4.97</v>
      </c>
      <c r="AQ98">
        <v>102.96</v>
      </c>
      <c r="AR98">
        <v>62.41</v>
      </c>
      <c r="AS98">
        <v>100.24</v>
      </c>
      <c r="AT98">
        <v>5.04</v>
      </c>
      <c r="AU98">
        <v>330.91</v>
      </c>
      <c r="AV98">
        <v>247.88</v>
      </c>
      <c r="AW98">
        <v>129.41999999999999</v>
      </c>
    </row>
    <row r="99" spans="2:49">
      <c r="B99" s="13">
        <v>45997</v>
      </c>
      <c r="C99" t="s">
        <v>220</v>
      </c>
      <c r="D99" t="s">
        <v>220</v>
      </c>
      <c r="E99" t="s">
        <v>220</v>
      </c>
      <c r="F99" t="s">
        <v>220</v>
      </c>
      <c r="G99" t="s">
        <v>220</v>
      </c>
      <c r="H99" t="s">
        <v>220</v>
      </c>
      <c r="I99" t="s">
        <v>220</v>
      </c>
      <c r="J99" t="s">
        <v>220</v>
      </c>
      <c r="K99" t="s">
        <v>220</v>
      </c>
      <c r="L99" t="s">
        <v>220</v>
      </c>
      <c r="M99" t="s">
        <v>220</v>
      </c>
      <c r="N99" t="s">
        <v>220</v>
      </c>
      <c r="O99" t="s">
        <v>220</v>
      </c>
      <c r="P99" t="s">
        <v>220</v>
      </c>
      <c r="Q99" t="s">
        <v>220</v>
      </c>
      <c r="R99" t="s">
        <v>220</v>
      </c>
      <c r="S99" t="s">
        <v>220</v>
      </c>
      <c r="T99" t="s">
        <v>220</v>
      </c>
      <c r="U99" t="s">
        <v>220</v>
      </c>
      <c r="V99" t="s">
        <v>220</v>
      </c>
      <c r="W99" t="s">
        <v>220</v>
      </c>
      <c r="X99" t="s">
        <v>220</v>
      </c>
      <c r="Y99" t="s">
        <v>220</v>
      </c>
      <c r="Z99" t="s">
        <v>220</v>
      </c>
      <c r="AA99" t="s">
        <v>220</v>
      </c>
      <c r="AB99" t="s">
        <v>220</v>
      </c>
      <c r="AC99" t="s">
        <v>220</v>
      </c>
      <c r="AD99" t="s">
        <v>220</v>
      </c>
      <c r="AE99" t="s">
        <v>220</v>
      </c>
      <c r="AF99" t="s">
        <v>220</v>
      </c>
      <c r="AG99" t="s">
        <v>220</v>
      </c>
      <c r="AH99" t="s">
        <v>220</v>
      </c>
      <c r="AI99" t="s">
        <v>220</v>
      </c>
      <c r="AJ99" t="s">
        <v>220</v>
      </c>
      <c r="AK99" t="s">
        <v>220</v>
      </c>
      <c r="AL99" t="s">
        <v>220</v>
      </c>
      <c r="AM99" t="s">
        <v>220</v>
      </c>
      <c r="AN99" t="s">
        <v>220</v>
      </c>
      <c r="AO99" t="s">
        <v>220</v>
      </c>
      <c r="AP99" t="s">
        <v>220</v>
      </c>
      <c r="AQ99" t="s">
        <v>220</v>
      </c>
      <c r="AR99" t="s">
        <v>220</v>
      </c>
      <c r="AS99" t="s">
        <v>220</v>
      </c>
      <c r="AT99" t="s">
        <v>220</v>
      </c>
      <c r="AU99" t="s">
        <v>220</v>
      </c>
      <c r="AV99" t="s">
        <v>220</v>
      </c>
      <c r="AW99" t="s">
        <v>220</v>
      </c>
    </row>
    <row r="100" spans="2:49">
      <c r="B100" s="13">
        <v>45998</v>
      </c>
      <c r="C100" t="s">
        <v>220</v>
      </c>
      <c r="D100" t="s">
        <v>220</v>
      </c>
      <c r="E100" t="s">
        <v>220</v>
      </c>
      <c r="F100" t="s">
        <v>220</v>
      </c>
      <c r="G100" t="s">
        <v>220</v>
      </c>
      <c r="H100" t="s">
        <v>220</v>
      </c>
      <c r="I100" t="s">
        <v>220</v>
      </c>
      <c r="J100" t="s">
        <v>220</v>
      </c>
      <c r="K100" t="s">
        <v>220</v>
      </c>
      <c r="L100" t="s">
        <v>220</v>
      </c>
      <c r="M100" t="s">
        <v>220</v>
      </c>
      <c r="N100" t="s">
        <v>220</v>
      </c>
      <c r="O100" t="s">
        <v>220</v>
      </c>
      <c r="P100" t="s">
        <v>220</v>
      </c>
      <c r="Q100" t="s">
        <v>220</v>
      </c>
      <c r="R100" t="s">
        <v>220</v>
      </c>
      <c r="S100" t="s">
        <v>220</v>
      </c>
      <c r="T100" t="s">
        <v>220</v>
      </c>
      <c r="U100" t="s">
        <v>220</v>
      </c>
      <c r="V100" t="s">
        <v>220</v>
      </c>
      <c r="W100" t="s">
        <v>220</v>
      </c>
      <c r="X100" t="s">
        <v>220</v>
      </c>
      <c r="Y100" t="s">
        <v>220</v>
      </c>
      <c r="Z100" t="s">
        <v>220</v>
      </c>
      <c r="AA100" t="s">
        <v>220</v>
      </c>
      <c r="AB100" t="s">
        <v>220</v>
      </c>
      <c r="AC100" t="s">
        <v>220</v>
      </c>
      <c r="AD100" t="s">
        <v>220</v>
      </c>
      <c r="AE100" t="s">
        <v>220</v>
      </c>
      <c r="AF100" t="s">
        <v>220</v>
      </c>
      <c r="AG100" t="s">
        <v>220</v>
      </c>
      <c r="AH100" t="s">
        <v>220</v>
      </c>
      <c r="AI100" t="s">
        <v>220</v>
      </c>
      <c r="AJ100" t="s">
        <v>220</v>
      </c>
      <c r="AK100" t="s">
        <v>220</v>
      </c>
      <c r="AL100" t="s">
        <v>220</v>
      </c>
      <c r="AM100" t="s">
        <v>220</v>
      </c>
      <c r="AN100" t="s">
        <v>220</v>
      </c>
      <c r="AO100" t="s">
        <v>220</v>
      </c>
      <c r="AP100" t="s">
        <v>220</v>
      </c>
      <c r="AQ100" t="s">
        <v>220</v>
      </c>
      <c r="AR100" t="s">
        <v>220</v>
      </c>
      <c r="AS100" t="s">
        <v>220</v>
      </c>
      <c r="AT100" t="s">
        <v>220</v>
      </c>
      <c r="AU100" t="s">
        <v>220</v>
      </c>
      <c r="AV100" t="s">
        <v>220</v>
      </c>
      <c r="AW100" t="s">
        <v>220</v>
      </c>
    </row>
    <row r="101" spans="2:49">
      <c r="B101" s="13">
        <v>45999</v>
      </c>
      <c r="C101">
        <v>276.64</v>
      </c>
      <c r="D101" t="s">
        <v>220</v>
      </c>
      <c r="E101" t="s">
        <v>220</v>
      </c>
      <c r="F101" t="s">
        <v>220</v>
      </c>
      <c r="G101">
        <v>20.52</v>
      </c>
      <c r="H101" t="s">
        <v>220</v>
      </c>
      <c r="I101">
        <v>47.59</v>
      </c>
      <c r="J101">
        <v>7.3494999999999999</v>
      </c>
      <c r="K101">
        <v>52.31</v>
      </c>
      <c r="L101">
        <v>54.62</v>
      </c>
      <c r="M101">
        <v>269.33999999999997</v>
      </c>
      <c r="N101">
        <v>35.15</v>
      </c>
      <c r="O101">
        <v>32.75</v>
      </c>
      <c r="P101">
        <v>16.7</v>
      </c>
      <c r="Q101">
        <v>25.77</v>
      </c>
      <c r="R101">
        <v>24.88</v>
      </c>
      <c r="S101">
        <v>154.38999999999999</v>
      </c>
      <c r="T101">
        <v>63.38</v>
      </c>
      <c r="U101">
        <v>130.06</v>
      </c>
      <c r="V101">
        <v>42.72</v>
      </c>
      <c r="W101">
        <v>181.49</v>
      </c>
      <c r="X101">
        <v>57.76</v>
      </c>
      <c r="Y101">
        <v>44.65</v>
      </c>
      <c r="Z101">
        <v>368.55</v>
      </c>
      <c r="AA101" t="s">
        <v>220</v>
      </c>
      <c r="AB101" t="s">
        <v>220</v>
      </c>
      <c r="AC101">
        <v>71.239999999999995</v>
      </c>
      <c r="AD101">
        <v>683.63</v>
      </c>
      <c r="AE101" t="s">
        <v>220</v>
      </c>
      <c r="AF101">
        <v>57.533299999999997</v>
      </c>
      <c r="AG101">
        <v>13.4481</v>
      </c>
      <c r="AH101">
        <v>624.28</v>
      </c>
      <c r="AI101">
        <v>111.33</v>
      </c>
      <c r="AJ101">
        <v>107.63</v>
      </c>
      <c r="AK101">
        <v>117.99</v>
      </c>
      <c r="AL101">
        <v>226.89</v>
      </c>
      <c r="AM101">
        <v>55.8</v>
      </c>
      <c r="AN101">
        <v>24.36</v>
      </c>
      <c r="AO101">
        <v>53.35</v>
      </c>
      <c r="AP101">
        <v>4.79</v>
      </c>
      <c r="AQ101">
        <v>101.85</v>
      </c>
      <c r="AR101">
        <v>62.41</v>
      </c>
      <c r="AS101">
        <v>96.79</v>
      </c>
      <c r="AT101">
        <v>5.0999999999999996</v>
      </c>
      <c r="AU101">
        <v>323.62</v>
      </c>
      <c r="AV101">
        <v>247.28</v>
      </c>
      <c r="AW101">
        <v>130.24</v>
      </c>
    </row>
    <row r="102" spans="2:49">
      <c r="B102" s="13">
        <v>46000</v>
      </c>
      <c r="C102">
        <v>275.13</v>
      </c>
      <c r="D102" t="s">
        <v>220</v>
      </c>
      <c r="E102" t="s">
        <v>220</v>
      </c>
      <c r="F102" t="s">
        <v>220</v>
      </c>
      <c r="G102">
        <v>19.809999999999999</v>
      </c>
      <c r="H102" t="s">
        <v>220</v>
      </c>
      <c r="I102">
        <v>47.47</v>
      </c>
      <c r="J102">
        <v>7.3785999999999996</v>
      </c>
      <c r="K102">
        <v>52.36</v>
      </c>
      <c r="L102">
        <v>54.53</v>
      </c>
      <c r="M102">
        <v>276.29000000000002</v>
      </c>
      <c r="N102">
        <v>35.270000000000003</v>
      </c>
      <c r="O102">
        <v>32.74</v>
      </c>
      <c r="P102">
        <v>16.68</v>
      </c>
      <c r="Q102">
        <v>25.33</v>
      </c>
      <c r="R102">
        <v>26.45</v>
      </c>
      <c r="S102">
        <v>153.26</v>
      </c>
      <c r="T102">
        <v>63.21</v>
      </c>
      <c r="U102">
        <v>123.94</v>
      </c>
      <c r="V102">
        <v>42.75</v>
      </c>
      <c r="W102">
        <v>181.84</v>
      </c>
      <c r="X102">
        <v>57.69</v>
      </c>
      <c r="Y102">
        <v>44.21</v>
      </c>
      <c r="Z102">
        <v>369</v>
      </c>
      <c r="AA102" t="s">
        <v>220</v>
      </c>
      <c r="AB102" t="s">
        <v>220</v>
      </c>
      <c r="AC102">
        <v>71.02</v>
      </c>
      <c r="AD102">
        <v>683.04</v>
      </c>
      <c r="AE102" t="s">
        <v>220</v>
      </c>
      <c r="AF102">
        <v>56.844499999999996</v>
      </c>
      <c r="AG102">
        <v>13.4457</v>
      </c>
      <c r="AH102">
        <v>625.04999999999995</v>
      </c>
      <c r="AI102">
        <v>111.68</v>
      </c>
      <c r="AJ102">
        <v>107.02</v>
      </c>
      <c r="AK102">
        <v>117.98</v>
      </c>
      <c r="AL102">
        <v>227.92</v>
      </c>
      <c r="AM102">
        <v>56.01</v>
      </c>
      <c r="AN102">
        <v>24.22</v>
      </c>
      <c r="AO102">
        <v>52.86</v>
      </c>
      <c r="AP102">
        <v>4.63</v>
      </c>
      <c r="AQ102">
        <v>102.89</v>
      </c>
      <c r="AR102">
        <v>63.59</v>
      </c>
      <c r="AS102">
        <v>96.71</v>
      </c>
      <c r="AT102">
        <v>5.03</v>
      </c>
      <c r="AU102">
        <v>323.60000000000002</v>
      </c>
      <c r="AV102">
        <v>248.73</v>
      </c>
      <c r="AW102">
        <v>135.78</v>
      </c>
    </row>
    <row r="103" spans="2:49">
      <c r="B103" s="13">
        <v>46001</v>
      </c>
      <c r="C103">
        <v>284.31</v>
      </c>
      <c r="D103">
        <v>4.53</v>
      </c>
      <c r="E103">
        <v>1.86</v>
      </c>
      <c r="F103">
        <v>2.38</v>
      </c>
      <c r="G103">
        <v>19.649999999999999</v>
      </c>
      <c r="H103">
        <v>3.43</v>
      </c>
      <c r="I103">
        <v>48.78</v>
      </c>
      <c r="J103">
        <v>7.2912999999999997</v>
      </c>
      <c r="K103">
        <v>53.06</v>
      </c>
      <c r="L103">
        <v>55.14</v>
      </c>
      <c r="M103">
        <v>277</v>
      </c>
      <c r="N103">
        <v>35.89</v>
      </c>
      <c r="O103">
        <v>32.770000000000003</v>
      </c>
      <c r="P103">
        <v>16.739999999999998</v>
      </c>
      <c r="Q103">
        <v>25.78</v>
      </c>
      <c r="R103">
        <v>26.83</v>
      </c>
      <c r="S103">
        <v>156.06</v>
      </c>
      <c r="T103">
        <v>63.83</v>
      </c>
      <c r="U103">
        <v>126.07</v>
      </c>
      <c r="V103">
        <v>42.73</v>
      </c>
      <c r="W103">
        <v>187.91</v>
      </c>
      <c r="X103">
        <v>58.38</v>
      </c>
      <c r="Y103">
        <v>44.58</v>
      </c>
      <c r="Z103">
        <v>374.1</v>
      </c>
      <c r="AA103">
        <v>0.57999999999999996</v>
      </c>
      <c r="AB103">
        <v>25.2</v>
      </c>
      <c r="AC103">
        <v>72.040000000000006</v>
      </c>
      <c r="AD103">
        <v>687.57</v>
      </c>
      <c r="AE103">
        <v>4.4000000000000004</v>
      </c>
      <c r="AF103">
        <v>57.7502</v>
      </c>
      <c r="AG103">
        <v>13.435600000000001</v>
      </c>
      <c r="AH103">
        <v>627.61</v>
      </c>
      <c r="AI103">
        <v>114.76</v>
      </c>
      <c r="AJ103">
        <v>108.83</v>
      </c>
      <c r="AK103">
        <v>119.71</v>
      </c>
      <c r="AL103">
        <v>231.78</v>
      </c>
      <c r="AM103">
        <v>56.65</v>
      </c>
      <c r="AN103">
        <v>24.37</v>
      </c>
      <c r="AO103">
        <v>53.25</v>
      </c>
      <c r="AP103">
        <v>4.6399999999999997</v>
      </c>
      <c r="AQ103">
        <v>103.14</v>
      </c>
      <c r="AR103">
        <v>64.39</v>
      </c>
      <c r="AS103">
        <v>92.71</v>
      </c>
      <c r="AT103">
        <v>5.03</v>
      </c>
      <c r="AU103">
        <v>328.37</v>
      </c>
      <c r="AV103">
        <v>246.02</v>
      </c>
      <c r="AW103">
        <v>141.54</v>
      </c>
    </row>
    <row r="104" spans="2:49">
      <c r="B104" s="13">
        <v>46002</v>
      </c>
      <c r="C104">
        <v>284.77999999999997</v>
      </c>
      <c r="D104">
        <v>4.45</v>
      </c>
      <c r="E104">
        <v>1.88</v>
      </c>
      <c r="F104">
        <v>2.39</v>
      </c>
      <c r="G104">
        <v>19.190000000000001</v>
      </c>
      <c r="H104">
        <v>3.4</v>
      </c>
      <c r="I104">
        <v>49.24</v>
      </c>
      <c r="J104">
        <v>7.0583</v>
      </c>
      <c r="K104">
        <v>53.48</v>
      </c>
      <c r="L104">
        <v>54.88</v>
      </c>
      <c r="M104">
        <v>281.61</v>
      </c>
      <c r="N104">
        <v>36.409999999999997</v>
      </c>
      <c r="O104">
        <v>33.159999999999997</v>
      </c>
      <c r="P104">
        <v>17.04</v>
      </c>
      <c r="Q104">
        <v>25.8</v>
      </c>
      <c r="R104">
        <v>27.78</v>
      </c>
      <c r="S104">
        <v>157.72999999999999</v>
      </c>
      <c r="T104">
        <v>64.42</v>
      </c>
      <c r="U104">
        <v>128.31</v>
      </c>
      <c r="V104">
        <v>43.04</v>
      </c>
      <c r="W104">
        <v>187.54</v>
      </c>
      <c r="X104">
        <v>58.49</v>
      </c>
      <c r="Y104">
        <v>45</v>
      </c>
      <c r="Z104">
        <v>370.89</v>
      </c>
      <c r="AA104">
        <v>0.59</v>
      </c>
      <c r="AB104">
        <v>24.5</v>
      </c>
      <c r="AC104">
        <v>72.62</v>
      </c>
      <c r="AD104">
        <v>689.17</v>
      </c>
      <c r="AE104">
        <v>4.4000000000000004</v>
      </c>
      <c r="AF104">
        <v>58.0458</v>
      </c>
      <c r="AG104">
        <v>13.6357</v>
      </c>
      <c r="AH104">
        <v>625.58000000000004</v>
      </c>
      <c r="AI104">
        <v>117.05</v>
      </c>
      <c r="AJ104">
        <v>111.46</v>
      </c>
      <c r="AK104">
        <v>120.18</v>
      </c>
      <c r="AL104">
        <v>230.28</v>
      </c>
      <c r="AM104">
        <v>56.11</v>
      </c>
      <c r="AN104">
        <v>24.03</v>
      </c>
      <c r="AO104">
        <v>52.89</v>
      </c>
      <c r="AP104">
        <v>4.71</v>
      </c>
      <c r="AQ104">
        <v>103.45</v>
      </c>
      <c r="AR104">
        <v>64.180000000000007</v>
      </c>
      <c r="AS104">
        <v>94.09</v>
      </c>
      <c r="AT104">
        <v>5.13</v>
      </c>
      <c r="AU104">
        <v>336.73</v>
      </c>
      <c r="AV104">
        <v>242.41</v>
      </c>
      <c r="AW104">
        <v>142.77000000000001</v>
      </c>
    </row>
    <row r="105" spans="2:49">
      <c r="B105" s="13">
        <v>46003</v>
      </c>
      <c r="C105">
        <v>284.33999999999997</v>
      </c>
      <c r="D105">
        <v>4.55</v>
      </c>
      <c r="E105">
        <v>1.87</v>
      </c>
      <c r="F105">
        <v>2.48</v>
      </c>
      <c r="G105">
        <v>18.989999999999998</v>
      </c>
      <c r="H105">
        <v>3.51</v>
      </c>
      <c r="I105">
        <v>47.84</v>
      </c>
      <c r="J105">
        <v>7.1067999999999998</v>
      </c>
      <c r="K105">
        <v>53.36</v>
      </c>
      <c r="L105">
        <v>54.24</v>
      </c>
      <c r="M105">
        <v>282.52999999999997</v>
      </c>
      <c r="N105">
        <v>36.119999999999997</v>
      </c>
      <c r="O105">
        <v>33.32</v>
      </c>
      <c r="P105">
        <v>16.600000000000001</v>
      </c>
      <c r="Q105">
        <v>25.85</v>
      </c>
      <c r="R105">
        <v>28.16</v>
      </c>
      <c r="S105">
        <v>156.74</v>
      </c>
      <c r="T105">
        <v>63.98</v>
      </c>
      <c r="U105">
        <v>125.01</v>
      </c>
      <c r="V105">
        <v>42.83</v>
      </c>
      <c r="W105">
        <v>183.57</v>
      </c>
      <c r="X105">
        <v>58.37</v>
      </c>
      <c r="Y105">
        <v>44.88</v>
      </c>
      <c r="Z105">
        <v>354.12</v>
      </c>
      <c r="AA105">
        <v>0.59</v>
      </c>
      <c r="AB105">
        <v>25</v>
      </c>
      <c r="AC105">
        <v>72.25</v>
      </c>
      <c r="AD105">
        <v>681.76</v>
      </c>
      <c r="AE105">
        <v>4.5</v>
      </c>
      <c r="AF105">
        <v>57.899099999999997</v>
      </c>
      <c r="AG105">
        <v>13.715</v>
      </c>
      <c r="AH105">
        <v>613.62</v>
      </c>
      <c r="AI105">
        <v>116.96</v>
      </c>
      <c r="AJ105">
        <v>111.6</v>
      </c>
      <c r="AK105">
        <v>120.7</v>
      </c>
      <c r="AL105">
        <v>226.19</v>
      </c>
      <c r="AM105">
        <v>52.82</v>
      </c>
      <c r="AN105">
        <v>23.995000000000001</v>
      </c>
      <c r="AO105">
        <v>52.56</v>
      </c>
      <c r="AP105">
        <v>4.5599999999999996</v>
      </c>
      <c r="AQ105">
        <v>103.15</v>
      </c>
      <c r="AR105">
        <v>63.9</v>
      </c>
      <c r="AS105">
        <v>95.19</v>
      </c>
      <c r="AT105">
        <v>5.03</v>
      </c>
      <c r="AU105">
        <v>341.84</v>
      </c>
      <c r="AV105">
        <v>241.47</v>
      </c>
      <c r="AW105">
        <v>136.6</v>
      </c>
    </row>
    <row r="106" spans="2:49">
      <c r="B106" s="13">
        <v>46004</v>
      </c>
      <c r="C106" t="s">
        <v>220</v>
      </c>
      <c r="D106" t="s">
        <v>220</v>
      </c>
      <c r="E106" t="s">
        <v>220</v>
      </c>
      <c r="F106" t="s">
        <v>220</v>
      </c>
      <c r="G106" t="s">
        <v>220</v>
      </c>
      <c r="H106" t="s">
        <v>220</v>
      </c>
      <c r="I106" t="s">
        <v>220</v>
      </c>
      <c r="J106" t="s">
        <v>220</v>
      </c>
      <c r="K106" t="s">
        <v>220</v>
      </c>
      <c r="L106" t="s">
        <v>220</v>
      </c>
      <c r="M106" t="s">
        <v>220</v>
      </c>
      <c r="N106" t="s">
        <v>220</v>
      </c>
      <c r="O106" t="s">
        <v>220</v>
      </c>
      <c r="P106" t="s">
        <v>220</v>
      </c>
      <c r="Q106" t="s">
        <v>220</v>
      </c>
      <c r="R106" t="s">
        <v>220</v>
      </c>
      <c r="S106" t="s">
        <v>220</v>
      </c>
      <c r="T106" t="s">
        <v>220</v>
      </c>
      <c r="U106" t="s">
        <v>220</v>
      </c>
      <c r="V106" t="s">
        <v>220</v>
      </c>
      <c r="W106" t="s">
        <v>220</v>
      </c>
      <c r="X106" t="s">
        <v>220</v>
      </c>
      <c r="Y106" t="s">
        <v>220</v>
      </c>
      <c r="Z106" t="s">
        <v>220</v>
      </c>
      <c r="AA106" t="s">
        <v>220</v>
      </c>
      <c r="AB106" t="s">
        <v>220</v>
      </c>
      <c r="AC106" t="s">
        <v>220</v>
      </c>
      <c r="AD106" t="s">
        <v>220</v>
      </c>
      <c r="AE106" t="s">
        <v>220</v>
      </c>
      <c r="AF106" t="s">
        <v>220</v>
      </c>
      <c r="AG106" t="s">
        <v>220</v>
      </c>
      <c r="AH106" t="s">
        <v>220</v>
      </c>
      <c r="AI106" t="s">
        <v>220</v>
      </c>
      <c r="AJ106" t="s">
        <v>220</v>
      </c>
      <c r="AK106" t="s">
        <v>220</v>
      </c>
      <c r="AL106" t="s">
        <v>220</v>
      </c>
      <c r="AM106" t="s">
        <v>220</v>
      </c>
      <c r="AN106" t="s">
        <v>220</v>
      </c>
      <c r="AO106" t="s">
        <v>220</v>
      </c>
      <c r="AP106" t="s">
        <v>220</v>
      </c>
      <c r="AQ106" t="s">
        <v>220</v>
      </c>
      <c r="AR106" t="s">
        <v>220</v>
      </c>
      <c r="AS106" t="s">
        <v>220</v>
      </c>
      <c r="AT106" t="s">
        <v>220</v>
      </c>
      <c r="AU106" t="s">
        <v>220</v>
      </c>
      <c r="AV106" t="s">
        <v>220</v>
      </c>
      <c r="AW106" t="s">
        <v>220</v>
      </c>
    </row>
    <row r="107" spans="2:49">
      <c r="B107" s="13">
        <v>46005</v>
      </c>
      <c r="C107" t="s">
        <v>220</v>
      </c>
      <c r="D107" t="s">
        <v>220</v>
      </c>
      <c r="E107" t="s">
        <v>220</v>
      </c>
      <c r="F107" t="s">
        <v>220</v>
      </c>
      <c r="G107" t="s">
        <v>220</v>
      </c>
      <c r="H107" t="s">
        <v>220</v>
      </c>
      <c r="I107" t="s">
        <v>220</v>
      </c>
      <c r="J107" t="s">
        <v>220</v>
      </c>
      <c r="K107" t="s">
        <v>220</v>
      </c>
      <c r="L107" t="s">
        <v>220</v>
      </c>
      <c r="M107" t="s">
        <v>220</v>
      </c>
      <c r="N107" t="s">
        <v>220</v>
      </c>
      <c r="O107" t="s">
        <v>220</v>
      </c>
      <c r="P107" t="s">
        <v>220</v>
      </c>
      <c r="Q107" t="s">
        <v>220</v>
      </c>
      <c r="R107" t="s">
        <v>220</v>
      </c>
      <c r="S107" t="s">
        <v>220</v>
      </c>
      <c r="T107" t="s">
        <v>220</v>
      </c>
      <c r="U107" t="s">
        <v>220</v>
      </c>
      <c r="V107" t="s">
        <v>220</v>
      </c>
      <c r="W107" t="s">
        <v>220</v>
      </c>
      <c r="X107" t="s">
        <v>220</v>
      </c>
      <c r="Y107" t="s">
        <v>220</v>
      </c>
      <c r="Z107" t="s">
        <v>220</v>
      </c>
      <c r="AA107" t="s">
        <v>220</v>
      </c>
      <c r="AB107" t="s">
        <v>220</v>
      </c>
      <c r="AC107" t="s">
        <v>220</v>
      </c>
      <c r="AD107" t="s">
        <v>220</v>
      </c>
      <c r="AE107" t="s">
        <v>220</v>
      </c>
      <c r="AF107" t="s">
        <v>220</v>
      </c>
      <c r="AG107" t="s">
        <v>220</v>
      </c>
      <c r="AH107" t="s">
        <v>220</v>
      </c>
      <c r="AI107" t="s">
        <v>220</v>
      </c>
      <c r="AJ107" t="s">
        <v>220</v>
      </c>
      <c r="AK107" t="s">
        <v>220</v>
      </c>
      <c r="AL107" t="s">
        <v>220</v>
      </c>
      <c r="AM107" t="s">
        <v>220</v>
      </c>
      <c r="AN107" t="s">
        <v>220</v>
      </c>
      <c r="AO107" t="s">
        <v>220</v>
      </c>
      <c r="AP107" t="s">
        <v>220</v>
      </c>
      <c r="AQ107" t="s">
        <v>220</v>
      </c>
      <c r="AR107" t="s">
        <v>220</v>
      </c>
      <c r="AS107" t="s">
        <v>220</v>
      </c>
      <c r="AT107" t="s">
        <v>220</v>
      </c>
      <c r="AU107" t="s">
        <v>220</v>
      </c>
      <c r="AV107" t="s">
        <v>220</v>
      </c>
      <c r="AW107" t="s">
        <v>220</v>
      </c>
    </row>
    <row r="108" spans="2:49">
      <c r="B108" s="13">
        <v>46006</v>
      </c>
      <c r="C108">
        <v>281.23</v>
      </c>
      <c r="D108">
        <v>4.55</v>
      </c>
      <c r="E108">
        <v>1.88</v>
      </c>
      <c r="F108">
        <v>2.4500000000000002</v>
      </c>
      <c r="G108">
        <v>18.309999999999999</v>
      </c>
      <c r="H108">
        <v>3.5</v>
      </c>
      <c r="I108">
        <v>47.57</v>
      </c>
      <c r="J108">
        <v>7.2329999999999997</v>
      </c>
      <c r="K108">
        <v>54.01</v>
      </c>
      <c r="L108">
        <v>54.08</v>
      </c>
      <c r="M108">
        <v>282.24</v>
      </c>
      <c r="N108">
        <v>36.53</v>
      </c>
      <c r="O108">
        <v>33.58</v>
      </c>
      <c r="P108">
        <v>16.579999999999998</v>
      </c>
      <c r="Q108">
        <v>26.43</v>
      </c>
      <c r="R108">
        <v>27.71</v>
      </c>
      <c r="S108">
        <v>156.99</v>
      </c>
      <c r="T108">
        <v>64.33</v>
      </c>
      <c r="U108">
        <v>118.83</v>
      </c>
      <c r="V108">
        <v>43.22</v>
      </c>
      <c r="W108">
        <v>183.25</v>
      </c>
      <c r="X108">
        <v>59.06</v>
      </c>
      <c r="Y108">
        <v>45.18</v>
      </c>
      <c r="Z108">
        <v>352.9</v>
      </c>
      <c r="AA108">
        <v>0.6</v>
      </c>
      <c r="AB108">
        <v>25</v>
      </c>
      <c r="AC108">
        <v>72.430000000000007</v>
      </c>
      <c r="AD108">
        <v>680.73</v>
      </c>
      <c r="AE108">
        <v>4.5</v>
      </c>
      <c r="AF108">
        <v>58.414499999999997</v>
      </c>
      <c r="AG108">
        <v>13.75</v>
      </c>
      <c r="AH108">
        <v>610.54</v>
      </c>
      <c r="AI108">
        <v>117.6</v>
      </c>
      <c r="AJ108">
        <v>110.49</v>
      </c>
      <c r="AK108">
        <v>121.73</v>
      </c>
      <c r="AL108">
        <v>222.54</v>
      </c>
      <c r="AM108">
        <v>52.02</v>
      </c>
      <c r="AN108">
        <v>23.695</v>
      </c>
      <c r="AO108">
        <v>51.63</v>
      </c>
      <c r="AP108">
        <v>4.5599999999999996</v>
      </c>
      <c r="AQ108">
        <v>102.8</v>
      </c>
      <c r="AR108">
        <v>63.06</v>
      </c>
      <c r="AS108">
        <v>93.77</v>
      </c>
      <c r="AT108">
        <v>4.99</v>
      </c>
      <c r="AU108">
        <v>341.1</v>
      </c>
      <c r="AV108">
        <v>244.56</v>
      </c>
      <c r="AW108">
        <v>134.81</v>
      </c>
    </row>
    <row r="109" spans="2:49">
      <c r="B109" s="13">
        <v>46007</v>
      </c>
      <c r="C109">
        <v>282.45999999999998</v>
      </c>
      <c r="D109">
        <v>4.55</v>
      </c>
      <c r="E109">
        <v>1.86</v>
      </c>
      <c r="F109">
        <v>2.52</v>
      </c>
      <c r="G109">
        <v>18.47</v>
      </c>
      <c r="H109">
        <v>3.54</v>
      </c>
      <c r="I109">
        <v>47.79</v>
      </c>
      <c r="J109">
        <v>6.9805999999999999</v>
      </c>
      <c r="K109">
        <v>52.88</v>
      </c>
      <c r="L109">
        <v>52.98</v>
      </c>
      <c r="M109">
        <v>280</v>
      </c>
      <c r="N109">
        <v>36.090000000000003</v>
      </c>
      <c r="O109">
        <v>31.6</v>
      </c>
      <c r="P109">
        <v>16.29</v>
      </c>
      <c r="Q109">
        <v>25.53</v>
      </c>
      <c r="R109">
        <v>28.11</v>
      </c>
      <c r="S109">
        <v>156.06</v>
      </c>
      <c r="T109">
        <v>63.59</v>
      </c>
      <c r="U109">
        <v>119.31</v>
      </c>
      <c r="V109">
        <v>43.04</v>
      </c>
      <c r="W109">
        <v>187.75</v>
      </c>
      <c r="X109">
        <v>59.02</v>
      </c>
      <c r="Y109">
        <v>44.94</v>
      </c>
      <c r="Z109">
        <v>351.94</v>
      </c>
      <c r="AA109">
        <v>0.56999999999999995</v>
      </c>
      <c r="AB109">
        <v>25</v>
      </c>
      <c r="AC109">
        <v>71.52</v>
      </c>
      <c r="AD109">
        <v>678.87</v>
      </c>
      <c r="AE109">
        <v>7.25</v>
      </c>
      <c r="AF109">
        <v>57.208100000000002</v>
      </c>
      <c r="AG109">
        <v>13.045</v>
      </c>
      <c r="AH109">
        <v>611.75</v>
      </c>
      <c r="AI109">
        <v>117.08</v>
      </c>
      <c r="AJ109">
        <v>111.62</v>
      </c>
      <c r="AK109">
        <v>121.93</v>
      </c>
      <c r="AL109">
        <v>222.56</v>
      </c>
      <c r="AM109">
        <v>52.33</v>
      </c>
      <c r="AN109">
        <v>22.97</v>
      </c>
      <c r="AO109">
        <v>51.32</v>
      </c>
      <c r="AP109">
        <v>4.55</v>
      </c>
      <c r="AQ109">
        <v>102.54</v>
      </c>
      <c r="AR109">
        <v>62.76</v>
      </c>
      <c r="AS109">
        <v>94.57</v>
      </c>
      <c r="AT109">
        <v>5.03</v>
      </c>
      <c r="AU109">
        <v>334.2</v>
      </c>
      <c r="AV109">
        <v>244.53</v>
      </c>
      <c r="AW109">
        <v>133.38</v>
      </c>
    </row>
    <row r="110" spans="2:49">
      <c r="B110" s="13">
        <v>46008</v>
      </c>
      <c r="C110">
        <v>282.20999999999998</v>
      </c>
      <c r="D110">
        <v>4.57</v>
      </c>
      <c r="E110">
        <v>1.88</v>
      </c>
      <c r="F110">
        <v>2.5299999999999998</v>
      </c>
      <c r="G110">
        <v>18.09</v>
      </c>
      <c r="H110">
        <v>3.57</v>
      </c>
      <c r="I110">
        <v>47.25</v>
      </c>
      <c r="J110">
        <v>6.835</v>
      </c>
      <c r="K110">
        <v>52.8</v>
      </c>
      <c r="L110">
        <v>52.6</v>
      </c>
      <c r="M110">
        <v>275.60000000000002</v>
      </c>
      <c r="N110">
        <v>36.17</v>
      </c>
      <c r="O110">
        <v>31</v>
      </c>
      <c r="P110">
        <v>16</v>
      </c>
      <c r="Q110">
        <v>25.04</v>
      </c>
      <c r="R110">
        <v>28.11</v>
      </c>
      <c r="S110">
        <v>153.53</v>
      </c>
      <c r="T110">
        <v>63.01</v>
      </c>
      <c r="U110">
        <v>119.5</v>
      </c>
      <c r="V110">
        <v>42.76</v>
      </c>
      <c r="W110">
        <v>177.29</v>
      </c>
      <c r="X110">
        <v>58.84</v>
      </c>
      <c r="Y110">
        <v>44.62</v>
      </c>
      <c r="Z110">
        <v>339.24</v>
      </c>
      <c r="AA110">
        <v>0.57999999999999996</v>
      </c>
      <c r="AB110">
        <v>25</v>
      </c>
      <c r="AC110">
        <v>71.239999999999995</v>
      </c>
      <c r="AD110">
        <v>671.4</v>
      </c>
      <c r="AE110">
        <v>7</v>
      </c>
      <c r="AF110">
        <v>56.904699999999998</v>
      </c>
      <c r="AG110">
        <v>12.726800000000001</v>
      </c>
      <c r="AH110">
        <v>600.41</v>
      </c>
      <c r="AI110">
        <v>115.68</v>
      </c>
      <c r="AJ110">
        <v>110.63</v>
      </c>
      <c r="AK110">
        <v>120.52</v>
      </c>
      <c r="AL110">
        <v>221.27</v>
      </c>
      <c r="AM110">
        <v>49.4</v>
      </c>
      <c r="AN110">
        <v>23.0382</v>
      </c>
      <c r="AO110">
        <v>51.21</v>
      </c>
      <c r="AP110">
        <v>4.58</v>
      </c>
      <c r="AQ110">
        <v>102.94</v>
      </c>
      <c r="AR110">
        <v>61.83</v>
      </c>
      <c r="AS110">
        <v>94.79</v>
      </c>
      <c r="AT110">
        <v>4.8600000000000003</v>
      </c>
      <c r="AU110">
        <v>331.63</v>
      </c>
      <c r="AV110">
        <v>240.55</v>
      </c>
      <c r="AW110">
        <v>132.15</v>
      </c>
    </row>
    <row r="111" spans="2:49">
      <c r="B111" s="13">
        <v>46009</v>
      </c>
      <c r="C111">
        <v>287.12</v>
      </c>
      <c r="D111">
        <v>4.67</v>
      </c>
      <c r="E111">
        <v>1.88</v>
      </c>
      <c r="F111">
        <v>2.6</v>
      </c>
      <c r="G111">
        <v>18.600000000000001</v>
      </c>
      <c r="H111">
        <v>3.6</v>
      </c>
      <c r="I111">
        <v>48.33</v>
      </c>
      <c r="J111">
        <v>6.9028999999999998</v>
      </c>
      <c r="K111">
        <v>53.21</v>
      </c>
      <c r="L111">
        <v>53.2</v>
      </c>
      <c r="M111">
        <v>281</v>
      </c>
      <c r="N111">
        <v>36.5</v>
      </c>
      <c r="O111">
        <v>31.17</v>
      </c>
      <c r="P111">
        <v>16.18</v>
      </c>
      <c r="Q111">
        <v>25.04</v>
      </c>
      <c r="R111">
        <v>28.25</v>
      </c>
      <c r="S111">
        <v>154.53</v>
      </c>
      <c r="T111">
        <v>63.45</v>
      </c>
      <c r="U111">
        <v>120.49</v>
      </c>
      <c r="V111">
        <v>43.18</v>
      </c>
      <c r="W111">
        <v>185.69</v>
      </c>
      <c r="X111">
        <v>59.47</v>
      </c>
      <c r="Y111">
        <v>44.8</v>
      </c>
      <c r="Z111">
        <v>347.25</v>
      </c>
      <c r="AA111">
        <v>0.59</v>
      </c>
      <c r="AB111">
        <v>25.3</v>
      </c>
      <c r="AC111">
        <v>71.41</v>
      </c>
      <c r="AD111">
        <v>676.47</v>
      </c>
      <c r="AE111">
        <v>6.8</v>
      </c>
      <c r="AF111">
        <v>57.057200000000002</v>
      </c>
      <c r="AG111">
        <v>12.78</v>
      </c>
      <c r="AH111">
        <v>609.11</v>
      </c>
      <c r="AI111">
        <v>115.55</v>
      </c>
      <c r="AJ111">
        <v>111.87</v>
      </c>
      <c r="AK111">
        <v>122.34</v>
      </c>
      <c r="AL111">
        <v>226.76</v>
      </c>
      <c r="AM111">
        <v>51.51</v>
      </c>
      <c r="AN111">
        <v>23.02</v>
      </c>
      <c r="AO111">
        <v>51.5</v>
      </c>
      <c r="AP111">
        <v>4.5999999999999996</v>
      </c>
      <c r="AQ111">
        <v>101.51</v>
      </c>
      <c r="AR111">
        <v>61.5</v>
      </c>
      <c r="AS111">
        <v>94</v>
      </c>
      <c r="AT111">
        <v>4.93</v>
      </c>
      <c r="AU111">
        <v>328.14</v>
      </c>
      <c r="AV111">
        <v>246.65</v>
      </c>
      <c r="AW111">
        <v>131.97</v>
      </c>
    </row>
    <row r="112" spans="2:49">
      <c r="B112" s="13">
        <v>46010</v>
      </c>
      <c r="C112">
        <v>288.77999999999997</v>
      </c>
      <c r="D112">
        <v>4.9000000000000004</v>
      </c>
      <c r="E112">
        <v>1.88</v>
      </c>
      <c r="F112">
        <v>2.63</v>
      </c>
      <c r="G112">
        <v>19.86</v>
      </c>
      <c r="H112">
        <v>3.63</v>
      </c>
      <c r="I112">
        <v>48.99</v>
      </c>
      <c r="J112">
        <v>6.9126000000000003</v>
      </c>
      <c r="K112">
        <v>53.45</v>
      </c>
      <c r="L112">
        <v>53.72</v>
      </c>
      <c r="M112">
        <v>285.77</v>
      </c>
      <c r="N112">
        <v>36.78</v>
      </c>
      <c r="O112">
        <v>31.17</v>
      </c>
      <c r="P112">
        <v>16.440000000000001</v>
      </c>
      <c r="Q112">
        <v>25.19</v>
      </c>
      <c r="R112">
        <v>28.35</v>
      </c>
      <c r="S112">
        <v>155.86000000000001</v>
      </c>
      <c r="T112">
        <v>63.79</v>
      </c>
      <c r="U112">
        <v>123.82</v>
      </c>
      <c r="V112">
        <v>42.63</v>
      </c>
      <c r="W112">
        <v>193.38</v>
      </c>
      <c r="X112">
        <v>59.57</v>
      </c>
      <c r="Y112">
        <v>44.91</v>
      </c>
      <c r="Z112">
        <v>356.23</v>
      </c>
      <c r="AA112">
        <v>0.62</v>
      </c>
      <c r="AB112">
        <v>24.79</v>
      </c>
      <c r="AC112">
        <v>71.67</v>
      </c>
      <c r="AD112">
        <v>680.59</v>
      </c>
      <c r="AE112">
        <v>6.94</v>
      </c>
      <c r="AF112">
        <v>57.478299999999997</v>
      </c>
      <c r="AG112">
        <v>12.769500000000001</v>
      </c>
      <c r="AH112">
        <v>617.04999999999995</v>
      </c>
      <c r="AI112">
        <v>114.99</v>
      </c>
      <c r="AJ112">
        <v>111.24</v>
      </c>
      <c r="AK112">
        <v>121.85</v>
      </c>
      <c r="AL112">
        <v>227.35</v>
      </c>
      <c r="AM112">
        <v>53.52</v>
      </c>
      <c r="AN112">
        <v>23.2</v>
      </c>
      <c r="AO112">
        <v>52.12</v>
      </c>
      <c r="AP112">
        <v>4.6100000000000003</v>
      </c>
      <c r="AQ112">
        <v>100.65</v>
      </c>
      <c r="AR112">
        <v>62.68</v>
      </c>
      <c r="AS112">
        <v>94.39</v>
      </c>
      <c r="AT112">
        <v>4.99</v>
      </c>
      <c r="AU112">
        <v>327.42</v>
      </c>
      <c r="AV112">
        <v>247.4</v>
      </c>
      <c r="AW112">
        <v>130.61000000000001</v>
      </c>
    </row>
    <row r="113" spans="2:49">
      <c r="B113" s="13">
        <v>46011</v>
      </c>
      <c r="C113" t="s">
        <v>220</v>
      </c>
      <c r="D113" t="s">
        <v>220</v>
      </c>
      <c r="E113" t="s">
        <v>220</v>
      </c>
      <c r="F113" t="s">
        <v>220</v>
      </c>
      <c r="G113" t="s">
        <v>220</v>
      </c>
      <c r="H113" t="s">
        <v>220</v>
      </c>
      <c r="I113" t="s">
        <v>220</v>
      </c>
      <c r="J113" t="s">
        <v>220</v>
      </c>
      <c r="K113" t="s">
        <v>220</v>
      </c>
      <c r="L113" t="s">
        <v>220</v>
      </c>
      <c r="M113" t="s">
        <v>220</v>
      </c>
      <c r="N113" t="s">
        <v>220</v>
      </c>
      <c r="O113" t="s">
        <v>220</v>
      </c>
      <c r="P113" t="s">
        <v>220</v>
      </c>
      <c r="Q113" t="s">
        <v>220</v>
      </c>
      <c r="R113" t="s">
        <v>220</v>
      </c>
      <c r="S113" t="s">
        <v>220</v>
      </c>
      <c r="T113" t="s">
        <v>220</v>
      </c>
      <c r="U113" t="s">
        <v>220</v>
      </c>
      <c r="V113" t="s">
        <v>220</v>
      </c>
      <c r="W113" t="s">
        <v>220</v>
      </c>
      <c r="X113" t="s">
        <v>220</v>
      </c>
      <c r="Y113" t="s">
        <v>220</v>
      </c>
      <c r="Z113" t="s">
        <v>220</v>
      </c>
      <c r="AA113" t="s">
        <v>220</v>
      </c>
      <c r="AB113" t="s">
        <v>220</v>
      </c>
      <c r="AC113" t="s">
        <v>220</v>
      </c>
      <c r="AD113" t="s">
        <v>220</v>
      </c>
      <c r="AE113" t="s">
        <v>220</v>
      </c>
      <c r="AF113" t="s">
        <v>220</v>
      </c>
      <c r="AG113" t="s">
        <v>220</v>
      </c>
      <c r="AH113" t="s">
        <v>220</v>
      </c>
      <c r="AI113" t="s">
        <v>220</v>
      </c>
      <c r="AJ113" t="s">
        <v>220</v>
      </c>
      <c r="AK113" t="s">
        <v>220</v>
      </c>
      <c r="AL113" t="s">
        <v>220</v>
      </c>
      <c r="AM113" t="s">
        <v>220</v>
      </c>
      <c r="AN113" t="s">
        <v>220</v>
      </c>
      <c r="AO113" t="s">
        <v>220</v>
      </c>
      <c r="AP113" t="s">
        <v>220</v>
      </c>
      <c r="AQ113" t="s">
        <v>220</v>
      </c>
      <c r="AR113" t="s">
        <v>220</v>
      </c>
      <c r="AS113" t="s">
        <v>220</v>
      </c>
      <c r="AT113" t="s">
        <v>220</v>
      </c>
      <c r="AU113" t="s">
        <v>220</v>
      </c>
      <c r="AV113" t="s">
        <v>220</v>
      </c>
      <c r="AW113" t="s">
        <v>220</v>
      </c>
    </row>
    <row r="114" spans="2:49">
      <c r="B114" s="13">
        <v>46012</v>
      </c>
      <c r="C114" t="s">
        <v>220</v>
      </c>
      <c r="D114" t="s">
        <v>220</v>
      </c>
      <c r="E114" t="s">
        <v>220</v>
      </c>
      <c r="F114" t="s">
        <v>220</v>
      </c>
      <c r="G114" t="s">
        <v>220</v>
      </c>
      <c r="H114" t="s">
        <v>220</v>
      </c>
      <c r="I114" t="s">
        <v>220</v>
      </c>
      <c r="J114" t="s">
        <v>220</v>
      </c>
      <c r="K114" t="s">
        <v>220</v>
      </c>
      <c r="L114" t="s">
        <v>220</v>
      </c>
      <c r="M114" t="s">
        <v>220</v>
      </c>
      <c r="N114" t="s">
        <v>220</v>
      </c>
      <c r="O114" t="s">
        <v>220</v>
      </c>
      <c r="P114" t="s">
        <v>220</v>
      </c>
      <c r="Q114" t="s">
        <v>220</v>
      </c>
      <c r="R114" t="s">
        <v>220</v>
      </c>
      <c r="S114" t="s">
        <v>220</v>
      </c>
      <c r="T114" t="s">
        <v>220</v>
      </c>
      <c r="U114" t="s">
        <v>220</v>
      </c>
      <c r="V114" t="s">
        <v>220</v>
      </c>
      <c r="W114" t="s">
        <v>220</v>
      </c>
      <c r="X114" t="s">
        <v>220</v>
      </c>
      <c r="Y114" t="s">
        <v>220</v>
      </c>
      <c r="Z114" t="s">
        <v>220</v>
      </c>
      <c r="AA114" t="s">
        <v>220</v>
      </c>
      <c r="AB114" t="s">
        <v>220</v>
      </c>
      <c r="AC114" t="s">
        <v>220</v>
      </c>
      <c r="AD114" t="s">
        <v>220</v>
      </c>
      <c r="AE114" t="s">
        <v>220</v>
      </c>
      <c r="AF114" t="s">
        <v>220</v>
      </c>
      <c r="AG114" t="s">
        <v>220</v>
      </c>
      <c r="AH114" t="s">
        <v>220</v>
      </c>
      <c r="AI114" t="s">
        <v>220</v>
      </c>
      <c r="AJ114" t="s">
        <v>220</v>
      </c>
      <c r="AK114" t="s">
        <v>220</v>
      </c>
      <c r="AL114" t="s">
        <v>220</v>
      </c>
      <c r="AM114" t="s">
        <v>220</v>
      </c>
      <c r="AN114" t="s">
        <v>220</v>
      </c>
      <c r="AO114" t="s">
        <v>220</v>
      </c>
      <c r="AP114" t="s">
        <v>220</v>
      </c>
      <c r="AQ114" t="s">
        <v>220</v>
      </c>
      <c r="AR114" t="s">
        <v>220</v>
      </c>
      <c r="AS114" t="s">
        <v>220</v>
      </c>
      <c r="AT114" t="s">
        <v>220</v>
      </c>
      <c r="AU114" t="s">
        <v>220</v>
      </c>
      <c r="AV114" t="s">
        <v>220</v>
      </c>
      <c r="AW114" t="s">
        <v>220</v>
      </c>
    </row>
    <row r="115" spans="2:49">
      <c r="B115" s="13">
        <v>46013</v>
      </c>
      <c r="C115">
        <v>292.77999999999997</v>
      </c>
      <c r="D115">
        <v>5.0999999999999996</v>
      </c>
      <c r="E115">
        <v>1.96</v>
      </c>
      <c r="F115">
        <v>2.6</v>
      </c>
      <c r="G115">
        <v>20.02</v>
      </c>
      <c r="H115">
        <v>3.68</v>
      </c>
      <c r="I115">
        <v>51.4</v>
      </c>
      <c r="J115">
        <v>6.9028999999999998</v>
      </c>
      <c r="K115">
        <v>53.63</v>
      </c>
      <c r="L115">
        <v>54.01</v>
      </c>
      <c r="M115">
        <v>289.08</v>
      </c>
      <c r="N115">
        <v>36.97</v>
      </c>
      <c r="O115">
        <v>30.97</v>
      </c>
      <c r="P115">
        <v>16.649999999999999</v>
      </c>
      <c r="Q115">
        <v>25.21</v>
      </c>
      <c r="R115">
        <v>29.12</v>
      </c>
      <c r="S115">
        <v>157.05000000000001</v>
      </c>
      <c r="T115">
        <v>63.97</v>
      </c>
      <c r="U115">
        <v>124.41</v>
      </c>
      <c r="V115">
        <v>42.47</v>
      </c>
      <c r="W115">
        <v>193.98</v>
      </c>
      <c r="X115">
        <v>59.93</v>
      </c>
      <c r="Y115">
        <v>44.96</v>
      </c>
      <c r="Z115">
        <v>359.7</v>
      </c>
      <c r="AA115">
        <v>0.66</v>
      </c>
      <c r="AB115">
        <v>24.9</v>
      </c>
      <c r="AC115">
        <v>72.3</v>
      </c>
      <c r="AD115">
        <v>684.83</v>
      </c>
      <c r="AE115">
        <v>6.95</v>
      </c>
      <c r="AF115">
        <v>57.972200000000001</v>
      </c>
      <c r="AG115">
        <v>12.5747</v>
      </c>
      <c r="AH115">
        <v>619.21</v>
      </c>
      <c r="AI115">
        <v>114.84</v>
      </c>
      <c r="AJ115">
        <v>112.38</v>
      </c>
      <c r="AK115">
        <v>122.34</v>
      </c>
      <c r="AL115">
        <v>228.43</v>
      </c>
      <c r="AM115">
        <v>54.25</v>
      </c>
      <c r="AN115">
        <v>23.454499999999999</v>
      </c>
      <c r="AO115">
        <v>51.82</v>
      </c>
      <c r="AP115">
        <v>4.5599999999999996</v>
      </c>
      <c r="AQ115">
        <v>99.78</v>
      </c>
      <c r="AR115">
        <v>62.95</v>
      </c>
      <c r="AS115">
        <v>93.23</v>
      </c>
      <c r="AT115">
        <v>5</v>
      </c>
      <c r="AU115">
        <v>325.16000000000003</v>
      </c>
      <c r="AV115">
        <v>248.58</v>
      </c>
      <c r="AW115">
        <v>131.41999999999999</v>
      </c>
    </row>
    <row r="116" spans="2:49">
      <c r="B116" s="13">
        <v>46014</v>
      </c>
      <c r="C116">
        <v>295.20999999999998</v>
      </c>
      <c r="D116">
        <v>5.0999999999999996</v>
      </c>
      <c r="E116">
        <v>2</v>
      </c>
      <c r="F116">
        <v>2.6</v>
      </c>
      <c r="G116">
        <v>19.7</v>
      </c>
      <c r="H116">
        <v>3.71</v>
      </c>
      <c r="I116">
        <v>50.4</v>
      </c>
      <c r="J116">
        <v>7.0583</v>
      </c>
      <c r="K116">
        <v>53.8</v>
      </c>
      <c r="L116">
        <v>54.31</v>
      </c>
      <c r="M116">
        <v>289</v>
      </c>
      <c r="N116">
        <v>37.18</v>
      </c>
      <c r="O116">
        <v>31.65</v>
      </c>
      <c r="P116">
        <v>16.54</v>
      </c>
      <c r="Q116">
        <v>24.88</v>
      </c>
      <c r="R116">
        <v>29.69</v>
      </c>
      <c r="S116">
        <v>156.99</v>
      </c>
      <c r="T116">
        <v>64.099999999999994</v>
      </c>
      <c r="U116">
        <v>123.83</v>
      </c>
      <c r="V116">
        <v>42.62</v>
      </c>
      <c r="W116">
        <v>194.13</v>
      </c>
      <c r="X116">
        <v>60.4</v>
      </c>
      <c r="Y116">
        <v>44.9</v>
      </c>
      <c r="Z116">
        <v>363.16</v>
      </c>
      <c r="AA116">
        <v>0.69</v>
      </c>
      <c r="AB116">
        <v>24.85</v>
      </c>
      <c r="AC116">
        <v>72.34</v>
      </c>
      <c r="AD116">
        <v>687.96</v>
      </c>
      <c r="AE116">
        <v>6.95</v>
      </c>
      <c r="AF116">
        <v>58.09</v>
      </c>
      <c r="AG116">
        <v>12.92</v>
      </c>
      <c r="AH116">
        <v>622.11</v>
      </c>
      <c r="AI116">
        <v>114.18</v>
      </c>
      <c r="AJ116">
        <v>113.22</v>
      </c>
      <c r="AK116">
        <v>122.17</v>
      </c>
      <c r="AL116">
        <v>232.14</v>
      </c>
      <c r="AM116">
        <v>55.01</v>
      </c>
      <c r="AN116">
        <v>23.429099999999998</v>
      </c>
      <c r="AO116">
        <v>51.56</v>
      </c>
      <c r="AP116">
        <v>4.6100000000000003</v>
      </c>
      <c r="AQ116">
        <v>100.11</v>
      </c>
      <c r="AR116">
        <v>63.63</v>
      </c>
      <c r="AS116">
        <v>93.5</v>
      </c>
      <c r="AT116">
        <v>4.8899999999999997</v>
      </c>
      <c r="AU116">
        <v>324.8</v>
      </c>
      <c r="AV116">
        <v>249.23</v>
      </c>
      <c r="AW116">
        <v>131</v>
      </c>
    </row>
    <row r="117" spans="2:49">
      <c r="B117" s="13">
        <v>46015</v>
      </c>
      <c r="C117">
        <v>295.89999999999998</v>
      </c>
      <c r="D117">
        <v>5.12</v>
      </c>
      <c r="E117">
        <v>2.1</v>
      </c>
      <c r="F117">
        <v>2.6</v>
      </c>
      <c r="G117">
        <v>19.57</v>
      </c>
      <c r="H117">
        <v>3.73</v>
      </c>
      <c r="I117">
        <v>50.86</v>
      </c>
      <c r="J117">
        <v>7.0679999999999996</v>
      </c>
      <c r="K117">
        <v>53.92</v>
      </c>
      <c r="L117">
        <v>54.42</v>
      </c>
      <c r="M117">
        <v>289.45</v>
      </c>
      <c r="N117">
        <v>37.299999999999997</v>
      </c>
      <c r="O117">
        <v>31.55</v>
      </c>
      <c r="P117">
        <v>16.579999999999998</v>
      </c>
      <c r="Q117">
        <v>25.03</v>
      </c>
      <c r="R117">
        <v>29.51</v>
      </c>
      <c r="S117">
        <v>157.5</v>
      </c>
      <c r="T117">
        <v>64.2</v>
      </c>
      <c r="U117">
        <v>123.36</v>
      </c>
      <c r="V117">
        <v>42.81</v>
      </c>
      <c r="W117">
        <v>194.17</v>
      </c>
      <c r="X117">
        <v>60.53</v>
      </c>
      <c r="Y117">
        <v>44.98</v>
      </c>
      <c r="Z117">
        <v>364.17</v>
      </c>
      <c r="AA117">
        <v>0.71</v>
      </c>
      <c r="AB117">
        <v>24.9</v>
      </c>
      <c r="AC117">
        <v>72.62</v>
      </c>
      <c r="AD117">
        <v>690.38</v>
      </c>
      <c r="AE117">
        <v>6.99</v>
      </c>
      <c r="AF117">
        <v>58.348300000000002</v>
      </c>
      <c r="AG117">
        <v>12.8363</v>
      </c>
      <c r="AH117">
        <v>623.92999999999995</v>
      </c>
      <c r="AI117">
        <v>114.55</v>
      </c>
      <c r="AJ117">
        <v>114.48</v>
      </c>
      <c r="AK117">
        <v>122.59</v>
      </c>
      <c r="AL117">
        <v>232.38</v>
      </c>
      <c r="AM117">
        <v>55.36</v>
      </c>
      <c r="AN117">
        <v>23.54</v>
      </c>
      <c r="AO117">
        <v>51.9</v>
      </c>
      <c r="AP117">
        <v>4.6500000000000004</v>
      </c>
      <c r="AQ117">
        <v>101.08</v>
      </c>
      <c r="AR117">
        <v>64.349999999999994</v>
      </c>
      <c r="AS117">
        <v>93.64</v>
      </c>
      <c r="AT117">
        <v>4.91</v>
      </c>
      <c r="AU117">
        <v>327.58</v>
      </c>
      <c r="AV117">
        <v>251.6</v>
      </c>
      <c r="AW117">
        <v>130.78</v>
      </c>
    </row>
    <row r="118" spans="2:49">
      <c r="B118" s="13">
        <v>46016</v>
      </c>
      <c r="C118" t="s">
        <v>220</v>
      </c>
      <c r="D118" t="s">
        <v>220</v>
      </c>
      <c r="E118" t="s">
        <v>220</v>
      </c>
      <c r="F118" t="s">
        <v>220</v>
      </c>
      <c r="G118" t="s">
        <v>220</v>
      </c>
      <c r="H118" t="s">
        <v>220</v>
      </c>
      <c r="I118" t="s">
        <v>220</v>
      </c>
      <c r="J118" t="s">
        <v>220</v>
      </c>
      <c r="K118" t="s">
        <v>220</v>
      </c>
      <c r="L118" t="s">
        <v>220</v>
      </c>
      <c r="M118" t="s">
        <v>220</v>
      </c>
      <c r="N118" t="s">
        <v>220</v>
      </c>
      <c r="O118" t="s">
        <v>220</v>
      </c>
      <c r="P118" t="s">
        <v>220</v>
      </c>
      <c r="Q118" t="s">
        <v>220</v>
      </c>
      <c r="R118" t="s">
        <v>220</v>
      </c>
      <c r="S118" t="s">
        <v>220</v>
      </c>
      <c r="T118" t="s">
        <v>220</v>
      </c>
      <c r="U118" t="s">
        <v>220</v>
      </c>
      <c r="V118" t="s">
        <v>220</v>
      </c>
      <c r="W118" t="s">
        <v>220</v>
      </c>
      <c r="X118" t="s">
        <v>220</v>
      </c>
      <c r="Y118" t="s">
        <v>220</v>
      </c>
      <c r="Z118" t="s">
        <v>220</v>
      </c>
      <c r="AA118" t="s">
        <v>220</v>
      </c>
      <c r="AB118" t="s">
        <v>220</v>
      </c>
      <c r="AC118" t="s">
        <v>220</v>
      </c>
      <c r="AD118" t="s">
        <v>220</v>
      </c>
      <c r="AE118" t="s">
        <v>220</v>
      </c>
      <c r="AF118" t="s">
        <v>220</v>
      </c>
      <c r="AG118" t="s">
        <v>220</v>
      </c>
      <c r="AH118" t="s">
        <v>220</v>
      </c>
      <c r="AI118" t="s">
        <v>220</v>
      </c>
      <c r="AJ118" t="s">
        <v>220</v>
      </c>
      <c r="AK118" t="s">
        <v>220</v>
      </c>
      <c r="AL118" t="s">
        <v>220</v>
      </c>
      <c r="AM118" t="s">
        <v>220</v>
      </c>
      <c r="AN118" t="s">
        <v>220</v>
      </c>
      <c r="AO118" t="s">
        <v>220</v>
      </c>
      <c r="AP118" t="s">
        <v>220</v>
      </c>
      <c r="AQ118" t="s">
        <v>220</v>
      </c>
      <c r="AR118" t="s">
        <v>220</v>
      </c>
      <c r="AS118" t="s">
        <v>220</v>
      </c>
      <c r="AT118" t="s">
        <v>220</v>
      </c>
      <c r="AU118" t="s">
        <v>220</v>
      </c>
      <c r="AV118" t="s">
        <v>220</v>
      </c>
      <c r="AW118" t="s">
        <v>220</v>
      </c>
    </row>
    <row r="119" spans="2:49">
      <c r="B119" s="13">
        <v>46017</v>
      </c>
      <c r="C119">
        <v>296.33</v>
      </c>
      <c r="D119">
        <v>5.29</v>
      </c>
      <c r="E119">
        <v>2.1</v>
      </c>
      <c r="F119">
        <v>2.62</v>
      </c>
      <c r="G119">
        <v>20.78</v>
      </c>
      <c r="H119">
        <v>3.79</v>
      </c>
      <c r="I119">
        <v>50.83</v>
      </c>
      <c r="J119">
        <v>7.0971000000000002</v>
      </c>
      <c r="K119">
        <v>53.89</v>
      </c>
      <c r="L119">
        <v>54.8</v>
      </c>
      <c r="M119">
        <v>291.5</v>
      </c>
      <c r="N119">
        <v>37.39</v>
      </c>
      <c r="O119">
        <v>31.73</v>
      </c>
      <c r="P119">
        <v>16.62</v>
      </c>
      <c r="Q119">
        <v>25.09</v>
      </c>
      <c r="R119">
        <v>29.55</v>
      </c>
      <c r="S119">
        <v>157.21</v>
      </c>
      <c r="T119">
        <v>64.33</v>
      </c>
      <c r="U119">
        <v>124.8</v>
      </c>
      <c r="V119">
        <v>42.78</v>
      </c>
      <c r="W119">
        <v>188.71</v>
      </c>
      <c r="X119">
        <v>60.54</v>
      </c>
      <c r="Y119">
        <v>45.18</v>
      </c>
      <c r="Z119">
        <v>365.86</v>
      </c>
      <c r="AA119">
        <v>0.77</v>
      </c>
      <c r="AB119">
        <v>24.9</v>
      </c>
      <c r="AC119">
        <v>72.680000000000007</v>
      </c>
      <c r="AD119">
        <v>690.31</v>
      </c>
      <c r="AE119">
        <v>6.95</v>
      </c>
      <c r="AF119">
        <v>58.328600000000002</v>
      </c>
      <c r="AG119">
        <v>12.98</v>
      </c>
      <c r="AH119">
        <v>623.89</v>
      </c>
      <c r="AI119">
        <v>113.97</v>
      </c>
      <c r="AJ119">
        <v>113.56</v>
      </c>
      <c r="AK119">
        <v>122.05</v>
      </c>
      <c r="AL119">
        <v>232.52</v>
      </c>
      <c r="AM119">
        <v>55.31</v>
      </c>
      <c r="AN119">
        <v>23.694900000000001</v>
      </c>
      <c r="AO119">
        <v>52.23</v>
      </c>
      <c r="AP119">
        <v>4.5999999999999996</v>
      </c>
      <c r="AQ119">
        <v>101</v>
      </c>
      <c r="AR119">
        <v>65.38</v>
      </c>
      <c r="AS119">
        <v>94.47</v>
      </c>
      <c r="AT119">
        <v>5.0999999999999996</v>
      </c>
      <c r="AU119">
        <v>331.83</v>
      </c>
      <c r="AV119">
        <v>256.08999999999997</v>
      </c>
      <c r="AW119">
        <v>130.41</v>
      </c>
    </row>
    <row r="120" spans="2:49">
      <c r="B120" s="13">
        <v>46018</v>
      </c>
      <c r="C120" t="s">
        <v>220</v>
      </c>
      <c r="D120" t="s">
        <v>220</v>
      </c>
      <c r="E120" t="s">
        <v>220</v>
      </c>
      <c r="F120" t="s">
        <v>220</v>
      </c>
      <c r="G120" t="s">
        <v>220</v>
      </c>
      <c r="H120" t="s">
        <v>220</v>
      </c>
      <c r="I120" t="s">
        <v>220</v>
      </c>
      <c r="J120" t="s">
        <v>220</v>
      </c>
      <c r="K120" t="s">
        <v>220</v>
      </c>
      <c r="L120" t="s">
        <v>220</v>
      </c>
      <c r="M120" t="s">
        <v>220</v>
      </c>
      <c r="N120" t="s">
        <v>220</v>
      </c>
      <c r="O120" t="s">
        <v>220</v>
      </c>
      <c r="P120" t="s">
        <v>220</v>
      </c>
      <c r="Q120" t="s">
        <v>220</v>
      </c>
      <c r="R120" t="s">
        <v>220</v>
      </c>
      <c r="S120" t="s">
        <v>220</v>
      </c>
      <c r="T120" t="s">
        <v>220</v>
      </c>
      <c r="U120" t="s">
        <v>220</v>
      </c>
      <c r="V120" t="s">
        <v>220</v>
      </c>
      <c r="W120" t="s">
        <v>220</v>
      </c>
      <c r="X120" t="s">
        <v>220</v>
      </c>
      <c r="Y120" t="s">
        <v>220</v>
      </c>
      <c r="Z120" t="s">
        <v>220</v>
      </c>
      <c r="AA120" t="s">
        <v>220</v>
      </c>
      <c r="AB120" t="s">
        <v>220</v>
      </c>
      <c r="AC120" t="s">
        <v>220</v>
      </c>
      <c r="AD120" t="s">
        <v>220</v>
      </c>
      <c r="AE120" t="s">
        <v>220</v>
      </c>
      <c r="AF120" t="s">
        <v>220</v>
      </c>
      <c r="AG120" t="s">
        <v>220</v>
      </c>
      <c r="AH120" t="s">
        <v>220</v>
      </c>
      <c r="AI120" t="s">
        <v>220</v>
      </c>
      <c r="AJ120" t="s">
        <v>220</v>
      </c>
      <c r="AK120" t="s">
        <v>220</v>
      </c>
      <c r="AL120" t="s">
        <v>220</v>
      </c>
      <c r="AM120" t="s">
        <v>220</v>
      </c>
      <c r="AN120" t="s">
        <v>220</v>
      </c>
      <c r="AO120" t="s">
        <v>220</v>
      </c>
      <c r="AP120" t="s">
        <v>220</v>
      </c>
      <c r="AQ120" t="s">
        <v>220</v>
      </c>
      <c r="AR120" t="s">
        <v>220</v>
      </c>
      <c r="AS120" t="s">
        <v>220</v>
      </c>
      <c r="AT120" t="s">
        <v>220</v>
      </c>
      <c r="AU120" t="s">
        <v>220</v>
      </c>
      <c r="AV120" t="s">
        <v>220</v>
      </c>
      <c r="AW120" t="s">
        <v>220</v>
      </c>
    </row>
    <row r="121" spans="2:49">
      <c r="B121" s="13">
        <v>46019</v>
      </c>
      <c r="C121" t="s">
        <v>220</v>
      </c>
      <c r="D121" t="s">
        <v>220</v>
      </c>
      <c r="E121" t="s">
        <v>220</v>
      </c>
      <c r="F121" t="s">
        <v>220</v>
      </c>
      <c r="G121" t="s">
        <v>220</v>
      </c>
      <c r="H121" t="s">
        <v>220</v>
      </c>
      <c r="I121" t="s">
        <v>220</v>
      </c>
      <c r="J121" t="s">
        <v>220</v>
      </c>
      <c r="K121" t="s">
        <v>220</v>
      </c>
      <c r="L121" t="s">
        <v>220</v>
      </c>
      <c r="M121" t="s">
        <v>220</v>
      </c>
      <c r="N121" t="s">
        <v>220</v>
      </c>
      <c r="O121" t="s">
        <v>220</v>
      </c>
      <c r="P121" t="s">
        <v>220</v>
      </c>
      <c r="Q121" t="s">
        <v>220</v>
      </c>
      <c r="R121" t="s">
        <v>220</v>
      </c>
      <c r="S121" t="s">
        <v>220</v>
      </c>
      <c r="T121" t="s">
        <v>220</v>
      </c>
      <c r="U121" t="s">
        <v>220</v>
      </c>
      <c r="V121" t="s">
        <v>220</v>
      </c>
      <c r="W121" t="s">
        <v>220</v>
      </c>
      <c r="X121" t="s">
        <v>220</v>
      </c>
      <c r="Y121" t="s">
        <v>220</v>
      </c>
      <c r="Z121" t="s">
        <v>220</v>
      </c>
      <c r="AA121" t="s">
        <v>220</v>
      </c>
      <c r="AB121" t="s">
        <v>220</v>
      </c>
      <c r="AC121" t="s">
        <v>220</v>
      </c>
      <c r="AD121" t="s">
        <v>220</v>
      </c>
      <c r="AE121" t="s">
        <v>220</v>
      </c>
      <c r="AF121" t="s">
        <v>220</v>
      </c>
      <c r="AG121" t="s">
        <v>220</v>
      </c>
      <c r="AH121" t="s">
        <v>220</v>
      </c>
      <c r="AI121" t="s">
        <v>220</v>
      </c>
      <c r="AJ121" t="s">
        <v>220</v>
      </c>
      <c r="AK121" t="s">
        <v>220</v>
      </c>
      <c r="AL121" t="s">
        <v>220</v>
      </c>
      <c r="AM121" t="s">
        <v>220</v>
      </c>
      <c r="AN121" t="s">
        <v>220</v>
      </c>
      <c r="AO121" t="s">
        <v>220</v>
      </c>
      <c r="AP121" t="s">
        <v>220</v>
      </c>
      <c r="AQ121" t="s">
        <v>220</v>
      </c>
      <c r="AR121" t="s">
        <v>220</v>
      </c>
      <c r="AS121" t="s">
        <v>220</v>
      </c>
      <c r="AT121" t="s">
        <v>220</v>
      </c>
      <c r="AU121" t="s">
        <v>220</v>
      </c>
      <c r="AV121" t="s">
        <v>220</v>
      </c>
      <c r="AW121" t="s">
        <v>220</v>
      </c>
    </row>
    <row r="122" spans="2:49">
      <c r="B122" s="13">
        <v>46020</v>
      </c>
      <c r="C122">
        <v>292.89</v>
      </c>
      <c r="D122">
        <v>5.27</v>
      </c>
      <c r="E122">
        <v>2.25</v>
      </c>
      <c r="F122">
        <v>2.61</v>
      </c>
      <c r="G122">
        <v>20.5</v>
      </c>
      <c r="H122">
        <v>3.8</v>
      </c>
      <c r="I122">
        <v>50.13</v>
      </c>
      <c r="J122">
        <v>7.02</v>
      </c>
      <c r="K122">
        <v>53.8</v>
      </c>
      <c r="L122">
        <v>54.66</v>
      </c>
      <c r="M122">
        <v>291.05</v>
      </c>
      <c r="N122">
        <v>37.049999999999997</v>
      </c>
      <c r="O122">
        <v>31.42</v>
      </c>
      <c r="P122">
        <v>16.52</v>
      </c>
      <c r="Q122">
        <v>25</v>
      </c>
      <c r="R122">
        <v>28.1</v>
      </c>
      <c r="S122">
        <v>156.87</v>
      </c>
      <c r="T122">
        <v>64.099999999999994</v>
      </c>
      <c r="U122">
        <v>126.81</v>
      </c>
      <c r="V122">
        <v>42.86</v>
      </c>
      <c r="W122">
        <v>184.18</v>
      </c>
      <c r="X122">
        <v>60.35</v>
      </c>
      <c r="Y122">
        <v>44.99</v>
      </c>
      <c r="Z122">
        <v>364.21</v>
      </c>
      <c r="AA122">
        <v>0.71</v>
      </c>
      <c r="AB122">
        <v>24.8</v>
      </c>
      <c r="AC122">
        <v>72.45</v>
      </c>
      <c r="AD122">
        <v>687.85</v>
      </c>
      <c r="AE122">
        <v>6.83</v>
      </c>
      <c r="AF122">
        <v>58.0563</v>
      </c>
      <c r="AG122">
        <v>12.823499999999999</v>
      </c>
      <c r="AH122">
        <v>620.87</v>
      </c>
      <c r="AI122">
        <v>113.33</v>
      </c>
      <c r="AJ122">
        <v>114.19</v>
      </c>
      <c r="AK122">
        <v>120.85</v>
      </c>
      <c r="AL122">
        <v>232.07</v>
      </c>
      <c r="AM122">
        <v>54.49</v>
      </c>
      <c r="AN122">
        <v>23.384599999999999</v>
      </c>
      <c r="AO122">
        <v>51.87</v>
      </c>
      <c r="AP122">
        <v>4.6500000000000004</v>
      </c>
      <c r="AQ122">
        <v>101.03</v>
      </c>
      <c r="AR122">
        <v>64.959999999999994</v>
      </c>
      <c r="AS122">
        <v>94.15</v>
      </c>
      <c r="AT122">
        <v>5.34</v>
      </c>
      <c r="AU122">
        <v>328.94</v>
      </c>
      <c r="AV122">
        <v>255.7</v>
      </c>
      <c r="AW122">
        <v>129.41999999999999</v>
      </c>
    </row>
    <row r="123" spans="2:49">
      <c r="B123" s="13">
        <v>46021</v>
      </c>
      <c r="C123">
        <v>291.06</v>
      </c>
      <c r="D123">
        <v>5.43</v>
      </c>
      <c r="E123">
        <v>2.25</v>
      </c>
      <c r="F123">
        <v>2.65</v>
      </c>
      <c r="G123">
        <v>21.28</v>
      </c>
      <c r="H123">
        <v>3.84</v>
      </c>
      <c r="I123">
        <v>49.53</v>
      </c>
      <c r="J123">
        <v>7.2</v>
      </c>
      <c r="K123">
        <v>54.11</v>
      </c>
      <c r="L123">
        <v>54.88</v>
      </c>
      <c r="M123">
        <v>290</v>
      </c>
      <c r="N123">
        <v>37.28</v>
      </c>
      <c r="O123">
        <v>31.99</v>
      </c>
      <c r="P123">
        <v>16.45</v>
      </c>
      <c r="Q123">
        <v>24.99</v>
      </c>
      <c r="R123">
        <v>28.5</v>
      </c>
      <c r="S123">
        <v>156.41999999999999</v>
      </c>
      <c r="T123">
        <v>64.42</v>
      </c>
      <c r="U123">
        <v>132.38</v>
      </c>
      <c r="V123">
        <v>42.96</v>
      </c>
      <c r="W123">
        <v>180.84</v>
      </c>
      <c r="X123">
        <v>60.17</v>
      </c>
      <c r="Y123">
        <v>45.14</v>
      </c>
      <c r="Z123">
        <v>363.31</v>
      </c>
      <c r="AA123">
        <v>0.76</v>
      </c>
      <c r="AB123">
        <v>25</v>
      </c>
      <c r="AC123">
        <v>72.31</v>
      </c>
      <c r="AD123">
        <v>687.01</v>
      </c>
      <c r="AE123">
        <v>7</v>
      </c>
      <c r="AF123">
        <v>57.905799999999999</v>
      </c>
      <c r="AG123">
        <v>13.025</v>
      </c>
      <c r="AH123">
        <v>619.42999999999995</v>
      </c>
      <c r="AI123">
        <v>113.69</v>
      </c>
      <c r="AJ123">
        <v>114.79</v>
      </c>
      <c r="AK123">
        <v>120.36</v>
      </c>
      <c r="AL123">
        <v>232.53</v>
      </c>
      <c r="AM123">
        <v>54.1</v>
      </c>
      <c r="AN123">
        <v>23.61</v>
      </c>
      <c r="AO123">
        <v>52.33</v>
      </c>
      <c r="AP123">
        <v>4.88</v>
      </c>
      <c r="AQ123">
        <v>101.57</v>
      </c>
      <c r="AR123">
        <v>63.99</v>
      </c>
      <c r="AS123">
        <v>93.78</v>
      </c>
      <c r="AT123">
        <v>5.5</v>
      </c>
      <c r="AU123">
        <v>332.16</v>
      </c>
      <c r="AV123">
        <v>257.91000000000003</v>
      </c>
      <c r="AW123">
        <v>128.63999999999999</v>
      </c>
    </row>
    <row r="124" spans="2:49">
      <c r="B124" s="13">
        <v>46022</v>
      </c>
      <c r="C124">
        <v>288.86</v>
      </c>
      <c r="D124">
        <v>5.44</v>
      </c>
      <c r="E124">
        <v>2.2000000000000002</v>
      </c>
      <c r="F124">
        <v>2.69</v>
      </c>
      <c r="G124">
        <v>20.28</v>
      </c>
      <c r="H124">
        <v>3.9</v>
      </c>
      <c r="I124">
        <v>49.12</v>
      </c>
      <c r="J124">
        <v>7.16</v>
      </c>
      <c r="K124">
        <v>53.91</v>
      </c>
      <c r="L124">
        <v>54.71</v>
      </c>
      <c r="M124">
        <v>287</v>
      </c>
      <c r="N124">
        <v>37.090000000000003</v>
      </c>
      <c r="O124">
        <v>31.77</v>
      </c>
      <c r="P124">
        <v>16.43</v>
      </c>
      <c r="Q124">
        <v>24.9</v>
      </c>
      <c r="R124">
        <v>27.83</v>
      </c>
      <c r="S124">
        <v>155.12</v>
      </c>
      <c r="T124">
        <v>64.099999999999994</v>
      </c>
      <c r="U124">
        <v>130.66</v>
      </c>
      <c r="V124">
        <v>42.69</v>
      </c>
      <c r="W124">
        <v>177.75</v>
      </c>
      <c r="X124">
        <v>59.96</v>
      </c>
      <c r="Y124">
        <v>44.99</v>
      </c>
      <c r="Z124">
        <v>360.13</v>
      </c>
      <c r="AA124">
        <v>0.74</v>
      </c>
      <c r="AB124">
        <v>25.2</v>
      </c>
      <c r="AC124">
        <v>71.72</v>
      </c>
      <c r="AD124">
        <v>681.92</v>
      </c>
      <c r="AE124">
        <v>7.05</v>
      </c>
      <c r="AF124">
        <v>57.850900000000003</v>
      </c>
      <c r="AG124">
        <v>12.930400000000001</v>
      </c>
      <c r="AH124">
        <v>614.30999999999995</v>
      </c>
      <c r="AI124">
        <v>112.88</v>
      </c>
      <c r="AJ124">
        <v>113.77</v>
      </c>
      <c r="AK124">
        <v>119.41</v>
      </c>
      <c r="AL124">
        <v>230.82</v>
      </c>
      <c r="AM124">
        <v>52.72</v>
      </c>
      <c r="AN124">
        <v>23.395</v>
      </c>
      <c r="AO124">
        <v>52</v>
      </c>
      <c r="AP124">
        <v>4.92</v>
      </c>
      <c r="AQ124">
        <v>100.89</v>
      </c>
      <c r="AR124">
        <v>63.61</v>
      </c>
      <c r="AS124">
        <v>93.76</v>
      </c>
      <c r="AT124">
        <v>5.0999999999999996</v>
      </c>
      <c r="AU124">
        <v>330.11</v>
      </c>
      <c r="AV124">
        <v>256.02999999999997</v>
      </c>
      <c r="AW124">
        <v>127.48</v>
      </c>
    </row>
    <row r="125" spans="2:49">
      <c r="B125" s="13">
        <v>46023</v>
      </c>
      <c r="C125" t="s">
        <v>220</v>
      </c>
      <c r="D125" t="s">
        <v>220</v>
      </c>
      <c r="E125" t="s">
        <v>220</v>
      </c>
      <c r="F125" t="s">
        <v>220</v>
      </c>
      <c r="G125" t="s">
        <v>220</v>
      </c>
      <c r="H125" t="s">
        <v>220</v>
      </c>
      <c r="I125" t="s">
        <v>220</v>
      </c>
      <c r="J125" t="s">
        <v>220</v>
      </c>
      <c r="K125" t="s">
        <v>220</v>
      </c>
      <c r="L125" t="s">
        <v>220</v>
      </c>
      <c r="M125" t="s">
        <v>220</v>
      </c>
      <c r="N125" t="s">
        <v>220</v>
      </c>
      <c r="O125" t="s">
        <v>220</v>
      </c>
      <c r="P125" t="s">
        <v>220</v>
      </c>
      <c r="Q125" t="s">
        <v>220</v>
      </c>
      <c r="R125" t="s">
        <v>220</v>
      </c>
      <c r="S125" t="s">
        <v>220</v>
      </c>
      <c r="T125" t="s">
        <v>220</v>
      </c>
      <c r="U125" t="s">
        <v>220</v>
      </c>
      <c r="V125" t="s">
        <v>220</v>
      </c>
      <c r="W125" t="s">
        <v>220</v>
      </c>
      <c r="X125" t="s">
        <v>220</v>
      </c>
      <c r="Y125" t="s">
        <v>220</v>
      </c>
      <c r="Z125" t="s">
        <v>220</v>
      </c>
      <c r="AA125" t="s">
        <v>220</v>
      </c>
      <c r="AB125" t="s">
        <v>220</v>
      </c>
      <c r="AC125" t="s">
        <v>220</v>
      </c>
      <c r="AD125" t="s">
        <v>220</v>
      </c>
      <c r="AE125" t="s">
        <v>220</v>
      </c>
      <c r="AF125" t="s">
        <v>220</v>
      </c>
      <c r="AG125" t="s">
        <v>220</v>
      </c>
      <c r="AH125" t="s">
        <v>220</v>
      </c>
      <c r="AI125" t="s">
        <v>220</v>
      </c>
      <c r="AJ125" t="s">
        <v>220</v>
      </c>
      <c r="AK125" t="s">
        <v>220</v>
      </c>
      <c r="AL125" t="s">
        <v>220</v>
      </c>
      <c r="AM125" t="s">
        <v>220</v>
      </c>
      <c r="AN125" t="s">
        <v>220</v>
      </c>
      <c r="AO125" t="s">
        <v>220</v>
      </c>
      <c r="AP125" t="s">
        <v>220</v>
      </c>
      <c r="AQ125" t="s">
        <v>220</v>
      </c>
      <c r="AR125" t="s">
        <v>220</v>
      </c>
      <c r="AS125" t="s">
        <v>220</v>
      </c>
      <c r="AT125" t="s">
        <v>220</v>
      </c>
      <c r="AU125" t="s">
        <v>220</v>
      </c>
      <c r="AV125" t="s">
        <v>220</v>
      </c>
      <c r="AW125" t="s">
        <v>220</v>
      </c>
    </row>
    <row r="126" spans="2:49">
      <c r="B126" s="13">
        <v>46024</v>
      </c>
      <c r="C126">
        <v>293.13</v>
      </c>
      <c r="D126">
        <v>5.6</v>
      </c>
      <c r="E126">
        <v>2.2400000000000002</v>
      </c>
      <c r="F126">
        <v>2.8</v>
      </c>
      <c r="G126">
        <v>20.43</v>
      </c>
      <c r="H126">
        <v>4</v>
      </c>
      <c r="I126">
        <v>51.6</v>
      </c>
      <c r="J126">
        <v>7.23</v>
      </c>
      <c r="K126">
        <v>54.7</v>
      </c>
      <c r="L126">
        <v>56.24</v>
      </c>
      <c r="M126">
        <v>286.41000000000003</v>
      </c>
      <c r="N126">
        <v>37.53</v>
      </c>
      <c r="O126">
        <v>32.200000000000003</v>
      </c>
      <c r="P126">
        <v>17.100000000000001</v>
      </c>
      <c r="Q126">
        <v>25.18</v>
      </c>
      <c r="R126">
        <v>28.59</v>
      </c>
      <c r="S126">
        <v>157.97999999999999</v>
      </c>
      <c r="T126">
        <v>65.010000000000005</v>
      </c>
      <c r="U126">
        <v>150.30000000000001</v>
      </c>
      <c r="V126">
        <v>43.18</v>
      </c>
      <c r="W126">
        <v>167.86</v>
      </c>
      <c r="X126">
        <v>60.34</v>
      </c>
      <c r="Y126">
        <v>45.31</v>
      </c>
      <c r="Z126">
        <v>373.3</v>
      </c>
      <c r="AA126">
        <v>0.74</v>
      </c>
      <c r="AB126">
        <v>25.55</v>
      </c>
      <c r="AC126">
        <v>72.58</v>
      </c>
      <c r="AD126">
        <v>683.17</v>
      </c>
      <c r="AE126">
        <v>7.02</v>
      </c>
      <c r="AF126">
        <v>57.887</v>
      </c>
      <c r="AG126">
        <v>13.0097</v>
      </c>
      <c r="AH126">
        <v>613.12</v>
      </c>
      <c r="AI126">
        <v>113.87</v>
      </c>
      <c r="AJ126">
        <v>111.85</v>
      </c>
      <c r="AK126">
        <v>118.35</v>
      </c>
      <c r="AL126">
        <v>226.5</v>
      </c>
      <c r="AM126">
        <v>52.35</v>
      </c>
      <c r="AN126">
        <v>24.34</v>
      </c>
      <c r="AO126">
        <v>54.33</v>
      </c>
      <c r="AP126">
        <v>4.76</v>
      </c>
      <c r="AQ126">
        <v>101.4</v>
      </c>
      <c r="AR126">
        <v>63.2</v>
      </c>
      <c r="AS126">
        <v>90.99</v>
      </c>
      <c r="AT126">
        <v>5.14</v>
      </c>
      <c r="AU126">
        <v>336.4</v>
      </c>
      <c r="AV126">
        <v>251.6</v>
      </c>
      <c r="AW126">
        <v>128.9</v>
      </c>
    </row>
    <row r="127" spans="2:49">
      <c r="B127" s="13">
        <v>46025</v>
      </c>
      <c r="C127" t="s">
        <v>220</v>
      </c>
      <c r="D127" t="s">
        <v>220</v>
      </c>
      <c r="E127" t="s">
        <v>220</v>
      </c>
      <c r="F127" t="s">
        <v>220</v>
      </c>
      <c r="G127" t="s">
        <v>220</v>
      </c>
      <c r="H127" t="s">
        <v>220</v>
      </c>
      <c r="I127" t="s">
        <v>220</v>
      </c>
      <c r="J127" t="s">
        <v>220</v>
      </c>
      <c r="K127" t="s">
        <v>220</v>
      </c>
      <c r="L127" t="s">
        <v>220</v>
      </c>
      <c r="M127" t="s">
        <v>220</v>
      </c>
      <c r="N127" t="s">
        <v>220</v>
      </c>
      <c r="O127" t="s">
        <v>220</v>
      </c>
      <c r="P127" t="s">
        <v>220</v>
      </c>
      <c r="Q127" t="s">
        <v>220</v>
      </c>
      <c r="R127" t="s">
        <v>220</v>
      </c>
      <c r="S127" t="s">
        <v>220</v>
      </c>
      <c r="T127" t="s">
        <v>220</v>
      </c>
      <c r="U127" t="s">
        <v>220</v>
      </c>
      <c r="V127" t="s">
        <v>220</v>
      </c>
      <c r="W127" t="s">
        <v>220</v>
      </c>
      <c r="X127" t="s">
        <v>220</v>
      </c>
      <c r="Y127" t="s">
        <v>220</v>
      </c>
      <c r="Z127" t="s">
        <v>220</v>
      </c>
      <c r="AA127" t="s">
        <v>220</v>
      </c>
      <c r="AB127" t="s">
        <v>220</v>
      </c>
      <c r="AC127" t="s">
        <v>220</v>
      </c>
      <c r="AD127" t="s">
        <v>220</v>
      </c>
      <c r="AE127" t="s">
        <v>220</v>
      </c>
      <c r="AF127" t="s">
        <v>220</v>
      </c>
      <c r="AG127" t="s">
        <v>220</v>
      </c>
      <c r="AH127" t="s">
        <v>220</v>
      </c>
      <c r="AI127" t="s">
        <v>220</v>
      </c>
      <c r="AJ127" t="s">
        <v>220</v>
      </c>
      <c r="AK127" t="s">
        <v>220</v>
      </c>
      <c r="AL127" t="s">
        <v>220</v>
      </c>
      <c r="AM127" t="s">
        <v>220</v>
      </c>
      <c r="AN127" t="s">
        <v>220</v>
      </c>
      <c r="AO127" t="s">
        <v>220</v>
      </c>
      <c r="AP127" t="s">
        <v>220</v>
      </c>
      <c r="AQ127" t="s">
        <v>220</v>
      </c>
      <c r="AR127" t="s">
        <v>220</v>
      </c>
      <c r="AS127" t="s">
        <v>220</v>
      </c>
      <c r="AT127" t="s">
        <v>220</v>
      </c>
      <c r="AU127" t="s">
        <v>220</v>
      </c>
      <c r="AV127" t="s">
        <v>220</v>
      </c>
      <c r="AW127" t="s">
        <v>220</v>
      </c>
    </row>
    <row r="128" spans="2:49">
      <c r="B128" s="13">
        <v>46026</v>
      </c>
      <c r="C128" t="s">
        <v>220</v>
      </c>
      <c r="D128" t="s">
        <v>220</v>
      </c>
      <c r="E128" t="s">
        <v>220</v>
      </c>
      <c r="F128" t="s">
        <v>220</v>
      </c>
      <c r="G128" t="s">
        <v>220</v>
      </c>
      <c r="H128" t="s">
        <v>220</v>
      </c>
      <c r="I128" t="s">
        <v>220</v>
      </c>
      <c r="J128" t="s">
        <v>220</v>
      </c>
      <c r="K128" t="s">
        <v>220</v>
      </c>
      <c r="L128" t="s">
        <v>220</v>
      </c>
      <c r="M128" t="s">
        <v>220</v>
      </c>
      <c r="N128" t="s">
        <v>220</v>
      </c>
      <c r="O128" t="s">
        <v>220</v>
      </c>
      <c r="P128" t="s">
        <v>220</v>
      </c>
      <c r="Q128" t="s">
        <v>220</v>
      </c>
      <c r="R128" t="s">
        <v>220</v>
      </c>
      <c r="S128" t="s">
        <v>220</v>
      </c>
      <c r="T128" t="s">
        <v>220</v>
      </c>
      <c r="U128" t="s">
        <v>220</v>
      </c>
      <c r="V128" t="s">
        <v>220</v>
      </c>
      <c r="W128" t="s">
        <v>220</v>
      </c>
      <c r="X128" t="s">
        <v>220</v>
      </c>
      <c r="Y128" t="s">
        <v>220</v>
      </c>
      <c r="Z128" t="s">
        <v>220</v>
      </c>
      <c r="AA128" t="s">
        <v>220</v>
      </c>
      <c r="AB128" t="s">
        <v>220</v>
      </c>
      <c r="AC128" t="s">
        <v>220</v>
      </c>
      <c r="AD128" t="s">
        <v>220</v>
      </c>
      <c r="AE128" t="s">
        <v>220</v>
      </c>
      <c r="AF128" t="s">
        <v>220</v>
      </c>
      <c r="AG128" t="s">
        <v>220</v>
      </c>
      <c r="AH128" t="s">
        <v>220</v>
      </c>
      <c r="AI128" t="s">
        <v>220</v>
      </c>
      <c r="AJ128" t="s">
        <v>220</v>
      </c>
      <c r="AK128" t="s">
        <v>220</v>
      </c>
      <c r="AL128" t="s">
        <v>220</v>
      </c>
      <c r="AM128" t="s">
        <v>220</v>
      </c>
      <c r="AN128" t="s">
        <v>220</v>
      </c>
      <c r="AO128" t="s">
        <v>220</v>
      </c>
      <c r="AP128" t="s">
        <v>220</v>
      </c>
      <c r="AQ128" t="s">
        <v>220</v>
      </c>
      <c r="AR128" t="s">
        <v>220</v>
      </c>
      <c r="AS128" t="s">
        <v>220</v>
      </c>
      <c r="AT128" t="s">
        <v>220</v>
      </c>
      <c r="AU128" t="s">
        <v>220</v>
      </c>
      <c r="AV128" t="s">
        <v>220</v>
      </c>
      <c r="AW128" t="s">
        <v>220</v>
      </c>
    </row>
    <row r="129" spans="2:49">
      <c r="B129" s="13">
        <v>46027</v>
      </c>
      <c r="C129">
        <v>297.45999999999998</v>
      </c>
      <c r="D129">
        <v>5.87</v>
      </c>
      <c r="E129">
        <v>2.29</v>
      </c>
      <c r="F129">
        <v>2.75</v>
      </c>
      <c r="G129">
        <v>20.149999999999999</v>
      </c>
      <c r="H129">
        <v>3.99</v>
      </c>
      <c r="I129">
        <v>51.12</v>
      </c>
      <c r="J129">
        <v>7.37</v>
      </c>
      <c r="K129">
        <v>55</v>
      </c>
      <c r="L129">
        <v>56.86</v>
      </c>
      <c r="M129">
        <v>292.5</v>
      </c>
      <c r="N129">
        <v>37.81</v>
      </c>
      <c r="O129">
        <v>32.79</v>
      </c>
      <c r="P129">
        <v>17.13</v>
      </c>
      <c r="Q129">
        <v>25.17</v>
      </c>
      <c r="R129">
        <v>29.53</v>
      </c>
      <c r="S129">
        <v>159.85</v>
      </c>
      <c r="T129">
        <v>65.55</v>
      </c>
      <c r="U129">
        <v>149.68</v>
      </c>
      <c r="V129">
        <v>42.7</v>
      </c>
      <c r="W129">
        <v>174.04</v>
      </c>
      <c r="X129">
        <v>60.43</v>
      </c>
      <c r="Y129">
        <v>45.42</v>
      </c>
      <c r="Z129">
        <v>377.59</v>
      </c>
      <c r="AA129">
        <v>0.77</v>
      </c>
      <c r="AB129">
        <v>25.85</v>
      </c>
      <c r="AC129">
        <v>73.31</v>
      </c>
      <c r="AD129">
        <v>687.72</v>
      </c>
      <c r="AE129">
        <v>7.11</v>
      </c>
      <c r="AF129">
        <v>57.748899999999999</v>
      </c>
      <c r="AG129">
        <v>13.275</v>
      </c>
      <c r="AH129">
        <v>617.99</v>
      </c>
      <c r="AI129">
        <v>117.36</v>
      </c>
      <c r="AJ129">
        <v>114.07</v>
      </c>
      <c r="AK129">
        <v>120.3</v>
      </c>
      <c r="AL129">
        <v>233.06</v>
      </c>
      <c r="AM129">
        <v>53.6</v>
      </c>
      <c r="AN129">
        <v>24.605</v>
      </c>
      <c r="AO129">
        <v>55.67</v>
      </c>
      <c r="AP129">
        <v>4.87</v>
      </c>
      <c r="AQ129">
        <v>98.07</v>
      </c>
      <c r="AR129">
        <v>66.53</v>
      </c>
      <c r="AS129">
        <v>91.46</v>
      </c>
      <c r="AT129">
        <v>4.8600000000000003</v>
      </c>
      <c r="AU129">
        <v>342.02</v>
      </c>
      <c r="AV129">
        <v>257.31</v>
      </c>
      <c r="AW129">
        <v>134.57</v>
      </c>
    </row>
    <row r="130" spans="2:49">
      <c r="B130" s="13">
        <v>46028</v>
      </c>
      <c r="C130">
        <v>307.93</v>
      </c>
      <c r="D130">
        <v>6.15</v>
      </c>
      <c r="E130">
        <v>2.2400000000000002</v>
      </c>
      <c r="F130">
        <v>2.72</v>
      </c>
      <c r="G130">
        <v>20.11</v>
      </c>
      <c r="H130">
        <v>3.9</v>
      </c>
      <c r="I130">
        <v>51.51</v>
      </c>
      <c r="J130">
        <v>7.45</v>
      </c>
      <c r="K130">
        <v>54.55</v>
      </c>
      <c r="L130">
        <v>57.28</v>
      </c>
      <c r="M130">
        <v>295.70999999999998</v>
      </c>
      <c r="N130">
        <v>37.520000000000003</v>
      </c>
      <c r="O130">
        <v>33.11</v>
      </c>
      <c r="P130">
        <v>17.2</v>
      </c>
      <c r="Q130">
        <v>25.43</v>
      </c>
      <c r="R130">
        <v>30.14</v>
      </c>
      <c r="S130">
        <v>162.02000000000001</v>
      </c>
      <c r="T130">
        <v>65.64</v>
      </c>
      <c r="U130">
        <v>146.41999999999999</v>
      </c>
      <c r="V130">
        <v>42.91</v>
      </c>
      <c r="W130">
        <v>179.71</v>
      </c>
      <c r="X130">
        <v>60.55</v>
      </c>
      <c r="Y130">
        <v>45.6</v>
      </c>
      <c r="Z130">
        <v>387.62</v>
      </c>
      <c r="AA130">
        <v>0.81</v>
      </c>
      <c r="AB130">
        <v>27</v>
      </c>
      <c r="AC130">
        <v>74.42</v>
      </c>
      <c r="AD130">
        <v>691.81</v>
      </c>
      <c r="AE130">
        <v>6.99</v>
      </c>
      <c r="AF130">
        <v>58.793799999999997</v>
      </c>
      <c r="AG130">
        <v>13.49</v>
      </c>
      <c r="AH130">
        <v>623.41999999999996</v>
      </c>
      <c r="AI130">
        <v>117.67</v>
      </c>
      <c r="AJ130">
        <v>114.57</v>
      </c>
      <c r="AK130">
        <v>121.07</v>
      </c>
      <c r="AL130">
        <v>240.93</v>
      </c>
      <c r="AM130">
        <v>55.01</v>
      </c>
      <c r="AN130">
        <v>24.5825</v>
      </c>
      <c r="AO130">
        <v>55.84</v>
      </c>
      <c r="AP130">
        <v>5.0199999999999996</v>
      </c>
      <c r="AQ130">
        <v>97.64</v>
      </c>
      <c r="AR130">
        <v>67.14</v>
      </c>
      <c r="AS130">
        <v>90.65</v>
      </c>
      <c r="AT130">
        <v>4.78</v>
      </c>
      <c r="AU130">
        <v>348.97</v>
      </c>
      <c r="AV130">
        <v>254.35</v>
      </c>
      <c r="AW130">
        <v>135.82</v>
      </c>
    </row>
    <row r="131" spans="2:49">
      <c r="B131" s="13">
        <v>46029</v>
      </c>
      <c r="C131">
        <v>307.33</v>
      </c>
      <c r="D131">
        <v>6.06</v>
      </c>
      <c r="E131">
        <v>2.2200000000000002</v>
      </c>
      <c r="F131">
        <v>2.8</v>
      </c>
      <c r="G131">
        <v>19.88</v>
      </c>
      <c r="H131">
        <v>3.83</v>
      </c>
      <c r="I131">
        <v>50.47</v>
      </c>
      <c r="J131">
        <v>7.3</v>
      </c>
      <c r="K131">
        <v>54.47</v>
      </c>
      <c r="L131">
        <v>56.85</v>
      </c>
      <c r="M131">
        <v>293.7</v>
      </c>
      <c r="N131">
        <v>36.9</v>
      </c>
      <c r="O131">
        <v>32.700000000000003</v>
      </c>
      <c r="P131">
        <v>16.98</v>
      </c>
      <c r="Q131">
        <v>25.28</v>
      </c>
      <c r="R131">
        <v>30.74</v>
      </c>
      <c r="S131">
        <v>158.97</v>
      </c>
      <c r="T131">
        <v>65.47</v>
      </c>
      <c r="U131">
        <v>146.81</v>
      </c>
      <c r="V131">
        <v>41.87</v>
      </c>
      <c r="W131">
        <v>181.68</v>
      </c>
      <c r="X131">
        <v>60.31</v>
      </c>
      <c r="Y131">
        <v>45.4</v>
      </c>
      <c r="Z131">
        <v>385.02</v>
      </c>
      <c r="AA131">
        <v>0.78</v>
      </c>
      <c r="AB131">
        <v>28.3</v>
      </c>
      <c r="AC131">
        <v>73.5</v>
      </c>
      <c r="AD131">
        <v>689.58</v>
      </c>
      <c r="AE131">
        <v>6.95</v>
      </c>
      <c r="AF131">
        <v>59.6571</v>
      </c>
      <c r="AG131">
        <v>13.3309</v>
      </c>
      <c r="AH131">
        <v>624.02</v>
      </c>
      <c r="AI131">
        <v>116.85</v>
      </c>
      <c r="AJ131">
        <v>112.91</v>
      </c>
      <c r="AK131">
        <v>120.9</v>
      </c>
      <c r="AL131">
        <v>241.56</v>
      </c>
      <c r="AM131">
        <v>55.17</v>
      </c>
      <c r="AN131">
        <v>24.404299999999999</v>
      </c>
      <c r="AO131">
        <v>55.42</v>
      </c>
      <c r="AP131">
        <v>4.97</v>
      </c>
      <c r="AQ131">
        <v>97.56</v>
      </c>
      <c r="AR131">
        <v>67.84</v>
      </c>
      <c r="AS131">
        <v>90.73</v>
      </c>
      <c r="AT131">
        <v>4.79</v>
      </c>
      <c r="AU131">
        <v>341.7</v>
      </c>
      <c r="AV131">
        <v>256.67</v>
      </c>
      <c r="AW131">
        <v>130.83000000000001</v>
      </c>
    </row>
    <row r="132" spans="2:49">
      <c r="B132" s="13">
        <v>46030</v>
      </c>
      <c r="C132">
        <v>309.01</v>
      </c>
      <c r="D132">
        <v>5.95</v>
      </c>
      <c r="E132">
        <v>2.2200000000000002</v>
      </c>
      <c r="F132">
        <v>2.77</v>
      </c>
      <c r="G132">
        <v>20.52</v>
      </c>
      <c r="H132">
        <v>3.83</v>
      </c>
      <c r="I132">
        <v>50.4</v>
      </c>
      <c r="J132">
        <v>7.41</v>
      </c>
      <c r="K132">
        <v>54.8</v>
      </c>
      <c r="L132">
        <v>56.87</v>
      </c>
      <c r="M132">
        <v>303.83999999999997</v>
      </c>
      <c r="N132">
        <v>37.18</v>
      </c>
      <c r="O132">
        <v>32.880000000000003</v>
      </c>
      <c r="P132">
        <v>17.12</v>
      </c>
      <c r="Q132">
        <v>25.29</v>
      </c>
      <c r="R132">
        <v>31.21</v>
      </c>
      <c r="S132">
        <v>160.16999999999999</v>
      </c>
      <c r="T132">
        <v>65.459999999999994</v>
      </c>
      <c r="U132">
        <v>141.26</v>
      </c>
      <c r="V132">
        <v>41.99</v>
      </c>
      <c r="W132">
        <v>176.86</v>
      </c>
      <c r="X132">
        <v>60.21</v>
      </c>
      <c r="Y132">
        <v>45.46</v>
      </c>
      <c r="Z132">
        <v>378.98</v>
      </c>
      <c r="AA132">
        <v>0.74</v>
      </c>
      <c r="AB132">
        <v>29</v>
      </c>
      <c r="AC132">
        <v>73.989999999999995</v>
      </c>
      <c r="AD132">
        <v>689.51</v>
      </c>
      <c r="AE132">
        <v>6.99</v>
      </c>
      <c r="AF132">
        <v>59.152500000000003</v>
      </c>
      <c r="AG132">
        <v>13.42</v>
      </c>
      <c r="AH132">
        <v>620.47</v>
      </c>
      <c r="AI132">
        <v>118.72</v>
      </c>
      <c r="AJ132">
        <v>114.17</v>
      </c>
      <c r="AK132">
        <v>122.92</v>
      </c>
      <c r="AL132">
        <v>246.29</v>
      </c>
      <c r="AM132">
        <v>54.19</v>
      </c>
      <c r="AN132">
        <v>24.54</v>
      </c>
      <c r="AO132">
        <v>55.79</v>
      </c>
      <c r="AP132">
        <v>4.99</v>
      </c>
      <c r="AQ132">
        <v>98.87</v>
      </c>
      <c r="AR132">
        <v>70.150000000000006</v>
      </c>
      <c r="AS132">
        <v>90.53</v>
      </c>
      <c r="AT132">
        <v>4.7300000000000004</v>
      </c>
      <c r="AU132">
        <v>346.85</v>
      </c>
      <c r="AV132">
        <v>252.38</v>
      </c>
      <c r="AW132">
        <v>133.63999999999999</v>
      </c>
    </row>
    <row r="133" spans="2:49">
      <c r="B133" s="13">
        <v>46031</v>
      </c>
      <c r="C133">
        <v>312.36</v>
      </c>
      <c r="D133">
        <v>6</v>
      </c>
      <c r="E133">
        <v>2.21</v>
      </c>
      <c r="F133">
        <v>2.77</v>
      </c>
      <c r="G133">
        <v>20.02</v>
      </c>
      <c r="H133">
        <v>3.86</v>
      </c>
      <c r="I133">
        <v>50.3</v>
      </c>
      <c r="J133">
        <v>7.47</v>
      </c>
      <c r="K133">
        <v>54.5</v>
      </c>
      <c r="L133">
        <v>57.14</v>
      </c>
      <c r="M133">
        <v>302.14999999999998</v>
      </c>
      <c r="N133">
        <v>37.06</v>
      </c>
      <c r="O133">
        <v>33.06</v>
      </c>
      <c r="P133">
        <v>17.32</v>
      </c>
      <c r="Q133">
        <v>25.48</v>
      </c>
      <c r="R133">
        <v>32.200000000000003</v>
      </c>
      <c r="S133">
        <v>161.93</v>
      </c>
      <c r="T133">
        <v>65.930000000000007</v>
      </c>
      <c r="U133">
        <v>143.54</v>
      </c>
      <c r="V133">
        <v>42.51</v>
      </c>
      <c r="W133">
        <v>177.49</v>
      </c>
      <c r="X133">
        <v>60.58</v>
      </c>
      <c r="Y133">
        <v>45.88</v>
      </c>
      <c r="Z133">
        <v>389.22</v>
      </c>
      <c r="AA133">
        <v>0.76</v>
      </c>
      <c r="AB133">
        <v>29.45</v>
      </c>
      <c r="AC133">
        <v>74.44</v>
      </c>
      <c r="AD133">
        <v>694.07</v>
      </c>
      <c r="AE133">
        <v>7.05</v>
      </c>
      <c r="AF133">
        <v>59.240099999999998</v>
      </c>
      <c r="AG133">
        <v>13.510300000000001</v>
      </c>
      <c r="AH133">
        <v>626.65</v>
      </c>
      <c r="AI133">
        <v>118.08</v>
      </c>
      <c r="AJ133">
        <v>115.88</v>
      </c>
      <c r="AK133">
        <v>124.41</v>
      </c>
      <c r="AL133">
        <v>247.38</v>
      </c>
      <c r="AM133">
        <v>55.76</v>
      </c>
      <c r="AN133">
        <v>24.6478</v>
      </c>
      <c r="AO133">
        <v>56.35</v>
      </c>
      <c r="AP133">
        <v>4.88</v>
      </c>
      <c r="AQ133">
        <v>97.92</v>
      </c>
      <c r="AR133">
        <v>70.739999999999995</v>
      </c>
      <c r="AS133">
        <v>89.46</v>
      </c>
      <c r="AT133">
        <v>4.6399999999999997</v>
      </c>
      <c r="AU133">
        <v>343.98</v>
      </c>
      <c r="AV133">
        <v>250.71</v>
      </c>
      <c r="AW133">
        <v>134.65</v>
      </c>
    </row>
    <row r="134" spans="2:49">
      <c r="B134" s="13">
        <v>46032</v>
      </c>
      <c r="C134" t="s">
        <v>220</v>
      </c>
      <c r="D134" t="s">
        <v>220</v>
      </c>
      <c r="E134" t="s">
        <v>220</v>
      </c>
      <c r="F134" t="s">
        <v>220</v>
      </c>
      <c r="G134" t="s">
        <v>220</v>
      </c>
      <c r="H134" t="s">
        <v>220</v>
      </c>
      <c r="I134" t="s">
        <v>220</v>
      </c>
      <c r="J134" t="s">
        <v>220</v>
      </c>
      <c r="K134" t="s">
        <v>220</v>
      </c>
      <c r="L134" t="s">
        <v>220</v>
      </c>
      <c r="M134" t="s">
        <v>220</v>
      </c>
      <c r="N134" t="s">
        <v>220</v>
      </c>
      <c r="O134" t="s">
        <v>220</v>
      </c>
      <c r="P134" t="s">
        <v>220</v>
      </c>
      <c r="Q134" t="s">
        <v>220</v>
      </c>
      <c r="R134" t="s">
        <v>220</v>
      </c>
      <c r="S134" t="s">
        <v>220</v>
      </c>
      <c r="T134" t="s">
        <v>220</v>
      </c>
      <c r="U134" t="s">
        <v>220</v>
      </c>
      <c r="V134" t="s">
        <v>220</v>
      </c>
      <c r="W134" t="s">
        <v>220</v>
      </c>
      <c r="X134" t="s">
        <v>220</v>
      </c>
      <c r="Y134" t="s">
        <v>220</v>
      </c>
      <c r="Z134" t="s">
        <v>220</v>
      </c>
      <c r="AA134" t="s">
        <v>220</v>
      </c>
      <c r="AB134" t="s">
        <v>220</v>
      </c>
      <c r="AC134" t="s">
        <v>220</v>
      </c>
      <c r="AD134" t="s">
        <v>220</v>
      </c>
      <c r="AE134" t="s">
        <v>220</v>
      </c>
      <c r="AF134" t="s">
        <v>220</v>
      </c>
      <c r="AG134" t="s">
        <v>220</v>
      </c>
      <c r="AH134" t="s">
        <v>220</v>
      </c>
      <c r="AI134" t="s">
        <v>220</v>
      </c>
      <c r="AJ134" t="s">
        <v>220</v>
      </c>
      <c r="AK134" t="s">
        <v>220</v>
      </c>
      <c r="AL134" t="s">
        <v>220</v>
      </c>
      <c r="AM134" t="s">
        <v>220</v>
      </c>
      <c r="AN134" t="s">
        <v>220</v>
      </c>
      <c r="AO134" t="s">
        <v>220</v>
      </c>
      <c r="AP134" t="s">
        <v>220</v>
      </c>
      <c r="AQ134" t="s">
        <v>220</v>
      </c>
      <c r="AR134" t="s">
        <v>220</v>
      </c>
      <c r="AS134" t="s">
        <v>220</v>
      </c>
      <c r="AT134" t="s">
        <v>220</v>
      </c>
      <c r="AU134" t="s">
        <v>220</v>
      </c>
      <c r="AV134" t="s">
        <v>220</v>
      </c>
      <c r="AW134" t="s">
        <v>220</v>
      </c>
    </row>
    <row r="135" spans="2:49">
      <c r="B135" s="13">
        <v>46033</v>
      </c>
      <c r="C135" t="s">
        <v>220</v>
      </c>
      <c r="D135" t="s">
        <v>220</v>
      </c>
      <c r="E135" t="s">
        <v>220</v>
      </c>
      <c r="F135" t="s">
        <v>220</v>
      </c>
      <c r="G135" t="s">
        <v>220</v>
      </c>
      <c r="H135" t="s">
        <v>220</v>
      </c>
      <c r="I135" t="s">
        <v>220</v>
      </c>
      <c r="J135" t="s">
        <v>220</v>
      </c>
      <c r="K135" t="s">
        <v>220</v>
      </c>
      <c r="L135" t="s">
        <v>220</v>
      </c>
      <c r="M135" t="s">
        <v>220</v>
      </c>
      <c r="N135" t="s">
        <v>220</v>
      </c>
      <c r="O135" t="s">
        <v>220</v>
      </c>
      <c r="P135" t="s">
        <v>220</v>
      </c>
      <c r="Q135" t="s">
        <v>220</v>
      </c>
      <c r="R135" t="s">
        <v>220</v>
      </c>
      <c r="S135" t="s">
        <v>220</v>
      </c>
      <c r="T135" t="s">
        <v>220</v>
      </c>
      <c r="U135" t="s">
        <v>220</v>
      </c>
      <c r="V135" t="s">
        <v>220</v>
      </c>
      <c r="W135" t="s">
        <v>220</v>
      </c>
      <c r="X135" t="s">
        <v>220</v>
      </c>
      <c r="Y135" t="s">
        <v>220</v>
      </c>
      <c r="Z135" t="s">
        <v>220</v>
      </c>
      <c r="AA135" t="s">
        <v>220</v>
      </c>
      <c r="AB135" t="s">
        <v>220</v>
      </c>
      <c r="AC135" t="s">
        <v>220</v>
      </c>
      <c r="AD135" t="s">
        <v>220</v>
      </c>
      <c r="AE135" t="s">
        <v>220</v>
      </c>
      <c r="AF135" t="s">
        <v>220</v>
      </c>
      <c r="AG135" t="s">
        <v>220</v>
      </c>
      <c r="AH135" t="s">
        <v>220</v>
      </c>
      <c r="AI135" t="s">
        <v>220</v>
      </c>
      <c r="AJ135" t="s">
        <v>220</v>
      </c>
      <c r="AK135" t="s">
        <v>220</v>
      </c>
      <c r="AL135" t="s">
        <v>220</v>
      </c>
      <c r="AM135" t="s">
        <v>220</v>
      </c>
      <c r="AN135" t="s">
        <v>220</v>
      </c>
      <c r="AO135" t="s">
        <v>220</v>
      </c>
      <c r="AP135" t="s">
        <v>220</v>
      </c>
      <c r="AQ135" t="s">
        <v>220</v>
      </c>
      <c r="AR135" t="s">
        <v>220</v>
      </c>
      <c r="AS135" t="s">
        <v>220</v>
      </c>
      <c r="AT135" t="s">
        <v>220</v>
      </c>
      <c r="AU135" t="s">
        <v>220</v>
      </c>
      <c r="AV135" t="s">
        <v>220</v>
      </c>
      <c r="AW135" t="s">
        <v>220</v>
      </c>
    </row>
    <row r="136" spans="2:49">
      <c r="B136" s="13">
        <v>46034</v>
      </c>
      <c r="C136">
        <v>311.92</v>
      </c>
      <c r="D136">
        <v>6.08</v>
      </c>
      <c r="E136">
        <v>2.2400000000000002</v>
      </c>
      <c r="F136">
        <v>2.77</v>
      </c>
      <c r="G136">
        <v>21.71</v>
      </c>
      <c r="H136">
        <v>3.86</v>
      </c>
      <c r="I136">
        <v>52.14</v>
      </c>
      <c r="J136">
        <v>7.39</v>
      </c>
      <c r="K136">
        <v>54.96</v>
      </c>
      <c r="L136">
        <v>57.94</v>
      </c>
      <c r="M136">
        <v>307.14999999999998</v>
      </c>
      <c r="N136">
        <v>37.33</v>
      </c>
      <c r="O136">
        <v>32.93</v>
      </c>
      <c r="P136">
        <v>17.559999999999999</v>
      </c>
      <c r="Q136">
        <v>25.27</v>
      </c>
      <c r="R136">
        <v>34.409999999999997</v>
      </c>
      <c r="S136">
        <v>163.16999999999999</v>
      </c>
      <c r="T136">
        <v>66.34</v>
      </c>
      <c r="U136">
        <v>152.26</v>
      </c>
      <c r="V136">
        <v>42.58</v>
      </c>
      <c r="W136">
        <v>179.41</v>
      </c>
      <c r="X136">
        <v>60.63</v>
      </c>
      <c r="Y136">
        <v>46.1</v>
      </c>
      <c r="Z136">
        <v>390.66</v>
      </c>
      <c r="AA136">
        <v>0.78</v>
      </c>
      <c r="AB136">
        <v>29.9</v>
      </c>
      <c r="AC136">
        <v>74.45</v>
      </c>
      <c r="AD136">
        <v>695.16</v>
      </c>
      <c r="AE136">
        <v>7</v>
      </c>
      <c r="AF136">
        <v>59.249099999999999</v>
      </c>
      <c r="AG136">
        <v>13.6165</v>
      </c>
      <c r="AH136">
        <v>627.16999999999996</v>
      </c>
      <c r="AI136">
        <v>117.74</v>
      </c>
      <c r="AJ136">
        <v>112.82</v>
      </c>
      <c r="AK136">
        <v>124.52</v>
      </c>
      <c r="AL136">
        <v>246.47</v>
      </c>
      <c r="AM136">
        <v>55.89</v>
      </c>
      <c r="AN136">
        <v>25.555</v>
      </c>
      <c r="AO136">
        <v>58.89</v>
      </c>
      <c r="AP136">
        <v>4.79</v>
      </c>
      <c r="AQ136">
        <v>98.27</v>
      </c>
      <c r="AR136">
        <v>70.92</v>
      </c>
      <c r="AS136">
        <v>89.41</v>
      </c>
      <c r="AT136">
        <v>4.8499999999999996</v>
      </c>
      <c r="AU136">
        <v>340.51</v>
      </c>
      <c r="AV136">
        <v>248.92</v>
      </c>
      <c r="AW136">
        <v>133.97</v>
      </c>
    </row>
    <row r="137" spans="2:49">
      <c r="B137" s="13">
        <v>46035</v>
      </c>
      <c r="C137">
        <v>309.66000000000003</v>
      </c>
      <c r="D137">
        <v>6.1</v>
      </c>
      <c r="E137">
        <v>2.29</v>
      </c>
      <c r="F137">
        <v>2.76</v>
      </c>
      <c r="G137">
        <v>21.05</v>
      </c>
      <c r="H137">
        <v>4.0199999999999996</v>
      </c>
      <c r="I137">
        <v>52.19</v>
      </c>
      <c r="J137">
        <v>7.3</v>
      </c>
      <c r="K137">
        <v>54.81</v>
      </c>
      <c r="L137">
        <v>57.51</v>
      </c>
      <c r="M137">
        <v>311.5</v>
      </c>
      <c r="N137">
        <v>37.200000000000003</v>
      </c>
      <c r="O137">
        <v>32.630000000000003</v>
      </c>
      <c r="P137">
        <v>17.55</v>
      </c>
      <c r="Q137">
        <v>25.15</v>
      </c>
      <c r="R137">
        <v>34.340000000000003</v>
      </c>
      <c r="S137">
        <v>164.01</v>
      </c>
      <c r="T137">
        <v>66.069999999999993</v>
      </c>
      <c r="U137">
        <v>149.35</v>
      </c>
      <c r="V137">
        <v>42.85</v>
      </c>
      <c r="W137">
        <v>178.96</v>
      </c>
      <c r="X137">
        <v>60.17</v>
      </c>
      <c r="Y137">
        <v>45.96</v>
      </c>
      <c r="Z137">
        <v>391.53</v>
      </c>
      <c r="AA137">
        <v>0.8</v>
      </c>
      <c r="AB137">
        <v>29.85</v>
      </c>
      <c r="AC137">
        <v>74.44</v>
      </c>
      <c r="AD137">
        <v>693.77</v>
      </c>
      <c r="AE137">
        <v>7</v>
      </c>
      <c r="AF137">
        <v>58.98</v>
      </c>
      <c r="AG137">
        <v>13.475</v>
      </c>
      <c r="AH137">
        <v>626.24</v>
      </c>
      <c r="AI137">
        <v>116.58</v>
      </c>
      <c r="AJ137">
        <v>112.98</v>
      </c>
      <c r="AK137">
        <v>124.21</v>
      </c>
      <c r="AL137">
        <v>242.6</v>
      </c>
      <c r="AM137">
        <v>55.6</v>
      </c>
      <c r="AN137">
        <v>24.885000000000002</v>
      </c>
      <c r="AO137">
        <v>56.93</v>
      </c>
      <c r="AP137">
        <v>4.72</v>
      </c>
      <c r="AQ137">
        <v>98.73</v>
      </c>
      <c r="AR137">
        <v>73.09</v>
      </c>
      <c r="AS137">
        <v>90.32</v>
      </c>
      <c r="AT137">
        <v>4.68</v>
      </c>
      <c r="AU137">
        <v>333.93</v>
      </c>
      <c r="AV137">
        <v>247.49</v>
      </c>
      <c r="AW137">
        <v>130.08000000000001</v>
      </c>
    </row>
    <row r="138" spans="2:49">
      <c r="B138" s="13">
        <v>46036</v>
      </c>
      <c r="C138">
        <v>313.55</v>
      </c>
      <c r="D138">
        <v>6.21</v>
      </c>
      <c r="E138">
        <v>2.29</v>
      </c>
      <c r="F138">
        <v>2.75</v>
      </c>
      <c r="G138">
        <v>20.58</v>
      </c>
      <c r="H138">
        <v>4.05</v>
      </c>
      <c r="I138">
        <v>51.49</v>
      </c>
      <c r="J138">
        <v>7.36</v>
      </c>
      <c r="K138">
        <v>55.02</v>
      </c>
      <c r="L138">
        <v>57.75</v>
      </c>
      <c r="M138">
        <v>316.99</v>
      </c>
      <c r="N138">
        <v>37.33</v>
      </c>
      <c r="O138">
        <v>33.159999999999997</v>
      </c>
      <c r="P138">
        <v>17.36</v>
      </c>
      <c r="Q138">
        <v>25.58</v>
      </c>
      <c r="R138">
        <v>34</v>
      </c>
      <c r="S138">
        <v>164.27</v>
      </c>
      <c r="T138">
        <v>66.08</v>
      </c>
      <c r="U138">
        <v>150.5</v>
      </c>
      <c r="V138">
        <v>43.17</v>
      </c>
      <c r="W138">
        <v>178.4</v>
      </c>
      <c r="X138">
        <v>60.87</v>
      </c>
      <c r="Y138">
        <v>45.87</v>
      </c>
      <c r="Z138">
        <v>388.35</v>
      </c>
      <c r="AA138">
        <v>0.81</v>
      </c>
      <c r="AB138">
        <v>29.9</v>
      </c>
      <c r="AC138">
        <v>74.489999999999995</v>
      </c>
      <c r="AD138">
        <v>690.36</v>
      </c>
      <c r="AE138">
        <v>7</v>
      </c>
      <c r="AF138">
        <v>59.465600000000002</v>
      </c>
      <c r="AG138">
        <v>13.586600000000001</v>
      </c>
      <c r="AH138">
        <v>619.54999999999995</v>
      </c>
      <c r="AI138">
        <v>117.71</v>
      </c>
      <c r="AJ138">
        <v>113.53</v>
      </c>
      <c r="AK138">
        <v>122.25</v>
      </c>
      <c r="AL138">
        <v>236.65</v>
      </c>
      <c r="AM138">
        <v>53.83</v>
      </c>
      <c r="AN138">
        <v>25.074999999999999</v>
      </c>
      <c r="AO138">
        <v>57.39</v>
      </c>
      <c r="AP138">
        <v>4.6399999999999997</v>
      </c>
      <c r="AQ138">
        <v>99.15</v>
      </c>
      <c r="AR138">
        <v>73.59</v>
      </c>
      <c r="AS138">
        <v>88.55</v>
      </c>
      <c r="AT138">
        <v>4.5599999999999996</v>
      </c>
      <c r="AU138">
        <v>334.96</v>
      </c>
      <c r="AV138">
        <v>245.49</v>
      </c>
      <c r="AW138">
        <v>132.08000000000001</v>
      </c>
    </row>
    <row r="139" spans="2:49">
      <c r="B139" s="13">
        <v>46037</v>
      </c>
      <c r="C139">
        <v>313.16000000000003</v>
      </c>
      <c r="D139">
        <v>6.38</v>
      </c>
      <c r="E139">
        <v>2.2999999999999998</v>
      </c>
      <c r="F139">
        <v>2.75</v>
      </c>
      <c r="G139">
        <v>20.88</v>
      </c>
      <c r="H139">
        <v>4</v>
      </c>
      <c r="I139">
        <v>51.97</v>
      </c>
      <c r="J139">
        <v>7.44</v>
      </c>
      <c r="K139">
        <v>54.27</v>
      </c>
      <c r="L139">
        <v>58.09</v>
      </c>
      <c r="M139">
        <v>318.77999999999997</v>
      </c>
      <c r="N139">
        <v>37.29</v>
      </c>
      <c r="O139">
        <v>33.36</v>
      </c>
      <c r="P139">
        <v>17.510000000000002</v>
      </c>
      <c r="Q139">
        <v>25.89</v>
      </c>
      <c r="R139">
        <v>34.9</v>
      </c>
      <c r="S139">
        <v>165.78</v>
      </c>
      <c r="T139">
        <v>65.92</v>
      </c>
      <c r="U139">
        <v>149.4</v>
      </c>
      <c r="V139">
        <v>43.61</v>
      </c>
      <c r="W139">
        <v>177.07</v>
      </c>
      <c r="X139">
        <v>60.52</v>
      </c>
      <c r="Y139">
        <v>45.4</v>
      </c>
      <c r="Z139">
        <v>396.41</v>
      </c>
      <c r="AA139">
        <v>0.8</v>
      </c>
      <c r="AB139">
        <v>29.31</v>
      </c>
      <c r="AC139">
        <v>74.83</v>
      </c>
      <c r="AD139">
        <v>692.24</v>
      </c>
      <c r="AE139">
        <v>7</v>
      </c>
      <c r="AF139">
        <v>59.030299999999997</v>
      </c>
      <c r="AG139">
        <v>13.5266</v>
      </c>
      <c r="AH139">
        <v>621.78</v>
      </c>
      <c r="AI139">
        <v>116.43</v>
      </c>
      <c r="AJ139">
        <v>113.41</v>
      </c>
      <c r="AK139">
        <v>122.7</v>
      </c>
      <c r="AL139">
        <v>238.18</v>
      </c>
      <c r="AM139">
        <v>54.38</v>
      </c>
      <c r="AN139">
        <v>25.114899999999999</v>
      </c>
      <c r="AO139">
        <v>57.53</v>
      </c>
      <c r="AP139">
        <v>4.59</v>
      </c>
      <c r="AQ139">
        <v>100.41</v>
      </c>
      <c r="AR139">
        <v>73.84</v>
      </c>
      <c r="AS139">
        <v>88.05</v>
      </c>
      <c r="AT139">
        <v>4.6399999999999997</v>
      </c>
      <c r="AU139">
        <v>338.96</v>
      </c>
      <c r="AV139">
        <v>244.34</v>
      </c>
      <c r="AW139">
        <v>131.32</v>
      </c>
    </row>
    <row r="140" spans="2:49">
      <c r="B140" s="13">
        <v>46038</v>
      </c>
      <c r="C140">
        <v>308.18</v>
      </c>
      <c r="D140">
        <v>6.6</v>
      </c>
      <c r="E140">
        <v>2.35</v>
      </c>
      <c r="F140">
        <v>2.75</v>
      </c>
      <c r="G140">
        <v>20.65</v>
      </c>
      <c r="H140">
        <v>4</v>
      </c>
      <c r="I140">
        <v>51.88</v>
      </c>
      <c r="J140">
        <v>7.38</v>
      </c>
      <c r="K140">
        <v>54.65</v>
      </c>
      <c r="L140">
        <v>57.87</v>
      </c>
      <c r="M140">
        <v>321.83</v>
      </c>
      <c r="N140">
        <v>37.5</v>
      </c>
      <c r="O140">
        <v>33.17</v>
      </c>
      <c r="P140">
        <v>17.7</v>
      </c>
      <c r="Q140">
        <v>25.65</v>
      </c>
      <c r="R140">
        <v>34.68</v>
      </c>
      <c r="S140">
        <v>166.9</v>
      </c>
      <c r="T140">
        <v>66.06</v>
      </c>
      <c r="U140">
        <v>149.53</v>
      </c>
      <c r="V140">
        <v>43.39</v>
      </c>
      <c r="W140">
        <v>170.96</v>
      </c>
      <c r="X140">
        <v>60.51</v>
      </c>
      <c r="Y140">
        <v>45.29</v>
      </c>
      <c r="Z140">
        <v>400.39</v>
      </c>
      <c r="AA140">
        <v>0.81</v>
      </c>
      <c r="AB140">
        <v>29.4</v>
      </c>
      <c r="AC140">
        <v>74.66</v>
      </c>
      <c r="AD140">
        <v>691.66</v>
      </c>
      <c r="AE140">
        <v>7.1</v>
      </c>
      <c r="AF140">
        <v>58.714100000000002</v>
      </c>
      <c r="AG140">
        <v>13.365</v>
      </c>
      <c r="AH140">
        <v>621.26</v>
      </c>
      <c r="AI140">
        <v>111.69</v>
      </c>
      <c r="AJ140">
        <v>111.2</v>
      </c>
      <c r="AK140">
        <v>122.3</v>
      </c>
      <c r="AL140">
        <v>239.12</v>
      </c>
      <c r="AM140">
        <v>54.14</v>
      </c>
      <c r="AN140">
        <v>24.94</v>
      </c>
      <c r="AO140">
        <v>56.88</v>
      </c>
      <c r="AP140">
        <v>4.63</v>
      </c>
      <c r="AQ140">
        <v>99.32</v>
      </c>
      <c r="AR140">
        <v>75.75</v>
      </c>
      <c r="AS140">
        <v>88</v>
      </c>
      <c r="AT140">
        <v>4.71</v>
      </c>
      <c r="AU140">
        <v>331.02</v>
      </c>
      <c r="AV140">
        <v>240.14</v>
      </c>
      <c r="AW140">
        <v>131.41999999999999</v>
      </c>
    </row>
    <row r="141" spans="2:49">
      <c r="B141" s="13">
        <v>46039</v>
      </c>
      <c r="C141" t="s">
        <v>220</v>
      </c>
      <c r="D141" t="s">
        <v>220</v>
      </c>
      <c r="E141" t="s">
        <v>220</v>
      </c>
      <c r="F141" t="s">
        <v>220</v>
      </c>
      <c r="G141" t="s">
        <v>220</v>
      </c>
      <c r="H141" t="s">
        <v>220</v>
      </c>
      <c r="I141" t="s">
        <v>220</v>
      </c>
      <c r="J141" t="s">
        <v>220</v>
      </c>
      <c r="K141" t="s">
        <v>220</v>
      </c>
      <c r="L141" t="s">
        <v>220</v>
      </c>
      <c r="M141" t="s">
        <v>220</v>
      </c>
      <c r="N141" t="s">
        <v>220</v>
      </c>
      <c r="O141" t="s">
        <v>220</v>
      </c>
      <c r="P141" t="s">
        <v>220</v>
      </c>
      <c r="Q141" t="s">
        <v>220</v>
      </c>
      <c r="R141" t="s">
        <v>220</v>
      </c>
      <c r="S141" t="s">
        <v>220</v>
      </c>
      <c r="T141" t="s">
        <v>220</v>
      </c>
      <c r="U141" t="s">
        <v>220</v>
      </c>
      <c r="V141" t="s">
        <v>220</v>
      </c>
      <c r="W141" t="s">
        <v>220</v>
      </c>
      <c r="X141" t="s">
        <v>220</v>
      </c>
      <c r="Y141" t="s">
        <v>220</v>
      </c>
      <c r="Z141" t="s">
        <v>220</v>
      </c>
      <c r="AA141" t="s">
        <v>220</v>
      </c>
      <c r="AB141" t="s">
        <v>220</v>
      </c>
      <c r="AC141" t="s">
        <v>220</v>
      </c>
      <c r="AD141" t="s">
        <v>220</v>
      </c>
      <c r="AE141" t="s">
        <v>220</v>
      </c>
      <c r="AF141" t="s">
        <v>220</v>
      </c>
      <c r="AG141" t="s">
        <v>220</v>
      </c>
      <c r="AH141" t="s">
        <v>220</v>
      </c>
      <c r="AI141" t="s">
        <v>220</v>
      </c>
      <c r="AJ141" t="s">
        <v>220</v>
      </c>
      <c r="AK141" t="s">
        <v>220</v>
      </c>
      <c r="AL141" t="s">
        <v>220</v>
      </c>
      <c r="AM141" t="s">
        <v>220</v>
      </c>
      <c r="AN141" t="s">
        <v>220</v>
      </c>
      <c r="AO141" t="s">
        <v>220</v>
      </c>
      <c r="AP141" t="s">
        <v>220</v>
      </c>
      <c r="AQ141" t="s">
        <v>220</v>
      </c>
      <c r="AR141" t="s">
        <v>220</v>
      </c>
      <c r="AS141" t="s">
        <v>220</v>
      </c>
      <c r="AT141" t="s">
        <v>220</v>
      </c>
      <c r="AU141" t="s">
        <v>220</v>
      </c>
      <c r="AV141" t="s">
        <v>220</v>
      </c>
      <c r="AW141" t="s">
        <v>220</v>
      </c>
    </row>
    <row r="142" spans="2:49">
      <c r="B142" s="13">
        <v>46040</v>
      </c>
      <c r="C142" t="s">
        <v>220</v>
      </c>
      <c r="D142" t="s">
        <v>220</v>
      </c>
      <c r="E142" t="s">
        <v>220</v>
      </c>
      <c r="F142" t="s">
        <v>220</v>
      </c>
      <c r="G142" t="s">
        <v>220</v>
      </c>
      <c r="H142" t="s">
        <v>220</v>
      </c>
      <c r="I142" t="s">
        <v>220</v>
      </c>
      <c r="J142" t="s">
        <v>220</v>
      </c>
      <c r="K142" t="s">
        <v>220</v>
      </c>
      <c r="L142" t="s">
        <v>220</v>
      </c>
      <c r="M142" t="s">
        <v>220</v>
      </c>
      <c r="N142" t="s">
        <v>220</v>
      </c>
      <c r="O142" t="s">
        <v>220</v>
      </c>
      <c r="P142" t="s">
        <v>220</v>
      </c>
      <c r="Q142" t="s">
        <v>220</v>
      </c>
      <c r="R142" t="s">
        <v>220</v>
      </c>
      <c r="S142" t="s">
        <v>220</v>
      </c>
      <c r="T142" t="s">
        <v>220</v>
      </c>
      <c r="U142" t="s">
        <v>220</v>
      </c>
      <c r="V142" t="s">
        <v>220</v>
      </c>
      <c r="W142" t="s">
        <v>220</v>
      </c>
      <c r="X142" t="s">
        <v>220</v>
      </c>
      <c r="Y142" t="s">
        <v>220</v>
      </c>
      <c r="Z142" t="s">
        <v>220</v>
      </c>
      <c r="AA142" t="s">
        <v>220</v>
      </c>
      <c r="AB142" t="s">
        <v>220</v>
      </c>
      <c r="AC142" t="s">
        <v>220</v>
      </c>
      <c r="AD142" t="s">
        <v>220</v>
      </c>
      <c r="AE142" t="s">
        <v>220</v>
      </c>
      <c r="AF142" t="s">
        <v>220</v>
      </c>
      <c r="AG142" t="s">
        <v>220</v>
      </c>
      <c r="AH142" t="s">
        <v>220</v>
      </c>
      <c r="AI142" t="s">
        <v>220</v>
      </c>
      <c r="AJ142" t="s">
        <v>220</v>
      </c>
      <c r="AK142" t="s">
        <v>220</v>
      </c>
      <c r="AL142" t="s">
        <v>220</v>
      </c>
      <c r="AM142" t="s">
        <v>220</v>
      </c>
      <c r="AN142" t="s">
        <v>220</v>
      </c>
      <c r="AO142" t="s">
        <v>220</v>
      </c>
      <c r="AP142" t="s">
        <v>220</v>
      </c>
      <c r="AQ142" t="s">
        <v>220</v>
      </c>
      <c r="AR142" t="s">
        <v>220</v>
      </c>
      <c r="AS142" t="s">
        <v>220</v>
      </c>
      <c r="AT142" t="s">
        <v>220</v>
      </c>
      <c r="AU142" t="s">
        <v>220</v>
      </c>
      <c r="AV142" t="s">
        <v>220</v>
      </c>
      <c r="AW142" t="s">
        <v>220</v>
      </c>
    </row>
    <row r="143" spans="2:49">
      <c r="B143" s="13">
        <v>46041</v>
      </c>
      <c r="C143" t="s">
        <v>220</v>
      </c>
      <c r="D143">
        <v>6.65</v>
      </c>
      <c r="E143">
        <v>2.35</v>
      </c>
      <c r="F143">
        <v>2.8</v>
      </c>
      <c r="G143" t="s">
        <v>220</v>
      </c>
      <c r="H143">
        <v>4.05</v>
      </c>
      <c r="I143" t="s">
        <v>220</v>
      </c>
      <c r="J143" t="s">
        <v>220</v>
      </c>
      <c r="K143" t="s">
        <v>220</v>
      </c>
      <c r="L143" t="s">
        <v>220</v>
      </c>
      <c r="M143" t="s">
        <v>220</v>
      </c>
      <c r="N143" t="s">
        <v>220</v>
      </c>
      <c r="O143" t="s">
        <v>220</v>
      </c>
      <c r="P143" t="s">
        <v>220</v>
      </c>
      <c r="Q143" t="s">
        <v>220</v>
      </c>
      <c r="R143" t="s">
        <v>220</v>
      </c>
      <c r="S143" t="s">
        <v>220</v>
      </c>
      <c r="T143" t="s">
        <v>220</v>
      </c>
      <c r="U143" t="s">
        <v>220</v>
      </c>
      <c r="V143" t="s">
        <v>220</v>
      </c>
      <c r="W143" t="s">
        <v>220</v>
      </c>
      <c r="X143" t="s">
        <v>220</v>
      </c>
      <c r="Y143" t="s">
        <v>220</v>
      </c>
      <c r="Z143" t="s">
        <v>220</v>
      </c>
      <c r="AA143">
        <v>0.84</v>
      </c>
      <c r="AB143">
        <v>29.31</v>
      </c>
      <c r="AC143" t="s">
        <v>220</v>
      </c>
      <c r="AD143" t="s">
        <v>220</v>
      </c>
      <c r="AE143">
        <v>7.1</v>
      </c>
      <c r="AF143" t="s">
        <v>220</v>
      </c>
      <c r="AG143" t="s">
        <v>220</v>
      </c>
      <c r="AH143" t="s">
        <v>220</v>
      </c>
      <c r="AI143" t="s">
        <v>220</v>
      </c>
      <c r="AJ143" t="s">
        <v>220</v>
      </c>
      <c r="AK143" t="s">
        <v>220</v>
      </c>
      <c r="AL143" t="s">
        <v>220</v>
      </c>
      <c r="AM143" t="s">
        <v>220</v>
      </c>
      <c r="AN143" t="s">
        <v>220</v>
      </c>
      <c r="AO143" t="s">
        <v>220</v>
      </c>
      <c r="AP143" t="s">
        <v>220</v>
      </c>
      <c r="AQ143" t="s">
        <v>220</v>
      </c>
      <c r="AR143" t="s">
        <v>220</v>
      </c>
      <c r="AS143" t="s">
        <v>220</v>
      </c>
      <c r="AT143" t="s">
        <v>220</v>
      </c>
      <c r="AU143" t="s">
        <v>220</v>
      </c>
      <c r="AV143" t="s">
        <v>220</v>
      </c>
      <c r="AW143" t="s">
        <v>220</v>
      </c>
    </row>
    <row r="144" spans="2:49">
      <c r="B144" s="13">
        <v>46042</v>
      </c>
      <c r="C144">
        <v>301.02999999999997</v>
      </c>
      <c r="D144">
        <v>6.63</v>
      </c>
      <c r="E144">
        <v>2.4500000000000002</v>
      </c>
      <c r="F144">
        <v>2.82</v>
      </c>
      <c r="G144">
        <v>20</v>
      </c>
      <c r="H144">
        <v>4</v>
      </c>
      <c r="I144">
        <v>51.49</v>
      </c>
      <c r="J144">
        <v>7.45</v>
      </c>
      <c r="K144">
        <v>53.83</v>
      </c>
      <c r="L144">
        <v>57.31</v>
      </c>
      <c r="M144">
        <v>326.93</v>
      </c>
      <c r="N144">
        <v>36.979999999999997</v>
      </c>
      <c r="O144">
        <v>33.619999999999997</v>
      </c>
      <c r="P144">
        <v>17.53</v>
      </c>
      <c r="Q144">
        <v>25.52</v>
      </c>
      <c r="R144">
        <v>37.590000000000003</v>
      </c>
      <c r="S144">
        <v>163.53</v>
      </c>
      <c r="T144">
        <v>64.930000000000007</v>
      </c>
      <c r="U144">
        <v>150.02000000000001</v>
      </c>
      <c r="V144">
        <v>42.96</v>
      </c>
      <c r="W144">
        <v>168.53</v>
      </c>
      <c r="X144">
        <v>60.16</v>
      </c>
      <c r="Y144">
        <v>44.55</v>
      </c>
      <c r="Z144">
        <v>390.39</v>
      </c>
      <c r="AA144">
        <v>0.84</v>
      </c>
      <c r="AB144">
        <v>28.75</v>
      </c>
      <c r="AC144">
        <v>73.52</v>
      </c>
      <c r="AD144">
        <v>677.58</v>
      </c>
      <c r="AE144">
        <v>7.05</v>
      </c>
      <c r="AF144">
        <v>58.572200000000002</v>
      </c>
      <c r="AG144">
        <v>13.47</v>
      </c>
      <c r="AH144">
        <v>608.05999999999995</v>
      </c>
      <c r="AI144">
        <v>108.35</v>
      </c>
      <c r="AJ144">
        <v>110.34</v>
      </c>
      <c r="AK144">
        <v>119.12</v>
      </c>
      <c r="AL144">
        <v>231</v>
      </c>
      <c r="AM144">
        <v>50.73</v>
      </c>
      <c r="AN144">
        <v>24.26</v>
      </c>
      <c r="AO144">
        <v>55.25</v>
      </c>
      <c r="AP144">
        <v>4.63</v>
      </c>
      <c r="AQ144">
        <v>101.48</v>
      </c>
      <c r="AR144">
        <v>77.09</v>
      </c>
      <c r="AS144">
        <v>87.26</v>
      </c>
      <c r="AT144">
        <v>4.5599999999999996</v>
      </c>
      <c r="AU144">
        <v>338.43</v>
      </c>
      <c r="AV144">
        <v>240.61</v>
      </c>
      <c r="AW144">
        <v>122.9</v>
      </c>
    </row>
    <row r="145" spans="2:49">
      <c r="B145" s="13">
        <v>46043</v>
      </c>
      <c r="C145">
        <v>306.95</v>
      </c>
      <c r="D145">
        <v>6.56</v>
      </c>
      <c r="E145">
        <v>2.6</v>
      </c>
      <c r="F145">
        <v>2.96</v>
      </c>
      <c r="G145">
        <v>20.34</v>
      </c>
      <c r="H145">
        <v>4</v>
      </c>
      <c r="I145">
        <v>52.25</v>
      </c>
      <c r="J145">
        <v>7.86</v>
      </c>
      <c r="K145">
        <v>54.57</v>
      </c>
      <c r="L145">
        <v>58.26</v>
      </c>
      <c r="M145">
        <v>332.59</v>
      </c>
      <c r="N145">
        <v>37.29</v>
      </c>
      <c r="O145">
        <v>35.020000000000003</v>
      </c>
      <c r="P145">
        <v>17.739999999999998</v>
      </c>
      <c r="Q145">
        <v>25.89</v>
      </c>
      <c r="R145">
        <v>37.03</v>
      </c>
      <c r="S145">
        <v>166.36</v>
      </c>
      <c r="T145">
        <v>65.66</v>
      </c>
      <c r="U145">
        <v>162.28</v>
      </c>
      <c r="V145">
        <v>43.02</v>
      </c>
      <c r="W145">
        <v>165.33</v>
      </c>
      <c r="X145">
        <v>60.49</v>
      </c>
      <c r="Y145">
        <v>45.05</v>
      </c>
      <c r="Z145">
        <v>401.93</v>
      </c>
      <c r="AA145">
        <v>0.86</v>
      </c>
      <c r="AB145">
        <v>28.4</v>
      </c>
      <c r="AC145">
        <v>74.81</v>
      </c>
      <c r="AD145">
        <v>685.4</v>
      </c>
      <c r="AE145">
        <v>7.05</v>
      </c>
      <c r="AF145">
        <v>59.289700000000003</v>
      </c>
      <c r="AG145">
        <v>14.0693</v>
      </c>
      <c r="AH145">
        <v>616.28</v>
      </c>
      <c r="AI145">
        <v>109.49</v>
      </c>
      <c r="AJ145">
        <v>113.19</v>
      </c>
      <c r="AK145">
        <v>121.4</v>
      </c>
      <c r="AL145">
        <v>231.31</v>
      </c>
      <c r="AM145">
        <v>52.73</v>
      </c>
      <c r="AN145">
        <v>24.95</v>
      </c>
      <c r="AO145">
        <v>57.13</v>
      </c>
      <c r="AP145">
        <v>4.93</v>
      </c>
      <c r="AQ145">
        <v>100.02</v>
      </c>
      <c r="AR145">
        <v>79.59</v>
      </c>
      <c r="AS145">
        <v>85.36</v>
      </c>
      <c r="AT145">
        <v>4.67</v>
      </c>
      <c r="AU145">
        <v>347.75</v>
      </c>
      <c r="AV145">
        <v>238.23</v>
      </c>
      <c r="AW145">
        <v>124.33</v>
      </c>
    </row>
    <row r="146" spans="2:49">
      <c r="B146" s="13">
        <v>46044</v>
      </c>
      <c r="C146">
        <v>309.81</v>
      </c>
      <c r="D146">
        <v>6.54</v>
      </c>
      <c r="E146">
        <v>2.61</v>
      </c>
      <c r="F146">
        <v>3</v>
      </c>
      <c r="G146">
        <v>19.93</v>
      </c>
      <c r="H146">
        <v>4</v>
      </c>
      <c r="I146">
        <v>54.02</v>
      </c>
      <c r="J146">
        <v>8.2100000000000009</v>
      </c>
      <c r="K146">
        <v>54.92</v>
      </c>
      <c r="L146">
        <v>58.7</v>
      </c>
      <c r="M146">
        <v>340.61</v>
      </c>
      <c r="N146">
        <v>37.57</v>
      </c>
      <c r="O146">
        <v>35.950000000000003</v>
      </c>
      <c r="P146">
        <v>18.11</v>
      </c>
      <c r="Q146">
        <v>26.1</v>
      </c>
      <c r="R146">
        <v>36.51</v>
      </c>
      <c r="S146">
        <v>165.5</v>
      </c>
      <c r="T146">
        <v>66.040000000000006</v>
      </c>
      <c r="U146">
        <v>162.52000000000001</v>
      </c>
      <c r="V146">
        <v>42.71</v>
      </c>
      <c r="W146">
        <v>165.9</v>
      </c>
      <c r="X146">
        <v>60.59</v>
      </c>
      <c r="Y146">
        <v>45.16</v>
      </c>
      <c r="Z146">
        <v>402.82</v>
      </c>
      <c r="AA146">
        <v>0.88</v>
      </c>
      <c r="AB146">
        <v>28</v>
      </c>
      <c r="AC146">
        <v>75.150000000000006</v>
      </c>
      <c r="AD146">
        <v>688.98</v>
      </c>
      <c r="AE146">
        <v>7.05</v>
      </c>
      <c r="AF146">
        <v>59.674500000000002</v>
      </c>
      <c r="AG146">
        <v>14.4322</v>
      </c>
      <c r="AH146">
        <v>620.76</v>
      </c>
      <c r="AI146">
        <v>108.77</v>
      </c>
      <c r="AJ146">
        <v>113.21</v>
      </c>
      <c r="AK146">
        <v>122.62</v>
      </c>
      <c r="AL146">
        <v>234.34</v>
      </c>
      <c r="AM146">
        <v>53.9</v>
      </c>
      <c r="AN146">
        <v>25.151299999999999</v>
      </c>
      <c r="AO146">
        <v>57.34</v>
      </c>
      <c r="AP146">
        <v>5.66</v>
      </c>
      <c r="AQ146">
        <v>102.19</v>
      </c>
      <c r="AR146">
        <v>78.78</v>
      </c>
      <c r="AS146">
        <v>83.54</v>
      </c>
      <c r="AT146">
        <v>4.7699999999999996</v>
      </c>
      <c r="AU146">
        <v>354.47</v>
      </c>
      <c r="AV146">
        <v>241.1</v>
      </c>
      <c r="AW146">
        <v>123.48</v>
      </c>
    </row>
    <row r="147" spans="2:49">
      <c r="B147" s="13">
        <v>46045</v>
      </c>
      <c r="C147">
        <v>304.20999999999998</v>
      </c>
      <c r="D147">
        <v>6.75</v>
      </c>
      <c r="E147">
        <v>2.69</v>
      </c>
      <c r="F147">
        <v>3</v>
      </c>
      <c r="G147">
        <v>19.25</v>
      </c>
      <c r="H147">
        <v>4.0999999999999996</v>
      </c>
      <c r="I147">
        <v>55.23</v>
      </c>
      <c r="J147">
        <v>8.2899999999999991</v>
      </c>
      <c r="K147">
        <v>55.13</v>
      </c>
      <c r="L147">
        <v>59.07</v>
      </c>
      <c r="M147">
        <v>344.33</v>
      </c>
      <c r="N147">
        <v>37.5</v>
      </c>
      <c r="O147">
        <v>36.590000000000003</v>
      </c>
      <c r="P147">
        <v>18.27</v>
      </c>
      <c r="Q147">
        <v>25.65</v>
      </c>
      <c r="R147">
        <v>37.1</v>
      </c>
      <c r="S147">
        <v>164.22</v>
      </c>
      <c r="T147">
        <v>66.47</v>
      </c>
      <c r="U147">
        <v>161.44</v>
      </c>
      <c r="V147">
        <v>42.56</v>
      </c>
      <c r="W147">
        <v>169.6</v>
      </c>
      <c r="X147">
        <v>60.87</v>
      </c>
      <c r="Y147">
        <v>45.51</v>
      </c>
      <c r="Z147">
        <v>400.09</v>
      </c>
      <c r="AA147">
        <v>0.91</v>
      </c>
      <c r="AB147">
        <v>28.9</v>
      </c>
      <c r="AC147">
        <v>74.77</v>
      </c>
      <c r="AD147">
        <v>689.23</v>
      </c>
      <c r="AE147">
        <v>7.2</v>
      </c>
      <c r="AF147">
        <v>59.455300000000001</v>
      </c>
      <c r="AG147">
        <v>14.6457</v>
      </c>
      <c r="AH147">
        <v>622.72</v>
      </c>
      <c r="AI147">
        <v>107.69</v>
      </c>
      <c r="AJ147">
        <v>110.98</v>
      </c>
      <c r="AK147">
        <v>123.13</v>
      </c>
      <c r="AL147">
        <v>239.16</v>
      </c>
      <c r="AM147">
        <v>54.38</v>
      </c>
      <c r="AN147">
        <v>25.189</v>
      </c>
      <c r="AO147">
        <v>57.76</v>
      </c>
      <c r="AP147">
        <v>5.66</v>
      </c>
      <c r="AQ147">
        <v>102.23</v>
      </c>
      <c r="AR147">
        <v>82.08</v>
      </c>
      <c r="AS147">
        <v>86.12</v>
      </c>
      <c r="AT147">
        <v>4.6399999999999997</v>
      </c>
      <c r="AU147">
        <v>356.26</v>
      </c>
      <c r="AV147">
        <v>245.73</v>
      </c>
      <c r="AW147">
        <v>121.25</v>
      </c>
    </row>
    <row r="148" spans="2:49">
      <c r="B148" s="13">
        <v>46046</v>
      </c>
      <c r="C148" t="s">
        <v>220</v>
      </c>
      <c r="D148" t="s">
        <v>220</v>
      </c>
      <c r="E148" t="s">
        <v>220</v>
      </c>
      <c r="F148" t="s">
        <v>220</v>
      </c>
      <c r="G148" t="s">
        <v>220</v>
      </c>
      <c r="H148" t="s">
        <v>220</v>
      </c>
      <c r="I148" t="s">
        <v>220</v>
      </c>
      <c r="J148" t="s">
        <v>220</v>
      </c>
      <c r="K148" t="s">
        <v>220</v>
      </c>
      <c r="L148" t="s">
        <v>220</v>
      </c>
      <c r="M148" t="s">
        <v>220</v>
      </c>
      <c r="N148" t="s">
        <v>220</v>
      </c>
      <c r="O148" t="s">
        <v>220</v>
      </c>
      <c r="P148" t="s">
        <v>220</v>
      </c>
      <c r="Q148" t="s">
        <v>220</v>
      </c>
      <c r="R148" t="s">
        <v>220</v>
      </c>
      <c r="S148" t="s">
        <v>220</v>
      </c>
      <c r="T148" t="s">
        <v>220</v>
      </c>
      <c r="U148" t="s">
        <v>220</v>
      </c>
      <c r="V148" t="s">
        <v>220</v>
      </c>
      <c r="W148" t="s">
        <v>220</v>
      </c>
      <c r="X148" t="s">
        <v>220</v>
      </c>
      <c r="Y148" t="s">
        <v>220</v>
      </c>
      <c r="Z148" t="s">
        <v>220</v>
      </c>
      <c r="AA148" t="s">
        <v>220</v>
      </c>
      <c r="AB148" t="s">
        <v>220</v>
      </c>
      <c r="AC148" t="s">
        <v>220</v>
      </c>
      <c r="AD148" t="s">
        <v>220</v>
      </c>
      <c r="AE148" t="s">
        <v>220</v>
      </c>
      <c r="AF148" t="s">
        <v>220</v>
      </c>
      <c r="AG148" t="s">
        <v>220</v>
      </c>
      <c r="AH148" t="s">
        <v>220</v>
      </c>
      <c r="AI148" t="s">
        <v>220</v>
      </c>
      <c r="AJ148" t="s">
        <v>220</v>
      </c>
      <c r="AK148" t="s">
        <v>220</v>
      </c>
      <c r="AL148" t="s">
        <v>220</v>
      </c>
      <c r="AM148" t="s">
        <v>220</v>
      </c>
      <c r="AN148" t="s">
        <v>220</v>
      </c>
      <c r="AO148" t="s">
        <v>220</v>
      </c>
      <c r="AP148" t="s">
        <v>220</v>
      </c>
      <c r="AQ148" t="s">
        <v>220</v>
      </c>
      <c r="AR148" t="s">
        <v>220</v>
      </c>
      <c r="AS148" t="s">
        <v>220</v>
      </c>
      <c r="AT148" t="s">
        <v>220</v>
      </c>
      <c r="AU148" t="s">
        <v>220</v>
      </c>
      <c r="AV148" t="s">
        <v>220</v>
      </c>
      <c r="AW148" t="s">
        <v>220</v>
      </c>
    </row>
    <row r="149" spans="2:49">
      <c r="B149" s="13">
        <v>46047</v>
      </c>
      <c r="C149" t="s">
        <v>220</v>
      </c>
      <c r="D149" t="s">
        <v>220</v>
      </c>
      <c r="E149" t="s">
        <v>220</v>
      </c>
      <c r="F149" t="s">
        <v>220</v>
      </c>
      <c r="G149" t="s">
        <v>220</v>
      </c>
      <c r="H149" t="s">
        <v>220</v>
      </c>
      <c r="I149" t="s">
        <v>220</v>
      </c>
      <c r="J149" t="s">
        <v>220</v>
      </c>
      <c r="K149" t="s">
        <v>220</v>
      </c>
      <c r="L149" t="s">
        <v>220</v>
      </c>
      <c r="M149" t="s">
        <v>220</v>
      </c>
      <c r="N149" t="s">
        <v>220</v>
      </c>
      <c r="O149" t="s">
        <v>220</v>
      </c>
      <c r="P149" t="s">
        <v>220</v>
      </c>
      <c r="Q149" t="s">
        <v>220</v>
      </c>
      <c r="R149" t="s">
        <v>220</v>
      </c>
      <c r="S149" t="s">
        <v>220</v>
      </c>
      <c r="T149" t="s">
        <v>220</v>
      </c>
      <c r="U149" t="s">
        <v>220</v>
      </c>
      <c r="V149" t="s">
        <v>220</v>
      </c>
      <c r="W149" t="s">
        <v>220</v>
      </c>
      <c r="X149" t="s">
        <v>220</v>
      </c>
      <c r="Y149" t="s">
        <v>220</v>
      </c>
      <c r="Z149" t="s">
        <v>220</v>
      </c>
      <c r="AA149" t="s">
        <v>220</v>
      </c>
      <c r="AB149" t="s">
        <v>220</v>
      </c>
      <c r="AC149" t="s">
        <v>220</v>
      </c>
      <c r="AD149" t="s">
        <v>220</v>
      </c>
      <c r="AE149" t="s">
        <v>220</v>
      </c>
      <c r="AF149" t="s">
        <v>220</v>
      </c>
      <c r="AG149" t="s">
        <v>220</v>
      </c>
      <c r="AH149" t="s">
        <v>220</v>
      </c>
      <c r="AI149" t="s">
        <v>220</v>
      </c>
      <c r="AJ149" t="s">
        <v>220</v>
      </c>
      <c r="AK149" t="s">
        <v>220</v>
      </c>
      <c r="AL149" t="s">
        <v>220</v>
      </c>
      <c r="AM149" t="s">
        <v>220</v>
      </c>
      <c r="AN149" t="s">
        <v>220</v>
      </c>
      <c r="AO149" t="s">
        <v>220</v>
      </c>
      <c r="AP149" t="s">
        <v>220</v>
      </c>
      <c r="AQ149" t="s">
        <v>220</v>
      </c>
      <c r="AR149" t="s">
        <v>220</v>
      </c>
      <c r="AS149" t="s">
        <v>220</v>
      </c>
      <c r="AT149" t="s">
        <v>220</v>
      </c>
      <c r="AU149" t="s">
        <v>220</v>
      </c>
      <c r="AV149" t="s">
        <v>220</v>
      </c>
      <c r="AW149" t="s">
        <v>220</v>
      </c>
    </row>
    <row r="150" spans="2:49">
      <c r="B150" s="13">
        <v>46048</v>
      </c>
      <c r="C150">
        <v>304.47000000000003</v>
      </c>
      <c r="D150">
        <v>6.99</v>
      </c>
      <c r="E150">
        <v>2.76</v>
      </c>
      <c r="F150">
        <v>3.12</v>
      </c>
      <c r="G150">
        <v>18.79</v>
      </c>
      <c r="H150">
        <v>4.16</v>
      </c>
      <c r="I150">
        <v>55.11</v>
      </c>
      <c r="J150">
        <v>8.39</v>
      </c>
      <c r="K150">
        <v>56</v>
      </c>
      <c r="L150">
        <v>59.17</v>
      </c>
      <c r="M150">
        <v>349</v>
      </c>
      <c r="N150">
        <v>37.85</v>
      </c>
      <c r="O150">
        <v>36.61</v>
      </c>
      <c r="P150">
        <v>18.2</v>
      </c>
      <c r="Q150">
        <v>25.88</v>
      </c>
      <c r="R150">
        <v>39.14</v>
      </c>
      <c r="S150">
        <v>164.38</v>
      </c>
      <c r="T150">
        <v>66.95</v>
      </c>
      <c r="U150">
        <v>156.08000000000001</v>
      </c>
      <c r="V150">
        <v>42.87</v>
      </c>
      <c r="W150">
        <v>167.47</v>
      </c>
      <c r="X150">
        <v>61.19</v>
      </c>
      <c r="Y150">
        <v>45.65</v>
      </c>
      <c r="Z150">
        <v>398.82</v>
      </c>
      <c r="AA150">
        <v>0.98</v>
      </c>
      <c r="AB150">
        <v>29</v>
      </c>
      <c r="AC150">
        <v>74.98</v>
      </c>
      <c r="AD150">
        <v>692.73</v>
      </c>
      <c r="AE150">
        <v>7.3</v>
      </c>
      <c r="AF150">
        <v>59.664900000000003</v>
      </c>
      <c r="AG150">
        <v>14.7256</v>
      </c>
      <c r="AH150">
        <v>625.46</v>
      </c>
      <c r="AI150">
        <v>108.98</v>
      </c>
      <c r="AJ150">
        <v>111.31</v>
      </c>
      <c r="AK150">
        <v>122.32</v>
      </c>
      <c r="AL150">
        <v>238.42</v>
      </c>
      <c r="AM150">
        <v>55.08</v>
      </c>
      <c r="AN150">
        <v>24.899100000000001</v>
      </c>
      <c r="AO150">
        <v>57.14</v>
      </c>
      <c r="AP150">
        <v>5.59</v>
      </c>
      <c r="AQ150">
        <v>101.14</v>
      </c>
      <c r="AR150">
        <v>83.72</v>
      </c>
      <c r="AS150">
        <v>85.7</v>
      </c>
      <c r="AT150">
        <v>4.6100000000000003</v>
      </c>
      <c r="AU150">
        <v>351.64</v>
      </c>
      <c r="AV150">
        <v>245.625</v>
      </c>
      <c r="AW150">
        <v>118.65</v>
      </c>
    </row>
    <row r="151" spans="2:49">
      <c r="B151" s="13">
        <v>46049</v>
      </c>
      <c r="C151">
        <v>312.42</v>
      </c>
      <c r="D151">
        <v>7.15</v>
      </c>
      <c r="E151">
        <v>2.74</v>
      </c>
      <c r="F151">
        <v>3.42</v>
      </c>
      <c r="G151">
        <v>18.57</v>
      </c>
      <c r="H151">
        <v>4.2</v>
      </c>
      <c r="I151">
        <v>56.06</v>
      </c>
      <c r="J151">
        <v>8.7799999999999994</v>
      </c>
      <c r="K151">
        <v>57</v>
      </c>
      <c r="L151">
        <v>60.34</v>
      </c>
      <c r="M151">
        <v>356.15</v>
      </c>
      <c r="N151">
        <v>38.729999999999997</v>
      </c>
      <c r="O151">
        <v>37.89</v>
      </c>
      <c r="P151">
        <v>18.579999999999998</v>
      </c>
      <c r="Q151">
        <v>26.5</v>
      </c>
      <c r="R151">
        <v>38.17</v>
      </c>
      <c r="S151">
        <v>165.06</v>
      </c>
      <c r="T151">
        <v>68</v>
      </c>
      <c r="U151">
        <v>157.63999999999999</v>
      </c>
      <c r="V151">
        <v>43.43</v>
      </c>
      <c r="W151">
        <v>165.7</v>
      </c>
      <c r="X151">
        <v>62.57</v>
      </c>
      <c r="Y151">
        <v>46.15</v>
      </c>
      <c r="Z151">
        <v>407.25</v>
      </c>
      <c r="AA151">
        <v>0.96</v>
      </c>
      <c r="AB151">
        <v>29.76</v>
      </c>
      <c r="AC151">
        <v>74.89</v>
      </c>
      <c r="AD151">
        <v>695.49</v>
      </c>
      <c r="AE151">
        <v>7.45</v>
      </c>
      <c r="AF151">
        <v>59.327800000000003</v>
      </c>
      <c r="AG151">
        <v>15.316700000000001</v>
      </c>
      <c r="AH151">
        <v>631.13</v>
      </c>
      <c r="AI151">
        <v>107.42</v>
      </c>
      <c r="AJ151">
        <v>110.61</v>
      </c>
      <c r="AK151">
        <v>122.69</v>
      </c>
      <c r="AL151">
        <v>244.68</v>
      </c>
      <c r="AM151">
        <v>56.54</v>
      </c>
      <c r="AN151">
        <v>25.05</v>
      </c>
      <c r="AO151">
        <v>57.75</v>
      </c>
      <c r="AP151">
        <v>5.45</v>
      </c>
      <c r="AQ151">
        <v>100.64</v>
      </c>
      <c r="AR151">
        <v>82.89</v>
      </c>
      <c r="AS151">
        <v>85.58</v>
      </c>
      <c r="AT151">
        <v>4.6399999999999997</v>
      </c>
      <c r="AU151">
        <v>282.7</v>
      </c>
      <c r="AV151">
        <v>245.52</v>
      </c>
      <c r="AW151">
        <v>116</v>
      </c>
    </row>
    <row r="152" spans="2:49">
      <c r="B152" s="13">
        <v>46050</v>
      </c>
      <c r="C152">
        <v>314.64999999999998</v>
      </c>
      <c r="D152">
        <v>7.13</v>
      </c>
      <c r="E152">
        <v>2.64</v>
      </c>
      <c r="F152">
        <v>3.33</v>
      </c>
      <c r="G152">
        <v>18.66</v>
      </c>
      <c r="H152">
        <v>4.17</v>
      </c>
      <c r="I152">
        <v>57.36</v>
      </c>
      <c r="J152">
        <v>8.8800000000000008</v>
      </c>
      <c r="K152">
        <v>55.88</v>
      </c>
      <c r="L152">
        <v>60.75</v>
      </c>
      <c r="M152">
        <v>358.18</v>
      </c>
      <c r="N152">
        <v>38.18</v>
      </c>
      <c r="O152">
        <v>38.33</v>
      </c>
      <c r="P152">
        <v>19.03</v>
      </c>
      <c r="Q152">
        <v>25.86</v>
      </c>
      <c r="R152">
        <v>39.01</v>
      </c>
      <c r="S152">
        <v>164.14</v>
      </c>
      <c r="T152">
        <v>67.17</v>
      </c>
      <c r="U152">
        <v>157.66999999999999</v>
      </c>
      <c r="V152">
        <v>43.33</v>
      </c>
      <c r="W152">
        <v>157.35</v>
      </c>
      <c r="X152">
        <v>61.05</v>
      </c>
      <c r="Y152">
        <v>45.53</v>
      </c>
      <c r="Z152">
        <v>416.63</v>
      </c>
      <c r="AA152">
        <v>0.97</v>
      </c>
      <c r="AB152">
        <v>29.75</v>
      </c>
      <c r="AC152">
        <v>74.94</v>
      </c>
      <c r="AD152">
        <v>695.42</v>
      </c>
      <c r="AE152">
        <v>7.41</v>
      </c>
      <c r="AF152">
        <v>58.553199999999997</v>
      </c>
      <c r="AG152">
        <v>15.5131</v>
      </c>
      <c r="AH152">
        <v>633.22</v>
      </c>
      <c r="AI152">
        <v>107.69</v>
      </c>
      <c r="AJ152">
        <v>109.56</v>
      </c>
      <c r="AK152">
        <v>121.77</v>
      </c>
      <c r="AL152">
        <v>243.01</v>
      </c>
      <c r="AM152">
        <v>57.06</v>
      </c>
      <c r="AN152">
        <v>25.164999999999999</v>
      </c>
      <c r="AO152">
        <v>57.81</v>
      </c>
      <c r="AP152">
        <v>5.3</v>
      </c>
      <c r="AQ152">
        <v>99.54</v>
      </c>
      <c r="AR152">
        <v>83.06</v>
      </c>
      <c r="AS152">
        <v>84.64</v>
      </c>
      <c r="AT152">
        <v>4.59</v>
      </c>
      <c r="AU152">
        <v>294.02</v>
      </c>
      <c r="AV152">
        <v>243.18</v>
      </c>
      <c r="AW152">
        <v>116.77</v>
      </c>
    </row>
    <row r="153" spans="2:49">
      <c r="B153" s="13">
        <v>46051</v>
      </c>
      <c r="C153">
        <v>319.93</v>
      </c>
      <c r="D153">
        <v>7.07</v>
      </c>
      <c r="E153">
        <v>2.63</v>
      </c>
      <c r="F153">
        <v>3.34</v>
      </c>
      <c r="G153">
        <v>18.59</v>
      </c>
      <c r="H153">
        <v>4.1500000000000004</v>
      </c>
      <c r="I153">
        <v>55.75</v>
      </c>
      <c r="J153">
        <v>8.93</v>
      </c>
      <c r="K153">
        <v>56.36</v>
      </c>
      <c r="L153">
        <v>60.44</v>
      </c>
      <c r="M153">
        <v>365.42</v>
      </c>
      <c r="N153">
        <v>38.47</v>
      </c>
      <c r="O153">
        <v>38.119999999999997</v>
      </c>
      <c r="P153">
        <v>18.510000000000002</v>
      </c>
      <c r="Q153">
        <v>26.1</v>
      </c>
      <c r="R153">
        <v>38.53</v>
      </c>
      <c r="S153">
        <v>165.86</v>
      </c>
      <c r="T153">
        <v>67.209999999999994</v>
      </c>
      <c r="U153">
        <v>157.51</v>
      </c>
      <c r="V153">
        <v>43.33</v>
      </c>
      <c r="W153">
        <v>151.86000000000001</v>
      </c>
      <c r="X153">
        <v>62.22</v>
      </c>
      <c r="Y153">
        <v>45.82</v>
      </c>
      <c r="Z153">
        <v>417.52</v>
      </c>
      <c r="AA153">
        <v>0.98</v>
      </c>
      <c r="AB153">
        <v>29.51</v>
      </c>
      <c r="AC153">
        <v>75.36</v>
      </c>
      <c r="AD153">
        <v>694.04</v>
      </c>
      <c r="AE153">
        <v>7.45</v>
      </c>
      <c r="AF153">
        <v>58.488</v>
      </c>
      <c r="AG153">
        <v>15.3</v>
      </c>
      <c r="AH153">
        <v>629.42999999999995</v>
      </c>
      <c r="AI153">
        <v>109.87</v>
      </c>
      <c r="AJ153">
        <v>111.58</v>
      </c>
      <c r="AK153">
        <v>121.19</v>
      </c>
      <c r="AL153">
        <v>241.73</v>
      </c>
      <c r="AM153">
        <v>56.04</v>
      </c>
      <c r="AN153">
        <v>24.933700000000002</v>
      </c>
      <c r="AO153">
        <v>56.95</v>
      </c>
      <c r="AP153">
        <v>4.8499999999999996</v>
      </c>
      <c r="AQ153">
        <v>98.66</v>
      </c>
      <c r="AR153">
        <v>84.53</v>
      </c>
      <c r="AS153">
        <v>83.16</v>
      </c>
      <c r="AT153">
        <v>4.7699999999999996</v>
      </c>
      <c r="AU153">
        <v>292.29000000000002</v>
      </c>
      <c r="AV153">
        <v>239.27</v>
      </c>
      <c r="AW153">
        <v>114.98</v>
      </c>
    </row>
    <row r="154" spans="2:49">
      <c r="B154" s="13">
        <v>46052</v>
      </c>
      <c r="C154">
        <v>322.25</v>
      </c>
      <c r="D154">
        <v>6.53</v>
      </c>
      <c r="E154">
        <v>2.64</v>
      </c>
      <c r="F154">
        <v>3.34</v>
      </c>
      <c r="G154">
        <v>17.98</v>
      </c>
      <c r="H154">
        <v>4.08</v>
      </c>
      <c r="I154">
        <v>53.85</v>
      </c>
      <c r="J154">
        <v>8.59</v>
      </c>
      <c r="K154">
        <v>56.29</v>
      </c>
      <c r="L154">
        <v>59.1</v>
      </c>
      <c r="M154">
        <v>356.83</v>
      </c>
      <c r="N154">
        <v>38.22</v>
      </c>
      <c r="O154">
        <v>37.04</v>
      </c>
      <c r="P154">
        <v>18.149999999999999</v>
      </c>
      <c r="Q154">
        <v>26.44</v>
      </c>
      <c r="R154">
        <v>34.26</v>
      </c>
      <c r="S154">
        <v>165.44</v>
      </c>
      <c r="T154">
        <v>66.66</v>
      </c>
      <c r="U154">
        <v>153.18</v>
      </c>
      <c r="V154">
        <v>43.25</v>
      </c>
      <c r="W154">
        <v>146.59</v>
      </c>
      <c r="X154">
        <v>61.54</v>
      </c>
      <c r="Y154">
        <v>45.35</v>
      </c>
      <c r="Z154">
        <v>403.46</v>
      </c>
      <c r="AA154">
        <v>0.83</v>
      </c>
      <c r="AB154">
        <v>29</v>
      </c>
      <c r="AC154">
        <v>74.97</v>
      </c>
      <c r="AD154">
        <v>691.97</v>
      </c>
      <c r="AE154">
        <v>7.33</v>
      </c>
      <c r="AF154">
        <v>58.488300000000002</v>
      </c>
      <c r="AG154">
        <v>14.83</v>
      </c>
      <c r="AH154">
        <v>621.87</v>
      </c>
      <c r="AI154">
        <v>111.11</v>
      </c>
      <c r="AJ154">
        <v>112.8</v>
      </c>
      <c r="AK154">
        <v>121.17</v>
      </c>
      <c r="AL154">
        <v>239.3</v>
      </c>
      <c r="AM154">
        <v>54</v>
      </c>
      <c r="AN154">
        <v>24.64</v>
      </c>
      <c r="AO154">
        <v>55.8</v>
      </c>
      <c r="AP154">
        <v>4.8499999999999996</v>
      </c>
      <c r="AQ154">
        <v>99.99</v>
      </c>
      <c r="AR154">
        <v>81.650000000000006</v>
      </c>
      <c r="AS154">
        <v>83.49</v>
      </c>
      <c r="AT154">
        <v>4.7</v>
      </c>
      <c r="AU154">
        <v>286.93</v>
      </c>
      <c r="AV154">
        <v>220.3</v>
      </c>
      <c r="AW154">
        <v>114.26</v>
      </c>
    </row>
    <row r="155" spans="2:49">
      <c r="B155" s="13">
        <v>46053</v>
      </c>
      <c r="C155" t="s">
        <v>220</v>
      </c>
      <c r="D155" t="s">
        <v>220</v>
      </c>
      <c r="E155" t="s">
        <v>220</v>
      </c>
      <c r="F155" t="s">
        <v>220</v>
      </c>
      <c r="G155" t="s">
        <v>220</v>
      </c>
      <c r="H155" t="s">
        <v>220</v>
      </c>
      <c r="I155" t="s">
        <v>220</v>
      </c>
      <c r="J155" t="s">
        <v>220</v>
      </c>
      <c r="K155" t="s">
        <v>220</v>
      </c>
      <c r="L155" t="s">
        <v>220</v>
      </c>
      <c r="M155" t="s">
        <v>220</v>
      </c>
      <c r="N155" t="s">
        <v>220</v>
      </c>
      <c r="O155" t="s">
        <v>220</v>
      </c>
      <c r="P155" t="s">
        <v>220</v>
      </c>
      <c r="Q155" t="s">
        <v>220</v>
      </c>
      <c r="R155" t="s">
        <v>220</v>
      </c>
      <c r="S155" t="s">
        <v>220</v>
      </c>
      <c r="T155" t="s">
        <v>220</v>
      </c>
      <c r="U155" t="s">
        <v>220</v>
      </c>
      <c r="V155" t="s">
        <v>220</v>
      </c>
      <c r="W155" t="s">
        <v>220</v>
      </c>
      <c r="X155" t="s">
        <v>220</v>
      </c>
      <c r="Y155" t="s">
        <v>220</v>
      </c>
      <c r="Z155" t="s">
        <v>220</v>
      </c>
      <c r="AA155" t="s">
        <v>220</v>
      </c>
      <c r="AB155" t="s">
        <v>220</v>
      </c>
      <c r="AC155" t="s">
        <v>220</v>
      </c>
      <c r="AD155" t="s">
        <v>220</v>
      </c>
      <c r="AE155" t="s">
        <v>220</v>
      </c>
      <c r="AF155" t="s">
        <v>220</v>
      </c>
      <c r="AG155" t="s">
        <v>220</v>
      </c>
      <c r="AH155" t="s">
        <v>220</v>
      </c>
      <c r="AI155" t="s">
        <v>220</v>
      </c>
      <c r="AJ155" t="s">
        <v>220</v>
      </c>
      <c r="AK155" t="s">
        <v>220</v>
      </c>
      <c r="AL155" t="s">
        <v>220</v>
      </c>
      <c r="AM155" t="s">
        <v>220</v>
      </c>
      <c r="AN155" t="s">
        <v>220</v>
      </c>
      <c r="AO155" t="s">
        <v>220</v>
      </c>
      <c r="AP155" t="s">
        <v>220</v>
      </c>
      <c r="AQ155" t="s">
        <v>220</v>
      </c>
      <c r="AR155" t="s">
        <v>220</v>
      </c>
      <c r="AS155" t="s">
        <v>220</v>
      </c>
      <c r="AT155" t="s">
        <v>220</v>
      </c>
      <c r="AU155" t="s">
        <v>220</v>
      </c>
      <c r="AV155" t="s">
        <v>220</v>
      </c>
      <c r="AW155" t="s">
        <v>220</v>
      </c>
    </row>
    <row r="156" spans="2:49">
      <c r="B156" s="13">
        <v>46054</v>
      </c>
      <c r="C156" t="s">
        <v>220</v>
      </c>
      <c r="D156" t="s">
        <v>220</v>
      </c>
      <c r="E156" t="s">
        <v>220</v>
      </c>
      <c r="F156" t="s">
        <v>220</v>
      </c>
      <c r="G156" t="s">
        <v>220</v>
      </c>
      <c r="H156" t="s">
        <v>220</v>
      </c>
      <c r="I156" t="s">
        <v>220</v>
      </c>
      <c r="J156" t="s">
        <v>220</v>
      </c>
      <c r="K156" t="s">
        <v>220</v>
      </c>
      <c r="L156" t="s">
        <v>220</v>
      </c>
      <c r="M156" t="s">
        <v>220</v>
      </c>
      <c r="N156" t="s">
        <v>220</v>
      </c>
      <c r="O156" t="s">
        <v>220</v>
      </c>
      <c r="P156" t="s">
        <v>220</v>
      </c>
      <c r="Q156" t="s">
        <v>220</v>
      </c>
      <c r="R156" t="s">
        <v>220</v>
      </c>
      <c r="S156" t="s">
        <v>220</v>
      </c>
      <c r="T156" t="s">
        <v>220</v>
      </c>
      <c r="U156" t="s">
        <v>220</v>
      </c>
      <c r="V156" t="s">
        <v>220</v>
      </c>
      <c r="W156" t="s">
        <v>220</v>
      </c>
      <c r="X156" t="s">
        <v>220</v>
      </c>
      <c r="Y156" t="s">
        <v>220</v>
      </c>
      <c r="Z156" t="s">
        <v>220</v>
      </c>
      <c r="AA156" t="s">
        <v>220</v>
      </c>
      <c r="AB156" t="s">
        <v>220</v>
      </c>
      <c r="AC156" t="s">
        <v>220</v>
      </c>
      <c r="AD156" t="s">
        <v>220</v>
      </c>
      <c r="AE156" t="s">
        <v>220</v>
      </c>
      <c r="AF156" t="s">
        <v>220</v>
      </c>
      <c r="AG156" t="s">
        <v>220</v>
      </c>
      <c r="AH156" t="s">
        <v>220</v>
      </c>
      <c r="AI156" t="s">
        <v>220</v>
      </c>
      <c r="AJ156" t="s">
        <v>220</v>
      </c>
      <c r="AK156" t="s">
        <v>220</v>
      </c>
      <c r="AL156" t="s">
        <v>220</v>
      </c>
      <c r="AM156" t="s">
        <v>220</v>
      </c>
      <c r="AN156" t="s">
        <v>220</v>
      </c>
      <c r="AO156" t="s">
        <v>220</v>
      </c>
      <c r="AP156" t="s">
        <v>220</v>
      </c>
      <c r="AQ156" t="s">
        <v>220</v>
      </c>
      <c r="AR156" t="s">
        <v>220</v>
      </c>
      <c r="AS156" t="s">
        <v>220</v>
      </c>
      <c r="AT156" t="s">
        <v>220</v>
      </c>
      <c r="AU156" t="s">
        <v>220</v>
      </c>
      <c r="AV156" t="s">
        <v>220</v>
      </c>
      <c r="AW156" t="s">
        <v>220</v>
      </c>
    </row>
    <row r="157" spans="2:49">
      <c r="B157" s="13">
        <v>46055</v>
      </c>
      <c r="C157">
        <v>335.3</v>
      </c>
      <c r="D157">
        <v>6.65</v>
      </c>
      <c r="E157">
        <v>2.52</v>
      </c>
      <c r="F157">
        <v>3.31</v>
      </c>
      <c r="G157">
        <v>16.489999999999998</v>
      </c>
      <c r="H157">
        <v>4.03</v>
      </c>
      <c r="I157">
        <v>53.69</v>
      </c>
      <c r="J157">
        <v>8.6999999999999993</v>
      </c>
      <c r="K157">
        <v>56.86</v>
      </c>
      <c r="L157">
        <v>59.28</v>
      </c>
      <c r="M157">
        <v>367.91</v>
      </c>
      <c r="N157">
        <v>38.85</v>
      </c>
      <c r="O157">
        <v>37.450000000000003</v>
      </c>
      <c r="P157">
        <v>18.23</v>
      </c>
      <c r="Q157">
        <v>26.66</v>
      </c>
      <c r="R157">
        <v>34.06</v>
      </c>
      <c r="S157">
        <v>167.53</v>
      </c>
      <c r="T157">
        <v>67.27</v>
      </c>
      <c r="U157">
        <v>148.57</v>
      </c>
      <c r="V157">
        <v>42.62</v>
      </c>
      <c r="W157">
        <v>147.76</v>
      </c>
      <c r="X157">
        <v>62.25</v>
      </c>
      <c r="Y157">
        <v>45.68</v>
      </c>
      <c r="Z157">
        <v>407.97</v>
      </c>
      <c r="AA157">
        <v>0.77</v>
      </c>
      <c r="AB157">
        <v>28.79</v>
      </c>
      <c r="AC157">
        <v>75.58</v>
      </c>
      <c r="AD157">
        <v>695.41</v>
      </c>
      <c r="AE157">
        <v>7.3</v>
      </c>
      <c r="AF157">
        <v>59.060299999999998</v>
      </c>
      <c r="AG157">
        <v>14.9863</v>
      </c>
      <c r="AH157">
        <v>626.14</v>
      </c>
      <c r="AI157">
        <v>111.72</v>
      </c>
      <c r="AJ157">
        <v>104.45</v>
      </c>
      <c r="AK157">
        <v>121.97</v>
      </c>
      <c r="AL157">
        <v>242.96</v>
      </c>
      <c r="AM157">
        <v>55.1</v>
      </c>
      <c r="AN157">
        <v>24.245000000000001</v>
      </c>
      <c r="AO157">
        <v>54.86</v>
      </c>
      <c r="AP157">
        <v>4.8099999999999996</v>
      </c>
      <c r="AQ157">
        <v>99.5</v>
      </c>
      <c r="AR157">
        <v>82.55</v>
      </c>
      <c r="AS157">
        <v>82.76</v>
      </c>
      <c r="AT157">
        <v>4.5199999999999996</v>
      </c>
      <c r="AU157">
        <v>285.58999999999997</v>
      </c>
      <c r="AV157">
        <v>221.81</v>
      </c>
      <c r="AW157">
        <v>114.36</v>
      </c>
    </row>
    <row r="158" spans="2:49">
      <c r="B158" s="13">
        <v>46056</v>
      </c>
      <c r="C158">
        <v>353.43</v>
      </c>
      <c r="D158">
        <v>6.93</v>
      </c>
      <c r="E158">
        <v>2.44</v>
      </c>
      <c r="F158">
        <v>3.4</v>
      </c>
      <c r="G158">
        <v>17.16</v>
      </c>
      <c r="H158">
        <v>4.1100000000000003</v>
      </c>
      <c r="I158">
        <v>55.59</v>
      </c>
      <c r="J158">
        <v>8.7899999999999991</v>
      </c>
      <c r="K158">
        <v>56.25</v>
      </c>
      <c r="L158">
        <v>59.6</v>
      </c>
      <c r="M158">
        <v>375.25</v>
      </c>
      <c r="N158">
        <v>38.65</v>
      </c>
      <c r="O158">
        <v>38.04</v>
      </c>
      <c r="P158">
        <v>18.760000000000002</v>
      </c>
      <c r="Q158">
        <v>25.77</v>
      </c>
      <c r="R158">
        <v>36.590000000000003</v>
      </c>
      <c r="S158">
        <v>168.94</v>
      </c>
      <c r="T158">
        <v>67.069999999999993</v>
      </c>
      <c r="U158">
        <v>144.86000000000001</v>
      </c>
      <c r="V158">
        <v>43.24</v>
      </c>
      <c r="W158">
        <v>157.88</v>
      </c>
      <c r="X158">
        <v>61.89</v>
      </c>
      <c r="Y158">
        <v>45.69</v>
      </c>
      <c r="Z158">
        <v>397.68</v>
      </c>
      <c r="AA158">
        <v>0.82</v>
      </c>
      <c r="AB158">
        <v>28.5</v>
      </c>
      <c r="AC158">
        <v>75.8</v>
      </c>
      <c r="AD158">
        <v>689.53</v>
      </c>
      <c r="AE158">
        <v>7.26</v>
      </c>
      <c r="AF158">
        <v>58.5</v>
      </c>
      <c r="AG158">
        <v>15.2494</v>
      </c>
      <c r="AH158">
        <v>616.52</v>
      </c>
      <c r="AI158">
        <v>107.18</v>
      </c>
      <c r="AJ158">
        <v>104.22</v>
      </c>
      <c r="AK158">
        <v>120.99</v>
      </c>
      <c r="AL158">
        <v>238.62</v>
      </c>
      <c r="AM158">
        <v>52.52</v>
      </c>
      <c r="AN158">
        <v>24.114999999999998</v>
      </c>
      <c r="AO158">
        <v>54.22</v>
      </c>
      <c r="AP158">
        <v>4.67</v>
      </c>
      <c r="AQ158">
        <v>100.77</v>
      </c>
      <c r="AR158">
        <v>82.68</v>
      </c>
      <c r="AS158">
        <v>79.94</v>
      </c>
      <c r="AT158">
        <v>4.55</v>
      </c>
      <c r="AU158">
        <v>284.18</v>
      </c>
      <c r="AV158">
        <v>212.17</v>
      </c>
      <c r="AW158">
        <v>103.28</v>
      </c>
    </row>
    <row r="159" spans="2:49">
      <c r="B159" s="13">
        <v>46057</v>
      </c>
      <c r="C159">
        <v>362.54</v>
      </c>
      <c r="D159">
        <v>6.95</v>
      </c>
      <c r="E159">
        <v>2.37</v>
      </c>
      <c r="F159">
        <v>3.15</v>
      </c>
      <c r="G159">
        <v>16.77</v>
      </c>
      <c r="H159">
        <v>4.1100000000000003</v>
      </c>
      <c r="I159">
        <v>58.1</v>
      </c>
      <c r="J159">
        <v>8.49</v>
      </c>
      <c r="K159">
        <v>56.68</v>
      </c>
      <c r="L159">
        <v>58.8</v>
      </c>
      <c r="M159">
        <v>363.63</v>
      </c>
      <c r="N159">
        <v>38.479999999999997</v>
      </c>
      <c r="O159">
        <v>36.979999999999997</v>
      </c>
      <c r="P159">
        <v>18.739999999999998</v>
      </c>
      <c r="Q159">
        <v>26.78</v>
      </c>
      <c r="R159">
        <v>36.549999999999997</v>
      </c>
      <c r="S159">
        <v>169.39</v>
      </c>
      <c r="T159">
        <v>66.88</v>
      </c>
      <c r="U159">
        <v>137.94999999999999</v>
      </c>
      <c r="V159">
        <v>43.08</v>
      </c>
      <c r="W159">
        <v>139.54</v>
      </c>
      <c r="X159">
        <v>62.47</v>
      </c>
      <c r="Y159">
        <v>46.03</v>
      </c>
      <c r="Z159">
        <v>382.02</v>
      </c>
      <c r="AA159">
        <v>0.79</v>
      </c>
      <c r="AB159">
        <v>28.51</v>
      </c>
      <c r="AC159">
        <v>76.14</v>
      </c>
      <c r="AD159">
        <v>686.19</v>
      </c>
      <c r="AE159">
        <v>7.24</v>
      </c>
      <c r="AF159">
        <v>58.398899999999998</v>
      </c>
      <c r="AG159">
        <v>14.7872</v>
      </c>
      <c r="AH159">
        <v>605.75</v>
      </c>
      <c r="AI159">
        <v>102.17</v>
      </c>
      <c r="AJ159">
        <v>107.05</v>
      </c>
      <c r="AK159">
        <v>120.1</v>
      </c>
      <c r="AL159">
        <v>232.99</v>
      </c>
      <c r="AM159">
        <v>49.76</v>
      </c>
      <c r="AN159">
        <v>23.605</v>
      </c>
      <c r="AO159">
        <v>52.5</v>
      </c>
      <c r="AP159">
        <v>4.5999999999999996</v>
      </c>
      <c r="AQ159">
        <v>103.21</v>
      </c>
      <c r="AR159">
        <v>77.94</v>
      </c>
      <c r="AS159">
        <v>80.16</v>
      </c>
      <c r="AT159">
        <v>4.4400000000000004</v>
      </c>
      <c r="AU159">
        <v>275.92</v>
      </c>
      <c r="AV159">
        <v>200.76</v>
      </c>
      <c r="AW159">
        <v>104.77</v>
      </c>
    </row>
    <row r="160" spans="2:49">
      <c r="B160" s="13">
        <v>46058</v>
      </c>
      <c r="C160">
        <v>363.96</v>
      </c>
      <c r="D160">
        <v>6.95</v>
      </c>
      <c r="E160">
        <v>2.36</v>
      </c>
      <c r="F160">
        <v>3.21</v>
      </c>
      <c r="G160">
        <v>16.88</v>
      </c>
      <c r="H160">
        <v>4.1500000000000004</v>
      </c>
      <c r="I160">
        <v>55.83</v>
      </c>
      <c r="J160">
        <v>8.68</v>
      </c>
      <c r="K160">
        <v>55.21</v>
      </c>
      <c r="L160">
        <v>58.53</v>
      </c>
      <c r="M160">
        <v>356.4</v>
      </c>
      <c r="N160">
        <v>37.409999999999997</v>
      </c>
      <c r="O160">
        <v>36.909999999999997</v>
      </c>
      <c r="P160">
        <v>18.11</v>
      </c>
      <c r="Q160">
        <v>26.49</v>
      </c>
      <c r="R160">
        <v>35</v>
      </c>
      <c r="S160">
        <v>168.37</v>
      </c>
      <c r="T160">
        <v>66.16</v>
      </c>
      <c r="U160">
        <v>138.96</v>
      </c>
      <c r="V160">
        <v>43.1</v>
      </c>
      <c r="W160">
        <v>130.01</v>
      </c>
      <c r="X160">
        <v>62.24</v>
      </c>
      <c r="Y160">
        <v>45.73</v>
      </c>
      <c r="Z160">
        <v>381.07</v>
      </c>
      <c r="AA160">
        <v>0.78</v>
      </c>
      <c r="AB160">
        <v>28.61</v>
      </c>
      <c r="AC160">
        <v>75.489999999999995</v>
      </c>
      <c r="AD160">
        <v>677.62</v>
      </c>
      <c r="AE160">
        <v>7.12</v>
      </c>
      <c r="AF160">
        <v>57.848399999999998</v>
      </c>
      <c r="AG160">
        <v>14.7301</v>
      </c>
      <c r="AH160">
        <v>597.03</v>
      </c>
      <c r="AI160">
        <v>99.82</v>
      </c>
      <c r="AJ160">
        <v>104.97</v>
      </c>
      <c r="AK160">
        <v>117.51</v>
      </c>
      <c r="AL160">
        <v>222.69</v>
      </c>
      <c r="AM160">
        <v>47.64</v>
      </c>
      <c r="AN160">
        <v>23.45</v>
      </c>
      <c r="AO160">
        <v>52.15</v>
      </c>
      <c r="AP160">
        <v>4.51</v>
      </c>
      <c r="AQ160">
        <v>104.26</v>
      </c>
      <c r="AR160">
        <v>76.31</v>
      </c>
      <c r="AS160">
        <v>80.87</v>
      </c>
      <c r="AT160">
        <v>4.7</v>
      </c>
      <c r="AU160">
        <v>268.55</v>
      </c>
      <c r="AV160">
        <v>193.24</v>
      </c>
      <c r="AW160">
        <v>99.17</v>
      </c>
    </row>
    <row r="161" spans="2:49">
      <c r="B161" s="13">
        <v>46059</v>
      </c>
      <c r="C161">
        <v>369.23</v>
      </c>
      <c r="D161">
        <v>6.88</v>
      </c>
      <c r="E161">
        <v>2.38</v>
      </c>
      <c r="F161">
        <v>3.3</v>
      </c>
      <c r="G161">
        <v>17.72</v>
      </c>
      <c r="H161">
        <v>4.25</v>
      </c>
      <c r="I161">
        <v>57.74</v>
      </c>
      <c r="J161">
        <v>8.99</v>
      </c>
      <c r="K161">
        <v>56.46</v>
      </c>
      <c r="L161">
        <v>60.07</v>
      </c>
      <c r="M161">
        <v>353.3</v>
      </c>
      <c r="N161">
        <v>38.21</v>
      </c>
      <c r="O161">
        <v>37.56</v>
      </c>
      <c r="P161">
        <v>18.61</v>
      </c>
      <c r="Q161">
        <v>27.22</v>
      </c>
      <c r="R161">
        <v>36.950000000000003</v>
      </c>
      <c r="S161">
        <v>173.18</v>
      </c>
      <c r="T161">
        <v>67.349999999999994</v>
      </c>
      <c r="U161">
        <v>145.93</v>
      </c>
      <c r="V161">
        <v>43.35</v>
      </c>
      <c r="W161">
        <v>135.9</v>
      </c>
      <c r="X161">
        <v>63.09</v>
      </c>
      <c r="Y161">
        <v>46.4</v>
      </c>
      <c r="Z161">
        <v>401.65</v>
      </c>
      <c r="AA161">
        <v>0.8</v>
      </c>
      <c r="AB161">
        <v>28.9</v>
      </c>
      <c r="AC161">
        <v>76.84</v>
      </c>
      <c r="AD161">
        <v>690.62</v>
      </c>
      <c r="AE161">
        <v>7.15</v>
      </c>
      <c r="AF161">
        <v>58.9039</v>
      </c>
      <c r="AG161">
        <v>14.9717</v>
      </c>
      <c r="AH161">
        <v>609.65</v>
      </c>
      <c r="AI161">
        <v>102.8</v>
      </c>
      <c r="AJ161">
        <v>108.7</v>
      </c>
      <c r="AK161">
        <v>117.99</v>
      </c>
      <c r="AL161">
        <v>210.32</v>
      </c>
      <c r="AM161">
        <v>50.59</v>
      </c>
      <c r="AN161">
        <v>23.994399999999999</v>
      </c>
      <c r="AO161">
        <v>53.8</v>
      </c>
      <c r="AP161">
        <v>4.76</v>
      </c>
      <c r="AQ161">
        <v>104.33</v>
      </c>
      <c r="AR161">
        <v>78.36</v>
      </c>
      <c r="AS161">
        <v>82.2</v>
      </c>
      <c r="AT161">
        <v>5.04</v>
      </c>
      <c r="AU161">
        <v>276.64999999999998</v>
      </c>
      <c r="AV161">
        <v>195.59</v>
      </c>
      <c r="AW161">
        <v>103.2</v>
      </c>
    </row>
    <row r="162" spans="2:49">
      <c r="B162" s="13">
        <v>46060</v>
      </c>
      <c r="C162" t="s">
        <v>220</v>
      </c>
      <c r="D162" t="s">
        <v>220</v>
      </c>
      <c r="E162" t="s">
        <v>220</v>
      </c>
      <c r="F162" t="s">
        <v>220</v>
      </c>
      <c r="G162" t="s">
        <v>220</v>
      </c>
      <c r="H162" t="s">
        <v>220</v>
      </c>
      <c r="I162" t="s">
        <v>220</v>
      </c>
      <c r="J162" t="s">
        <v>220</v>
      </c>
      <c r="K162" t="s">
        <v>220</v>
      </c>
      <c r="L162" t="s">
        <v>220</v>
      </c>
      <c r="M162" t="s">
        <v>220</v>
      </c>
      <c r="N162" t="s">
        <v>220</v>
      </c>
      <c r="O162" t="s">
        <v>220</v>
      </c>
      <c r="P162" t="s">
        <v>220</v>
      </c>
      <c r="Q162" t="s">
        <v>220</v>
      </c>
      <c r="R162" t="s">
        <v>220</v>
      </c>
      <c r="S162" t="s">
        <v>220</v>
      </c>
      <c r="T162" t="s">
        <v>220</v>
      </c>
      <c r="U162" t="s">
        <v>220</v>
      </c>
      <c r="V162" t="s">
        <v>220</v>
      </c>
      <c r="W162" t="s">
        <v>220</v>
      </c>
      <c r="X162" t="s">
        <v>220</v>
      </c>
      <c r="Y162" t="s">
        <v>220</v>
      </c>
      <c r="Z162" t="s">
        <v>220</v>
      </c>
      <c r="AA162" t="s">
        <v>220</v>
      </c>
      <c r="AB162" t="s">
        <v>220</v>
      </c>
      <c r="AC162" t="s">
        <v>220</v>
      </c>
      <c r="AD162" t="s">
        <v>220</v>
      </c>
      <c r="AE162" t="s">
        <v>220</v>
      </c>
      <c r="AF162" t="s">
        <v>220</v>
      </c>
      <c r="AG162" t="s">
        <v>220</v>
      </c>
      <c r="AH162" t="s">
        <v>220</v>
      </c>
      <c r="AI162" t="s">
        <v>220</v>
      </c>
      <c r="AJ162" t="s">
        <v>220</v>
      </c>
      <c r="AK162" t="s">
        <v>220</v>
      </c>
      <c r="AL162" t="s">
        <v>220</v>
      </c>
      <c r="AM162" t="s">
        <v>220</v>
      </c>
      <c r="AN162" t="s">
        <v>220</v>
      </c>
      <c r="AO162" t="s">
        <v>220</v>
      </c>
      <c r="AP162" t="s">
        <v>220</v>
      </c>
      <c r="AQ162" t="s">
        <v>220</v>
      </c>
      <c r="AR162" t="s">
        <v>220</v>
      </c>
      <c r="AS162" t="s">
        <v>220</v>
      </c>
      <c r="AT162" t="s">
        <v>220</v>
      </c>
      <c r="AU162" t="s">
        <v>220</v>
      </c>
      <c r="AV162" t="s">
        <v>220</v>
      </c>
      <c r="AW162" t="s">
        <v>220</v>
      </c>
    </row>
    <row r="163" spans="2:49">
      <c r="B163" s="13">
        <v>46061</v>
      </c>
      <c r="C163" t="s">
        <v>220</v>
      </c>
      <c r="D163" t="s">
        <v>220</v>
      </c>
      <c r="E163" t="s">
        <v>220</v>
      </c>
      <c r="F163" t="s">
        <v>220</v>
      </c>
      <c r="G163" t="s">
        <v>220</v>
      </c>
      <c r="H163" t="s">
        <v>220</v>
      </c>
      <c r="I163" t="s">
        <v>220</v>
      </c>
      <c r="J163" t="s">
        <v>220</v>
      </c>
      <c r="K163" t="s">
        <v>220</v>
      </c>
      <c r="L163" t="s">
        <v>220</v>
      </c>
      <c r="M163" t="s">
        <v>220</v>
      </c>
      <c r="N163" t="s">
        <v>220</v>
      </c>
      <c r="O163" t="s">
        <v>220</v>
      </c>
      <c r="P163" t="s">
        <v>220</v>
      </c>
      <c r="Q163" t="s">
        <v>220</v>
      </c>
      <c r="R163" t="s">
        <v>220</v>
      </c>
      <c r="S163" t="s">
        <v>220</v>
      </c>
      <c r="T163" t="s">
        <v>220</v>
      </c>
      <c r="U163" t="s">
        <v>220</v>
      </c>
      <c r="V163" t="s">
        <v>220</v>
      </c>
      <c r="W163" t="s">
        <v>220</v>
      </c>
      <c r="X163" t="s">
        <v>220</v>
      </c>
      <c r="Y163" t="s">
        <v>220</v>
      </c>
      <c r="Z163" t="s">
        <v>220</v>
      </c>
      <c r="AA163" t="s">
        <v>220</v>
      </c>
      <c r="AB163" t="s">
        <v>220</v>
      </c>
      <c r="AC163" t="s">
        <v>220</v>
      </c>
      <c r="AD163" t="s">
        <v>220</v>
      </c>
      <c r="AE163" t="s">
        <v>220</v>
      </c>
      <c r="AF163" t="s">
        <v>220</v>
      </c>
      <c r="AG163" t="s">
        <v>220</v>
      </c>
      <c r="AH163" t="s">
        <v>220</v>
      </c>
      <c r="AI163" t="s">
        <v>220</v>
      </c>
      <c r="AJ163" t="s">
        <v>220</v>
      </c>
      <c r="AK163" t="s">
        <v>220</v>
      </c>
      <c r="AL163" t="s">
        <v>220</v>
      </c>
      <c r="AM163" t="s">
        <v>220</v>
      </c>
      <c r="AN163" t="s">
        <v>220</v>
      </c>
      <c r="AO163" t="s">
        <v>220</v>
      </c>
      <c r="AP163" t="s">
        <v>220</v>
      </c>
      <c r="AQ163" t="s">
        <v>220</v>
      </c>
      <c r="AR163" t="s">
        <v>220</v>
      </c>
      <c r="AS163" t="s">
        <v>220</v>
      </c>
      <c r="AT163" t="s">
        <v>220</v>
      </c>
      <c r="AU163" t="s">
        <v>220</v>
      </c>
      <c r="AV163" t="s">
        <v>220</v>
      </c>
      <c r="AW163" t="s">
        <v>220</v>
      </c>
    </row>
    <row r="164" spans="2:49">
      <c r="B164" s="13">
        <v>46062</v>
      </c>
      <c r="C164">
        <v>364.6</v>
      </c>
      <c r="D164">
        <v>6.95</v>
      </c>
      <c r="E164" t="s">
        <v>220</v>
      </c>
      <c r="F164">
        <v>3.16</v>
      </c>
      <c r="G164">
        <v>17.54</v>
      </c>
      <c r="H164">
        <v>4.24</v>
      </c>
      <c r="I164">
        <v>58.72</v>
      </c>
      <c r="J164">
        <v>9.32</v>
      </c>
      <c r="K164">
        <v>57.51</v>
      </c>
      <c r="L164">
        <v>60.51</v>
      </c>
      <c r="M164">
        <v>356.74</v>
      </c>
      <c r="N164">
        <v>38.75</v>
      </c>
      <c r="O164">
        <v>38.42</v>
      </c>
      <c r="P164">
        <v>19.04</v>
      </c>
      <c r="Q164">
        <v>27.05</v>
      </c>
      <c r="R164">
        <v>39.119999999999997</v>
      </c>
      <c r="S164">
        <v>173.7</v>
      </c>
      <c r="T164">
        <v>68.39</v>
      </c>
      <c r="U164">
        <v>146.97</v>
      </c>
      <c r="V164">
        <v>43.48</v>
      </c>
      <c r="W164">
        <v>142.91</v>
      </c>
      <c r="X164">
        <v>63.45</v>
      </c>
      <c r="Y164">
        <v>46.99</v>
      </c>
      <c r="Z164">
        <v>406.65</v>
      </c>
      <c r="AA164">
        <v>0.87</v>
      </c>
      <c r="AB164">
        <v>28.9</v>
      </c>
      <c r="AC164">
        <v>76.84</v>
      </c>
      <c r="AD164">
        <v>693.95</v>
      </c>
      <c r="AE164">
        <v>7.12</v>
      </c>
      <c r="AF164">
        <v>58.494300000000003</v>
      </c>
      <c r="AG164">
        <v>15.270300000000001</v>
      </c>
      <c r="AH164">
        <v>614.32000000000005</v>
      </c>
      <c r="AI164">
        <v>102.2</v>
      </c>
      <c r="AJ164">
        <v>107.13</v>
      </c>
      <c r="AK164">
        <v>117.55</v>
      </c>
      <c r="AL164">
        <v>208.72</v>
      </c>
      <c r="AM164">
        <v>51.74</v>
      </c>
      <c r="AN164">
        <v>24.184999999999999</v>
      </c>
      <c r="AO164">
        <v>54.09</v>
      </c>
      <c r="AP164">
        <v>4.8</v>
      </c>
      <c r="AQ164">
        <v>104.7</v>
      </c>
      <c r="AR164">
        <v>79.91</v>
      </c>
      <c r="AS164">
        <v>81.47</v>
      </c>
      <c r="AT164">
        <v>4.8899999999999997</v>
      </c>
      <c r="AU164">
        <v>275.7</v>
      </c>
      <c r="AV164">
        <v>205.03</v>
      </c>
      <c r="AW164">
        <v>107.29</v>
      </c>
    </row>
    <row r="165" spans="2:49">
      <c r="B165" s="13">
        <v>46063</v>
      </c>
      <c r="C165">
        <v>367.95</v>
      </c>
      <c r="D165">
        <v>7</v>
      </c>
      <c r="E165">
        <v>2.48</v>
      </c>
      <c r="F165">
        <v>3.21</v>
      </c>
      <c r="G165">
        <v>17.82</v>
      </c>
      <c r="H165">
        <v>4.21</v>
      </c>
      <c r="I165">
        <v>58.59</v>
      </c>
      <c r="J165">
        <v>9.3000000000000007</v>
      </c>
      <c r="K165">
        <v>57.11</v>
      </c>
      <c r="L165">
        <v>60.6</v>
      </c>
      <c r="M165">
        <v>348.54</v>
      </c>
      <c r="N165">
        <v>38.17</v>
      </c>
      <c r="O165">
        <v>38.32</v>
      </c>
      <c r="P165">
        <v>18.850000000000001</v>
      </c>
      <c r="Q165">
        <v>27.61</v>
      </c>
      <c r="R165">
        <v>39.01</v>
      </c>
      <c r="S165">
        <v>173.91</v>
      </c>
      <c r="T165">
        <v>68.2</v>
      </c>
      <c r="U165">
        <v>147.66</v>
      </c>
      <c r="V165">
        <v>44.2</v>
      </c>
      <c r="W165">
        <v>139.51</v>
      </c>
      <c r="X165">
        <v>63.43</v>
      </c>
      <c r="Y165">
        <v>46.83</v>
      </c>
      <c r="Z165">
        <v>404.76</v>
      </c>
      <c r="AA165">
        <v>0.89</v>
      </c>
      <c r="AB165">
        <v>28.95</v>
      </c>
      <c r="AC165">
        <v>76.540000000000006</v>
      </c>
      <c r="AD165">
        <v>692.12</v>
      </c>
      <c r="AE165">
        <v>7.25</v>
      </c>
      <c r="AF165">
        <v>58.42</v>
      </c>
      <c r="AG165">
        <v>15.2372</v>
      </c>
      <c r="AH165">
        <v>611.47</v>
      </c>
      <c r="AI165">
        <v>103.33</v>
      </c>
      <c r="AJ165">
        <v>109.96</v>
      </c>
      <c r="AK165">
        <v>118.33</v>
      </c>
      <c r="AL165">
        <v>206.96</v>
      </c>
      <c r="AM165">
        <v>51.02</v>
      </c>
      <c r="AN165">
        <v>24.26</v>
      </c>
      <c r="AO165">
        <v>54.02</v>
      </c>
      <c r="AP165">
        <v>4.76</v>
      </c>
      <c r="AQ165">
        <v>105.88</v>
      </c>
      <c r="AR165">
        <v>79.819999999999993</v>
      </c>
      <c r="AS165">
        <v>82.21</v>
      </c>
      <c r="AT165">
        <v>4.96</v>
      </c>
      <c r="AU165">
        <v>273.22000000000003</v>
      </c>
      <c r="AV165">
        <v>210.71</v>
      </c>
      <c r="AW165">
        <v>107.21</v>
      </c>
    </row>
    <row r="166" spans="2:49">
      <c r="B166" s="13">
        <v>46064</v>
      </c>
      <c r="C166">
        <v>367.16</v>
      </c>
      <c r="D166">
        <v>6.79</v>
      </c>
      <c r="E166">
        <v>2.4500000000000002</v>
      </c>
      <c r="F166">
        <v>3.24</v>
      </c>
      <c r="G166">
        <v>18.11</v>
      </c>
      <c r="H166">
        <v>4.2</v>
      </c>
      <c r="I166">
        <v>58.38</v>
      </c>
      <c r="J166">
        <v>9.57</v>
      </c>
      <c r="K166">
        <v>56.87</v>
      </c>
      <c r="L166">
        <v>61.56</v>
      </c>
      <c r="M166">
        <v>343.68</v>
      </c>
      <c r="N166">
        <v>37.700000000000003</v>
      </c>
      <c r="O166">
        <v>39.159999999999997</v>
      </c>
      <c r="P166">
        <v>19.04</v>
      </c>
      <c r="Q166">
        <v>27.73</v>
      </c>
      <c r="R166">
        <v>40.479999999999997</v>
      </c>
      <c r="S166">
        <v>174.84</v>
      </c>
      <c r="T166">
        <v>68.260000000000005</v>
      </c>
      <c r="U166">
        <v>145.12</v>
      </c>
      <c r="V166">
        <v>44.59</v>
      </c>
      <c r="W166">
        <v>135.68</v>
      </c>
      <c r="X166">
        <v>63.24</v>
      </c>
      <c r="Y166">
        <v>47.08</v>
      </c>
      <c r="Z166">
        <v>414.78</v>
      </c>
      <c r="AA166">
        <v>0.89</v>
      </c>
      <c r="AB166">
        <v>28.8</v>
      </c>
      <c r="AC166">
        <v>76.62</v>
      </c>
      <c r="AD166">
        <v>691.96</v>
      </c>
      <c r="AE166" t="s">
        <v>220</v>
      </c>
      <c r="AF166">
        <v>58.825400000000002</v>
      </c>
      <c r="AG166">
        <v>15.5549</v>
      </c>
      <c r="AH166">
        <v>613.11</v>
      </c>
      <c r="AI166">
        <v>105.26</v>
      </c>
      <c r="AJ166">
        <v>108.12</v>
      </c>
      <c r="AK166">
        <v>117.76</v>
      </c>
      <c r="AL166">
        <v>204.08</v>
      </c>
      <c r="AM166">
        <v>51.4</v>
      </c>
      <c r="AN166">
        <v>24.135100000000001</v>
      </c>
      <c r="AO166">
        <v>53.94</v>
      </c>
      <c r="AP166">
        <v>4.8600000000000003</v>
      </c>
      <c r="AQ166">
        <v>107.6</v>
      </c>
      <c r="AR166">
        <v>79.19</v>
      </c>
      <c r="AS166">
        <v>79.62</v>
      </c>
      <c r="AT166">
        <v>5.07</v>
      </c>
      <c r="AU166">
        <v>278.91000000000003</v>
      </c>
      <c r="AV166">
        <v>203.89</v>
      </c>
      <c r="AW166">
        <v>105.06</v>
      </c>
    </row>
    <row r="167" spans="2:49">
      <c r="B167" s="13">
        <v>46065</v>
      </c>
      <c r="C167">
        <v>369.46</v>
      </c>
      <c r="D167">
        <v>6.8</v>
      </c>
      <c r="E167">
        <v>2.4500000000000002</v>
      </c>
      <c r="F167">
        <v>3.15</v>
      </c>
      <c r="G167">
        <v>17.7</v>
      </c>
      <c r="H167">
        <v>4.16</v>
      </c>
      <c r="I167">
        <v>56.86</v>
      </c>
      <c r="J167">
        <v>9.2799999999999994</v>
      </c>
      <c r="K167">
        <v>56.16</v>
      </c>
      <c r="L167">
        <v>60.86</v>
      </c>
      <c r="M167">
        <v>341.05</v>
      </c>
      <c r="N167">
        <v>37.17</v>
      </c>
      <c r="O167">
        <v>38.49</v>
      </c>
      <c r="P167">
        <v>18.38</v>
      </c>
      <c r="Q167">
        <v>27.47</v>
      </c>
      <c r="R167">
        <v>37.54</v>
      </c>
      <c r="S167">
        <v>172.75</v>
      </c>
      <c r="T167">
        <v>67.63</v>
      </c>
      <c r="U167">
        <v>138.38</v>
      </c>
      <c r="V167">
        <v>45.25</v>
      </c>
      <c r="W167">
        <v>129.13</v>
      </c>
      <c r="X167">
        <v>63.46</v>
      </c>
      <c r="Y167">
        <v>46.68</v>
      </c>
      <c r="Z167">
        <v>406.11</v>
      </c>
      <c r="AA167">
        <v>0.84</v>
      </c>
      <c r="AB167">
        <v>28.68</v>
      </c>
      <c r="AC167">
        <v>75.75</v>
      </c>
      <c r="AD167">
        <v>681.27</v>
      </c>
      <c r="AE167">
        <v>7.25</v>
      </c>
      <c r="AF167">
        <v>58.6768</v>
      </c>
      <c r="AG167">
        <v>15.16</v>
      </c>
      <c r="AH167">
        <v>600.64</v>
      </c>
      <c r="AI167">
        <v>104.15</v>
      </c>
      <c r="AJ167">
        <v>102.38</v>
      </c>
      <c r="AK167">
        <v>116.13</v>
      </c>
      <c r="AL167">
        <v>199.6</v>
      </c>
      <c r="AM167">
        <v>48.26</v>
      </c>
      <c r="AN167">
        <v>23.75</v>
      </c>
      <c r="AO167">
        <v>52.6</v>
      </c>
      <c r="AP167">
        <v>4.92</v>
      </c>
      <c r="AQ167">
        <v>108.26</v>
      </c>
      <c r="AR167">
        <v>76.7</v>
      </c>
      <c r="AS167">
        <v>75.86</v>
      </c>
      <c r="AT167">
        <v>4.95</v>
      </c>
      <c r="AU167">
        <v>284.37</v>
      </c>
      <c r="AV167">
        <v>190.36</v>
      </c>
      <c r="AW167">
        <v>101.12</v>
      </c>
    </row>
    <row r="168" spans="2:49">
      <c r="B168" s="13">
        <v>46066</v>
      </c>
      <c r="C168">
        <v>374.72</v>
      </c>
      <c r="D168">
        <v>6.77</v>
      </c>
      <c r="E168">
        <v>2.4500000000000002</v>
      </c>
      <c r="F168">
        <v>3.18</v>
      </c>
      <c r="G168">
        <v>17.940000000000001</v>
      </c>
      <c r="H168">
        <v>4.1399999999999997</v>
      </c>
      <c r="I168">
        <v>57.92</v>
      </c>
      <c r="J168">
        <v>9.16</v>
      </c>
      <c r="K168">
        <v>55.61</v>
      </c>
      <c r="L168">
        <v>61.12</v>
      </c>
      <c r="M168">
        <v>329.81</v>
      </c>
      <c r="N168">
        <v>36.61</v>
      </c>
      <c r="O168">
        <v>38.06</v>
      </c>
      <c r="P168">
        <v>18.420000000000002</v>
      </c>
      <c r="Q168">
        <v>27.58</v>
      </c>
      <c r="R168">
        <v>37.96</v>
      </c>
      <c r="S168">
        <v>174.17</v>
      </c>
      <c r="T168">
        <v>67.37</v>
      </c>
      <c r="U168">
        <v>137.01</v>
      </c>
      <c r="V168">
        <v>46.5</v>
      </c>
      <c r="W168">
        <v>131.41</v>
      </c>
      <c r="X168">
        <v>63.79</v>
      </c>
      <c r="Y168">
        <v>46.7</v>
      </c>
      <c r="Z168">
        <v>407.72</v>
      </c>
      <c r="AA168">
        <v>0.83</v>
      </c>
      <c r="AB168">
        <v>28.3</v>
      </c>
      <c r="AC168">
        <v>76.17</v>
      </c>
      <c r="AD168">
        <v>681.75</v>
      </c>
      <c r="AE168">
        <v>7.15</v>
      </c>
      <c r="AF168">
        <v>58.985399999999998</v>
      </c>
      <c r="AG168">
        <v>15.035</v>
      </c>
      <c r="AH168">
        <v>601.91999999999996</v>
      </c>
      <c r="AI168">
        <v>104.61</v>
      </c>
      <c r="AJ168">
        <v>105.45</v>
      </c>
      <c r="AK168">
        <v>116.18</v>
      </c>
      <c r="AL168">
        <v>198.79</v>
      </c>
      <c r="AM168">
        <v>48.47</v>
      </c>
      <c r="AN168">
        <v>23.844999999999999</v>
      </c>
      <c r="AO168">
        <v>53.16</v>
      </c>
      <c r="AP168">
        <v>4.96</v>
      </c>
      <c r="AQ168">
        <v>109.41</v>
      </c>
      <c r="AR168">
        <v>77</v>
      </c>
      <c r="AS168">
        <v>76.87</v>
      </c>
      <c r="AT168">
        <v>4.95</v>
      </c>
      <c r="AU168">
        <v>293.19</v>
      </c>
      <c r="AV168">
        <v>193.67</v>
      </c>
      <c r="AW168">
        <v>101.73</v>
      </c>
    </row>
    <row r="169" spans="2:49">
      <c r="B169" s="13">
        <v>46067</v>
      </c>
      <c r="C169" t="s">
        <v>220</v>
      </c>
      <c r="D169" t="s">
        <v>220</v>
      </c>
      <c r="E169" t="s">
        <v>220</v>
      </c>
      <c r="F169" t="s">
        <v>220</v>
      </c>
      <c r="G169" t="s">
        <v>220</v>
      </c>
      <c r="H169" t="s">
        <v>220</v>
      </c>
      <c r="I169" t="s">
        <v>220</v>
      </c>
      <c r="J169" t="s">
        <v>220</v>
      </c>
      <c r="K169" t="s">
        <v>220</v>
      </c>
      <c r="L169" t="s">
        <v>220</v>
      </c>
      <c r="M169" t="s">
        <v>220</v>
      </c>
      <c r="N169" t="s">
        <v>220</v>
      </c>
      <c r="O169" t="s">
        <v>220</v>
      </c>
      <c r="P169" t="s">
        <v>220</v>
      </c>
      <c r="Q169" t="s">
        <v>220</v>
      </c>
      <c r="R169" t="s">
        <v>220</v>
      </c>
      <c r="S169" t="s">
        <v>220</v>
      </c>
      <c r="T169" t="s">
        <v>220</v>
      </c>
      <c r="U169" t="s">
        <v>220</v>
      </c>
      <c r="V169" t="s">
        <v>220</v>
      </c>
      <c r="W169" t="s">
        <v>220</v>
      </c>
      <c r="X169" t="s">
        <v>220</v>
      </c>
      <c r="Y169" t="s">
        <v>220</v>
      </c>
      <c r="Z169" t="s">
        <v>220</v>
      </c>
      <c r="AA169" t="s">
        <v>220</v>
      </c>
      <c r="AB169" t="s">
        <v>220</v>
      </c>
      <c r="AC169" t="s">
        <v>220</v>
      </c>
      <c r="AD169" t="s">
        <v>220</v>
      </c>
      <c r="AE169" t="s">
        <v>220</v>
      </c>
      <c r="AF169" t="s">
        <v>220</v>
      </c>
      <c r="AG169" t="s">
        <v>220</v>
      </c>
      <c r="AH169" t="s">
        <v>220</v>
      </c>
      <c r="AI169" t="s">
        <v>220</v>
      </c>
      <c r="AJ169" t="s">
        <v>220</v>
      </c>
      <c r="AK169" t="s">
        <v>220</v>
      </c>
      <c r="AL169" t="s">
        <v>220</v>
      </c>
      <c r="AM169" t="s">
        <v>220</v>
      </c>
      <c r="AN169" t="s">
        <v>220</v>
      </c>
      <c r="AO169" t="s">
        <v>220</v>
      </c>
      <c r="AP169" t="s">
        <v>220</v>
      </c>
      <c r="AQ169" t="s">
        <v>220</v>
      </c>
      <c r="AR169" t="s">
        <v>220</v>
      </c>
      <c r="AS169" t="s">
        <v>220</v>
      </c>
      <c r="AT169" t="s">
        <v>220</v>
      </c>
      <c r="AU169" t="s">
        <v>220</v>
      </c>
      <c r="AV169" t="s">
        <v>220</v>
      </c>
      <c r="AW169" t="s">
        <v>220</v>
      </c>
    </row>
    <row r="170" spans="2:49">
      <c r="B170" s="13">
        <v>46068</v>
      </c>
      <c r="C170" t="s">
        <v>220</v>
      </c>
      <c r="D170" t="s">
        <v>220</v>
      </c>
      <c r="E170" t="s">
        <v>220</v>
      </c>
      <c r="F170" t="s">
        <v>220</v>
      </c>
      <c r="G170" t="s">
        <v>220</v>
      </c>
      <c r="H170" t="s">
        <v>220</v>
      </c>
      <c r="I170" t="s">
        <v>220</v>
      </c>
      <c r="J170" t="s">
        <v>220</v>
      </c>
      <c r="K170" t="s">
        <v>220</v>
      </c>
      <c r="L170" t="s">
        <v>220</v>
      </c>
      <c r="M170" t="s">
        <v>220</v>
      </c>
      <c r="N170" t="s">
        <v>220</v>
      </c>
      <c r="O170" t="s">
        <v>220</v>
      </c>
      <c r="P170" t="s">
        <v>220</v>
      </c>
      <c r="Q170" t="s">
        <v>220</v>
      </c>
      <c r="R170" t="s">
        <v>220</v>
      </c>
      <c r="S170" t="s">
        <v>220</v>
      </c>
      <c r="T170" t="s">
        <v>220</v>
      </c>
      <c r="U170" t="s">
        <v>220</v>
      </c>
      <c r="V170" t="s">
        <v>220</v>
      </c>
      <c r="W170" t="s">
        <v>220</v>
      </c>
      <c r="X170" t="s">
        <v>220</v>
      </c>
      <c r="Y170" t="s">
        <v>220</v>
      </c>
      <c r="Z170" t="s">
        <v>220</v>
      </c>
      <c r="AA170" t="s">
        <v>220</v>
      </c>
      <c r="AB170" t="s">
        <v>220</v>
      </c>
      <c r="AC170" t="s">
        <v>220</v>
      </c>
      <c r="AD170" t="s">
        <v>220</v>
      </c>
      <c r="AE170" t="s">
        <v>220</v>
      </c>
      <c r="AF170" t="s">
        <v>220</v>
      </c>
      <c r="AG170" t="s">
        <v>220</v>
      </c>
      <c r="AH170" t="s">
        <v>220</v>
      </c>
      <c r="AI170" t="s">
        <v>220</v>
      </c>
      <c r="AJ170" t="s">
        <v>220</v>
      </c>
      <c r="AK170" t="s">
        <v>220</v>
      </c>
      <c r="AL170" t="s">
        <v>220</v>
      </c>
      <c r="AM170" t="s">
        <v>220</v>
      </c>
      <c r="AN170" t="s">
        <v>220</v>
      </c>
      <c r="AO170" t="s">
        <v>220</v>
      </c>
      <c r="AP170" t="s">
        <v>220</v>
      </c>
      <c r="AQ170" t="s">
        <v>220</v>
      </c>
      <c r="AR170" t="s">
        <v>220</v>
      </c>
      <c r="AS170" t="s">
        <v>220</v>
      </c>
      <c r="AT170" t="s">
        <v>220</v>
      </c>
      <c r="AU170" t="s">
        <v>220</v>
      </c>
      <c r="AV170" t="s">
        <v>220</v>
      </c>
      <c r="AW170" t="s">
        <v>220</v>
      </c>
    </row>
    <row r="171" spans="2:49">
      <c r="B171" s="13">
        <v>46069</v>
      </c>
      <c r="C171" t="s">
        <v>220</v>
      </c>
      <c r="D171">
        <v>6.75</v>
      </c>
      <c r="E171" t="s">
        <v>220</v>
      </c>
      <c r="F171">
        <v>3.09</v>
      </c>
      <c r="G171" t="s">
        <v>220</v>
      </c>
      <c r="H171">
        <v>4.0999999999999996</v>
      </c>
      <c r="I171" t="s">
        <v>220</v>
      </c>
      <c r="J171" t="s">
        <v>220</v>
      </c>
      <c r="K171" t="s">
        <v>220</v>
      </c>
      <c r="L171" t="s">
        <v>220</v>
      </c>
      <c r="M171" t="s">
        <v>220</v>
      </c>
      <c r="N171" t="s">
        <v>220</v>
      </c>
      <c r="O171" t="s">
        <v>220</v>
      </c>
      <c r="P171" t="s">
        <v>220</v>
      </c>
      <c r="Q171" t="s">
        <v>220</v>
      </c>
      <c r="R171" t="s">
        <v>220</v>
      </c>
      <c r="S171" t="s">
        <v>220</v>
      </c>
      <c r="T171" t="s">
        <v>220</v>
      </c>
      <c r="U171" t="s">
        <v>220</v>
      </c>
      <c r="V171" t="s">
        <v>220</v>
      </c>
      <c r="W171" t="s">
        <v>220</v>
      </c>
      <c r="X171" t="s">
        <v>220</v>
      </c>
      <c r="Y171" t="s">
        <v>220</v>
      </c>
      <c r="Z171" t="s">
        <v>220</v>
      </c>
      <c r="AA171">
        <v>0.83</v>
      </c>
      <c r="AB171">
        <v>28.2</v>
      </c>
      <c r="AC171" t="s">
        <v>220</v>
      </c>
      <c r="AD171" t="s">
        <v>220</v>
      </c>
      <c r="AE171">
        <v>7.15</v>
      </c>
      <c r="AF171" t="s">
        <v>220</v>
      </c>
      <c r="AG171" t="s">
        <v>220</v>
      </c>
      <c r="AH171" t="s">
        <v>220</v>
      </c>
      <c r="AI171" t="s">
        <v>220</v>
      </c>
      <c r="AJ171" t="s">
        <v>220</v>
      </c>
      <c r="AK171" t="s">
        <v>220</v>
      </c>
      <c r="AL171" t="s">
        <v>220</v>
      </c>
      <c r="AM171" t="s">
        <v>220</v>
      </c>
      <c r="AN171" t="s">
        <v>220</v>
      </c>
      <c r="AO171" t="s">
        <v>220</v>
      </c>
      <c r="AP171" t="s">
        <v>220</v>
      </c>
      <c r="AQ171" t="s">
        <v>220</v>
      </c>
      <c r="AR171" t="s">
        <v>220</v>
      </c>
      <c r="AS171" t="s">
        <v>220</v>
      </c>
      <c r="AT171" t="s">
        <v>220</v>
      </c>
      <c r="AU171" t="s">
        <v>220</v>
      </c>
      <c r="AV171" t="s">
        <v>220</v>
      </c>
      <c r="AW171" t="s">
        <v>220</v>
      </c>
    </row>
    <row r="172" spans="2:49">
      <c r="B172" s="13">
        <v>46070</v>
      </c>
      <c r="C172">
        <v>375.3</v>
      </c>
      <c r="D172">
        <v>6.71</v>
      </c>
      <c r="E172">
        <v>2.38</v>
      </c>
      <c r="F172">
        <v>3</v>
      </c>
      <c r="G172">
        <v>17.84</v>
      </c>
      <c r="H172">
        <v>4.1500000000000004</v>
      </c>
      <c r="I172">
        <v>59.87</v>
      </c>
      <c r="J172">
        <v>9.17</v>
      </c>
      <c r="K172">
        <v>56.5</v>
      </c>
      <c r="L172">
        <v>60.87</v>
      </c>
      <c r="M172">
        <v>333.18</v>
      </c>
      <c r="N172">
        <v>37.33</v>
      </c>
      <c r="O172">
        <v>37.74</v>
      </c>
      <c r="P172">
        <v>18.73</v>
      </c>
      <c r="Q172">
        <v>27.37</v>
      </c>
      <c r="R172">
        <v>37.340000000000003</v>
      </c>
      <c r="S172">
        <v>175.08</v>
      </c>
      <c r="T172">
        <v>67.88</v>
      </c>
      <c r="U172">
        <v>137.33000000000001</v>
      </c>
      <c r="V172">
        <v>46.38</v>
      </c>
      <c r="W172">
        <v>133.02000000000001</v>
      </c>
      <c r="X172">
        <v>64.44</v>
      </c>
      <c r="Y172">
        <v>47.05</v>
      </c>
      <c r="Z172">
        <v>407.51</v>
      </c>
      <c r="AA172">
        <v>0.78</v>
      </c>
      <c r="AB172">
        <v>28.15</v>
      </c>
      <c r="AC172">
        <v>75.92</v>
      </c>
      <c r="AD172">
        <v>682.85</v>
      </c>
      <c r="AE172">
        <v>7.14</v>
      </c>
      <c r="AF172">
        <v>59.2194</v>
      </c>
      <c r="AG172">
        <v>14.94</v>
      </c>
      <c r="AH172">
        <v>601.29999999999995</v>
      </c>
      <c r="AI172">
        <v>103.27</v>
      </c>
      <c r="AJ172">
        <v>105.44</v>
      </c>
      <c r="AK172">
        <v>116.04</v>
      </c>
      <c r="AL172">
        <v>201.15</v>
      </c>
      <c r="AM172">
        <v>48.35</v>
      </c>
      <c r="AN172">
        <v>23.932700000000001</v>
      </c>
      <c r="AO172">
        <v>53.26</v>
      </c>
      <c r="AP172">
        <v>4.96</v>
      </c>
      <c r="AQ172">
        <v>107.52</v>
      </c>
      <c r="AR172">
        <v>77.930000000000007</v>
      </c>
      <c r="AS172">
        <v>77</v>
      </c>
      <c r="AT172">
        <v>4.92</v>
      </c>
      <c r="AU172">
        <v>289.08999999999997</v>
      </c>
      <c r="AV172">
        <v>193.87</v>
      </c>
      <c r="AW172">
        <v>102.55</v>
      </c>
    </row>
    <row r="173" spans="2:49">
      <c r="B173" s="13">
        <v>46071</v>
      </c>
      <c r="C173">
        <v>383.08</v>
      </c>
      <c r="D173">
        <v>6.75</v>
      </c>
      <c r="E173" t="s">
        <v>220</v>
      </c>
      <c r="F173">
        <v>3.17</v>
      </c>
      <c r="G173">
        <v>17.82</v>
      </c>
      <c r="H173">
        <v>4.1900000000000004</v>
      </c>
      <c r="I173">
        <v>60.43</v>
      </c>
      <c r="J173">
        <v>9.17</v>
      </c>
      <c r="K173">
        <v>56.83</v>
      </c>
      <c r="L173">
        <v>61.19</v>
      </c>
      <c r="M173">
        <v>346</v>
      </c>
      <c r="N173">
        <v>37.619999999999997</v>
      </c>
      <c r="O173">
        <v>38.03</v>
      </c>
      <c r="P173">
        <v>19.03</v>
      </c>
      <c r="Q173">
        <v>27.37</v>
      </c>
      <c r="R173">
        <v>37.79</v>
      </c>
      <c r="S173">
        <v>175.04</v>
      </c>
      <c r="T173">
        <v>68.12</v>
      </c>
      <c r="U173">
        <v>137.87</v>
      </c>
      <c r="V173">
        <v>45.61</v>
      </c>
      <c r="W173">
        <v>135.38</v>
      </c>
      <c r="X173">
        <v>64.260000000000005</v>
      </c>
      <c r="Y173">
        <v>47.03</v>
      </c>
      <c r="Z173">
        <v>412.55</v>
      </c>
      <c r="AA173">
        <v>0.78</v>
      </c>
      <c r="AB173">
        <v>28.1</v>
      </c>
      <c r="AC173">
        <v>76.39</v>
      </c>
      <c r="AD173">
        <v>686.29</v>
      </c>
      <c r="AE173">
        <v>7.1</v>
      </c>
      <c r="AF173">
        <v>59.138500000000001</v>
      </c>
      <c r="AG173">
        <v>15.1</v>
      </c>
      <c r="AH173">
        <v>605.79</v>
      </c>
      <c r="AI173">
        <v>104.33</v>
      </c>
      <c r="AJ173">
        <v>107.1</v>
      </c>
      <c r="AK173">
        <v>117.02</v>
      </c>
      <c r="AL173">
        <v>204.79</v>
      </c>
      <c r="AM173">
        <v>49.39</v>
      </c>
      <c r="AN173">
        <v>23.9998</v>
      </c>
      <c r="AO173">
        <v>53.68</v>
      </c>
      <c r="AP173">
        <v>4.92</v>
      </c>
      <c r="AQ173">
        <v>109.9</v>
      </c>
      <c r="AR173">
        <v>77.87</v>
      </c>
      <c r="AS173">
        <v>77.989999999999995</v>
      </c>
      <c r="AT173">
        <v>4.91</v>
      </c>
      <c r="AU173">
        <v>288.2</v>
      </c>
      <c r="AV173">
        <v>199.13</v>
      </c>
      <c r="AW173">
        <v>103.6</v>
      </c>
    </row>
    <row r="174" spans="2:49">
      <c r="B174" s="13">
        <v>46072</v>
      </c>
      <c r="C174">
        <v>383.14</v>
      </c>
      <c r="D174">
        <v>6.63</v>
      </c>
      <c r="E174">
        <v>2.4500000000000002</v>
      </c>
      <c r="F174">
        <v>3.09</v>
      </c>
      <c r="G174">
        <v>17.75</v>
      </c>
      <c r="H174">
        <v>4.18</v>
      </c>
      <c r="I174">
        <v>58.52</v>
      </c>
      <c r="J174">
        <v>9.27</v>
      </c>
      <c r="K174">
        <v>56.15</v>
      </c>
      <c r="L174">
        <v>61.04</v>
      </c>
      <c r="M174">
        <v>349.4</v>
      </c>
      <c r="N174">
        <v>37.25</v>
      </c>
      <c r="O174">
        <v>38.61</v>
      </c>
      <c r="P174">
        <v>18.809999999999999</v>
      </c>
      <c r="Q174">
        <v>26.86</v>
      </c>
      <c r="R174">
        <v>38.26</v>
      </c>
      <c r="S174">
        <v>176.34</v>
      </c>
      <c r="T174">
        <v>67.81</v>
      </c>
      <c r="U174">
        <v>137.11000000000001</v>
      </c>
      <c r="V174">
        <v>46.11</v>
      </c>
      <c r="W174">
        <v>134.88999999999999</v>
      </c>
      <c r="X174">
        <v>64.16</v>
      </c>
      <c r="Y174">
        <v>46.91</v>
      </c>
      <c r="Z174">
        <v>410.2</v>
      </c>
      <c r="AA174">
        <v>0.79</v>
      </c>
      <c r="AB174">
        <v>28.3</v>
      </c>
      <c r="AC174">
        <v>76.05</v>
      </c>
      <c r="AD174">
        <v>684.48</v>
      </c>
      <c r="AE174">
        <v>7.14</v>
      </c>
      <c r="AF174">
        <v>58.981900000000003</v>
      </c>
      <c r="AG174">
        <v>15.3971</v>
      </c>
      <c r="AH174">
        <v>603.47</v>
      </c>
      <c r="AI174">
        <v>102.71</v>
      </c>
      <c r="AJ174">
        <v>106</v>
      </c>
      <c r="AK174">
        <v>116.24</v>
      </c>
      <c r="AL174">
        <v>204.86</v>
      </c>
      <c r="AM174">
        <v>48.83</v>
      </c>
      <c r="AN174">
        <v>23.914999999999999</v>
      </c>
      <c r="AO174">
        <v>53.43</v>
      </c>
      <c r="AP174">
        <v>5.04</v>
      </c>
      <c r="AQ174">
        <v>108.68</v>
      </c>
      <c r="AR174">
        <v>78.989999999999995</v>
      </c>
      <c r="AS174">
        <v>77</v>
      </c>
      <c r="AT174">
        <v>4.93</v>
      </c>
      <c r="AU174">
        <v>289.93</v>
      </c>
      <c r="AV174">
        <v>201.37</v>
      </c>
      <c r="AW174">
        <v>101.64</v>
      </c>
    </row>
    <row r="175" spans="2:49">
      <c r="B175" s="13">
        <v>46073</v>
      </c>
      <c r="C175">
        <v>388.48</v>
      </c>
      <c r="D175">
        <v>6.67</v>
      </c>
      <c r="E175">
        <v>2.4500000000000002</v>
      </c>
      <c r="F175">
        <v>3.1</v>
      </c>
      <c r="G175">
        <v>17.62</v>
      </c>
      <c r="H175">
        <v>4.22</v>
      </c>
      <c r="I175">
        <v>59.77</v>
      </c>
      <c r="J175">
        <v>9.51</v>
      </c>
      <c r="K175">
        <v>57.02</v>
      </c>
      <c r="L175">
        <v>62.34</v>
      </c>
      <c r="M175">
        <v>350.25</v>
      </c>
      <c r="N175">
        <v>37.92</v>
      </c>
      <c r="O175">
        <v>39.369999999999997</v>
      </c>
      <c r="P175">
        <v>18.91</v>
      </c>
      <c r="Q175">
        <v>26.65</v>
      </c>
      <c r="R175">
        <v>38.409999999999997</v>
      </c>
      <c r="S175">
        <v>177.23</v>
      </c>
      <c r="T175">
        <v>68.680000000000007</v>
      </c>
      <c r="U175">
        <v>135.86000000000001</v>
      </c>
      <c r="V175">
        <v>46.33</v>
      </c>
      <c r="W175">
        <v>135.24</v>
      </c>
      <c r="X175">
        <v>64.38</v>
      </c>
      <c r="Y175">
        <v>47.68</v>
      </c>
      <c r="Z175">
        <v>415.03</v>
      </c>
      <c r="AA175">
        <v>0.78</v>
      </c>
      <c r="AB175">
        <v>28.95</v>
      </c>
      <c r="AC175">
        <v>76.430000000000007</v>
      </c>
      <c r="AD175">
        <v>689.43</v>
      </c>
      <c r="AE175" t="s">
        <v>220</v>
      </c>
      <c r="AF175">
        <v>58.79</v>
      </c>
      <c r="AG175">
        <v>15.6576</v>
      </c>
      <c r="AH175">
        <v>608.80999999999995</v>
      </c>
      <c r="AI175">
        <v>103.44</v>
      </c>
      <c r="AJ175">
        <v>105.58</v>
      </c>
      <c r="AK175">
        <v>117.45</v>
      </c>
      <c r="AL175">
        <v>210.11</v>
      </c>
      <c r="AM175">
        <v>50.06</v>
      </c>
      <c r="AN175">
        <v>23.920999999999999</v>
      </c>
      <c r="AO175">
        <v>53.55</v>
      </c>
      <c r="AP175">
        <v>5.28</v>
      </c>
      <c r="AQ175">
        <v>109.02</v>
      </c>
      <c r="AR175">
        <v>79.56</v>
      </c>
      <c r="AS175">
        <v>78.67</v>
      </c>
      <c r="AT175">
        <v>5.07</v>
      </c>
      <c r="AU175">
        <v>290</v>
      </c>
      <c r="AV175">
        <v>199.72</v>
      </c>
      <c r="AW175">
        <v>101.18</v>
      </c>
    </row>
    <row r="176" spans="2:49">
      <c r="B176" s="13">
        <v>46074</v>
      </c>
      <c r="C176" t="s">
        <v>220</v>
      </c>
      <c r="D176" t="s">
        <v>220</v>
      </c>
      <c r="E176" t="s">
        <v>220</v>
      </c>
      <c r="F176" t="s">
        <v>220</v>
      </c>
      <c r="G176" t="s">
        <v>220</v>
      </c>
      <c r="H176" t="s">
        <v>220</v>
      </c>
      <c r="I176" t="s">
        <v>220</v>
      </c>
      <c r="J176" t="s">
        <v>220</v>
      </c>
      <c r="K176" t="s">
        <v>220</v>
      </c>
      <c r="L176" t="s">
        <v>220</v>
      </c>
      <c r="M176" t="s">
        <v>220</v>
      </c>
      <c r="N176" t="s">
        <v>220</v>
      </c>
      <c r="O176" t="s">
        <v>220</v>
      </c>
      <c r="P176" t="s">
        <v>220</v>
      </c>
      <c r="Q176" t="s">
        <v>220</v>
      </c>
      <c r="R176" t="s">
        <v>220</v>
      </c>
      <c r="S176" t="s">
        <v>220</v>
      </c>
      <c r="T176" t="s">
        <v>220</v>
      </c>
      <c r="U176" t="s">
        <v>220</v>
      </c>
      <c r="V176" t="s">
        <v>220</v>
      </c>
      <c r="W176" t="s">
        <v>220</v>
      </c>
      <c r="X176" t="s">
        <v>220</v>
      </c>
      <c r="Y176" t="s">
        <v>220</v>
      </c>
      <c r="Z176" t="s">
        <v>220</v>
      </c>
      <c r="AA176" t="s">
        <v>220</v>
      </c>
      <c r="AB176" t="s">
        <v>220</v>
      </c>
      <c r="AC176" t="s">
        <v>220</v>
      </c>
      <c r="AD176" t="s">
        <v>220</v>
      </c>
      <c r="AE176" t="s">
        <v>220</v>
      </c>
      <c r="AF176" t="s">
        <v>220</v>
      </c>
      <c r="AG176" t="s">
        <v>220</v>
      </c>
      <c r="AH176" t="s">
        <v>220</v>
      </c>
      <c r="AI176" t="s">
        <v>220</v>
      </c>
      <c r="AJ176" t="s">
        <v>220</v>
      </c>
      <c r="AK176" t="s">
        <v>220</v>
      </c>
      <c r="AL176" t="s">
        <v>220</v>
      </c>
      <c r="AM176" t="s">
        <v>220</v>
      </c>
      <c r="AN176" t="s">
        <v>220</v>
      </c>
      <c r="AO176" t="s">
        <v>220</v>
      </c>
      <c r="AP176" t="s">
        <v>220</v>
      </c>
      <c r="AQ176" t="s">
        <v>220</v>
      </c>
      <c r="AR176" t="s">
        <v>220</v>
      </c>
      <c r="AS176" t="s">
        <v>220</v>
      </c>
      <c r="AT176" t="s">
        <v>220</v>
      </c>
      <c r="AU176" t="s">
        <v>220</v>
      </c>
      <c r="AV176" t="s">
        <v>220</v>
      </c>
      <c r="AW176" t="s">
        <v>220</v>
      </c>
    </row>
    <row r="177" spans="2:49">
      <c r="B177" s="13">
        <v>46075</v>
      </c>
      <c r="C177" t="s">
        <v>220</v>
      </c>
      <c r="D177" t="s">
        <v>220</v>
      </c>
      <c r="E177" t="s">
        <v>220</v>
      </c>
      <c r="F177" t="s">
        <v>220</v>
      </c>
      <c r="G177" t="s">
        <v>220</v>
      </c>
      <c r="H177" t="s">
        <v>220</v>
      </c>
      <c r="I177" t="s">
        <v>220</v>
      </c>
      <c r="J177" t="s">
        <v>220</v>
      </c>
      <c r="K177" t="s">
        <v>220</v>
      </c>
      <c r="L177" t="s">
        <v>220</v>
      </c>
      <c r="M177" t="s">
        <v>220</v>
      </c>
      <c r="N177" t="s">
        <v>220</v>
      </c>
      <c r="O177" t="s">
        <v>220</v>
      </c>
      <c r="P177" t="s">
        <v>220</v>
      </c>
      <c r="Q177" t="s">
        <v>220</v>
      </c>
      <c r="R177" t="s">
        <v>220</v>
      </c>
      <c r="S177" t="s">
        <v>220</v>
      </c>
      <c r="T177" t="s">
        <v>220</v>
      </c>
      <c r="U177" t="s">
        <v>220</v>
      </c>
      <c r="V177" t="s">
        <v>220</v>
      </c>
      <c r="W177" t="s">
        <v>220</v>
      </c>
      <c r="X177" t="s">
        <v>220</v>
      </c>
      <c r="Y177" t="s">
        <v>220</v>
      </c>
      <c r="Z177" t="s">
        <v>220</v>
      </c>
      <c r="AA177" t="s">
        <v>220</v>
      </c>
      <c r="AB177" t="s">
        <v>220</v>
      </c>
      <c r="AC177" t="s">
        <v>220</v>
      </c>
      <c r="AD177" t="s">
        <v>220</v>
      </c>
      <c r="AE177" t="s">
        <v>220</v>
      </c>
      <c r="AF177" t="s">
        <v>220</v>
      </c>
      <c r="AG177" t="s">
        <v>220</v>
      </c>
      <c r="AH177" t="s">
        <v>220</v>
      </c>
      <c r="AI177" t="s">
        <v>220</v>
      </c>
      <c r="AJ177" t="s">
        <v>220</v>
      </c>
      <c r="AK177" t="s">
        <v>220</v>
      </c>
      <c r="AL177" t="s">
        <v>220</v>
      </c>
      <c r="AM177" t="s">
        <v>220</v>
      </c>
      <c r="AN177" t="s">
        <v>220</v>
      </c>
      <c r="AO177" t="s">
        <v>220</v>
      </c>
      <c r="AP177" t="s">
        <v>220</v>
      </c>
      <c r="AQ177" t="s">
        <v>220</v>
      </c>
      <c r="AR177" t="s">
        <v>220</v>
      </c>
      <c r="AS177" t="s">
        <v>220</v>
      </c>
      <c r="AT177" t="s">
        <v>220</v>
      </c>
      <c r="AU177" t="s">
        <v>220</v>
      </c>
      <c r="AV177" t="s">
        <v>220</v>
      </c>
      <c r="AW177" t="s">
        <v>220</v>
      </c>
    </row>
    <row r="178" spans="2:49">
      <c r="B178" s="13">
        <v>46076</v>
      </c>
      <c r="C178">
        <v>383.71</v>
      </c>
      <c r="D178">
        <v>6.89</v>
      </c>
      <c r="E178">
        <v>2.5</v>
      </c>
      <c r="F178">
        <v>3.14</v>
      </c>
      <c r="G178">
        <v>17.559999999999999</v>
      </c>
      <c r="H178">
        <v>4.2</v>
      </c>
      <c r="I178">
        <v>60.09</v>
      </c>
      <c r="J178">
        <v>9.17</v>
      </c>
      <c r="K178">
        <v>57.28</v>
      </c>
      <c r="L178">
        <v>61.65</v>
      </c>
      <c r="M178">
        <v>344.47</v>
      </c>
      <c r="N178">
        <v>37.700000000000003</v>
      </c>
      <c r="O178">
        <v>38.770000000000003</v>
      </c>
      <c r="P178">
        <v>18.98</v>
      </c>
      <c r="Q178">
        <v>27.06</v>
      </c>
      <c r="R178">
        <v>38.64</v>
      </c>
      <c r="S178">
        <v>174.83</v>
      </c>
      <c r="T178">
        <v>68.430000000000007</v>
      </c>
      <c r="U178">
        <v>133.935</v>
      </c>
      <c r="V178">
        <v>46.68</v>
      </c>
      <c r="W178">
        <v>130.6</v>
      </c>
      <c r="X178">
        <v>64.31</v>
      </c>
      <c r="Y178">
        <v>47.49</v>
      </c>
      <c r="Z178">
        <v>412.88</v>
      </c>
      <c r="AA178">
        <v>0.79</v>
      </c>
      <c r="AB178">
        <v>28.8</v>
      </c>
      <c r="AC178">
        <v>75.55</v>
      </c>
      <c r="AD178">
        <v>682.39</v>
      </c>
      <c r="AE178">
        <v>7.01</v>
      </c>
      <c r="AF178">
        <v>58.897599999999997</v>
      </c>
      <c r="AG178">
        <v>15.55</v>
      </c>
      <c r="AH178">
        <v>601.41</v>
      </c>
      <c r="AI178">
        <v>100.88</v>
      </c>
      <c r="AJ178">
        <v>104.41</v>
      </c>
      <c r="AK178">
        <v>114.99</v>
      </c>
      <c r="AL178">
        <v>205.27</v>
      </c>
      <c r="AM178">
        <v>48.24</v>
      </c>
      <c r="AN178">
        <v>23.781199999999998</v>
      </c>
      <c r="AO178">
        <v>53.28</v>
      </c>
      <c r="AP178">
        <v>5.1100000000000003</v>
      </c>
      <c r="AQ178">
        <v>110.51</v>
      </c>
      <c r="AR178">
        <v>80.45</v>
      </c>
      <c r="AS178">
        <v>76.02</v>
      </c>
      <c r="AT178">
        <v>5.29</v>
      </c>
      <c r="AU178">
        <v>282.33999999999997</v>
      </c>
      <c r="AV178">
        <v>195.59</v>
      </c>
      <c r="AW178">
        <v>92.19</v>
      </c>
    </row>
    <row r="179" spans="2:49">
      <c r="B179" s="13">
        <v>46077</v>
      </c>
      <c r="C179">
        <v>386.56</v>
      </c>
      <c r="D179">
        <v>6.86</v>
      </c>
      <c r="E179">
        <v>2.57</v>
      </c>
      <c r="F179">
        <v>3.13</v>
      </c>
      <c r="G179">
        <v>18.73</v>
      </c>
      <c r="H179">
        <v>4.2</v>
      </c>
      <c r="I179">
        <v>60.53</v>
      </c>
      <c r="J179">
        <v>9.33</v>
      </c>
      <c r="K179">
        <v>57.15</v>
      </c>
      <c r="L179">
        <v>62.62</v>
      </c>
      <c r="M179">
        <v>352.43</v>
      </c>
      <c r="N179">
        <v>37.450000000000003</v>
      </c>
      <c r="O179">
        <v>39.47</v>
      </c>
      <c r="P179">
        <v>19.190000000000001</v>
      </c>
      <c r="Q179">
        <v>27.14</v>
      </c>
      <c r="R179">
        <v>38.89</v>
      </c>
      <c r="S179">
        <v>176.98</v>
      </c>
      <c r="T179">
        <v>68.540000000000006</v>
      </c>
      <c r="U179">
        <v>133.63</v>
      </c>
      <c r="V179">
        <v>47.2</v>
      </c>
      <c r="W179">
        <v>128.84</v>
      </c>
      <c r="X179">
        <v>64.819999999999993</v>
      </c>
      <c r="Y179">
        <v>47.62</v>
      </c>
      <c r="Z179">
        <v>419.16</v>
      </c>
      <c r="AA179">
        <v>0.81</v>
      </c>
      <c r="AB179">
        <v>28.65</v>
      </c>
      <c r="AC179">
        <v>75.83</v>
      </c>
      <c r="AD179">
        <v>687.35</v>
      </c>
      <c r="AE179" t="s">
        <v>220</v>
      </c>
      <c r="AF179">
        <v>58.975000000000001</v>
      </c>
      <c r="AG179">
        <v>15.892799999999999</v>
      </c>
      <c r="AH179">
        <v>607.87</v>
      </c>
      <c r="AI179">
        <v>100.39</v>
      </c>
      <c r="AJ179">
        <v>106.05</v>
      </c>
      <c r="AK179">
        <v>116.74</v>
      </c>
      <c r="AL179">
        <v>208.56</v>
      </c>
      <c r="AM179">
        <v>49.78</v>
      </c>
      <c r="AN179">
        <v>23.883400000000002</v>
      </c>
      <c r="AO179">
        <v>53.08</v>
      </c>
      <c r="AP179">
        <v>5.14</v>
      </c>
      <c r="AQ179">
        <v>111.11</v>
      </c>
      <c r="AR179">
        <v>75.73</v>
      </c>
      <c r="AS179">
        <v>78.040000000000006</v>
      </c>
      <c r="AT179">
        <v>5.3</v>
      </c>
      <c r="AU179">
        <v>273.95</v>
      </c>
      <c r="AV179">
        <v>204.19</v>
      </c>
      <c r="AW179">
        <v>95.72</v>
      </c>
    </row>
    <row r="180" spans="2:49">
      <c r="B180" s="13">
        <v>46078</v>
      </c>
      <c r="C180">
        <v>382.59</v>
      </c>
      <c r="D180">
        <v>6.86</v>
      </c>
      <c r="E180">
        <v>2.57</v>
      </c>
      <c r="F180">
        <v>3.16</v>
      </c>
      <c r="G180">
        <v>18.18</v>
      </c>
      <c r="H180">
        <v>4.18</v>
      </c>
      <c r="I180">
        <v>59.31</v>
      </c>
      <c r="J180">
        <v>9.26</v>
      </c>
      <c r="K180">
        <v>58.26</v>
      </c>
      <c r="L180">
        <v>63.31</v>
      </c>
      <c r="M180">
        <v>355.14</v>
      </c>
      <c r="N180">
        <v>38.21</v>
      </c>
      <c r="O180">
        <v>39.590000000000003</v>
      </c>
      <c r="P180">
        <v>19.09</v>
      </c>
      <c r="Q180">
        <v>27.09</v>
      </c>
      <c r="R180">
        <v>40.01</v>
      </c>
      <c r="S180">
        <v>175.6</v>
      </c>
      <c r="T180">
        <v>69.23</v>
      </c>
      <c r="U180">
        <v>132.65</v>
      </c>
      <c r="V180">
        <v>47.36</v>
      </c>
      <c r="W180">
        <v>134.19</v>
      </c>
      <c r="X180">
        <v>64.849999999999994</v>
      </c>
      <c r="Y180">
        <v>48.02</v>
      </c>
      <c r="Z180">
        <v>426.16</v>
      </c>
      <c r="AA180">
        <v>0.82</v>
      </c>
      <c r="AB180">
        <v>28.4</v>
      </c>
      <c r="AC180">
        <v>76.11</v>
      </c>
      <c r="AD180">
        <v>693.15</v>
      </c>
      <c r="AE180">
        <v>7</v>
      </c>
      <c r="AF180">
        <v>58.879800000000003</v>
      </c>
      <c r="AG180">
        <v>15.85</v>
      </c>
      <c r="AH180">
        <v>616.67999999999995</v>
      </c>
      <c r="AI180">
        <v>100.86</v>
      </c>
      <c r="AJ180">
        <v>105.05</v>
      </c>
      <c r="AK180">
        <v>117.09</v>
      </c>
      <c r="AL180">
        <v>210.64</v>
      </c>
      <c r="AM180">
        <v>51.87</v>
      </c>
      <c r="AN180">
        <v>23.968499999999999</v>
      </c>
      <c r="AO180">
        <v>53.3</v>
      </c>
      <c r="AP180">
        <v>5.07</v>
      </c>
      <c r="AQ180">
        <v>109.21</v>
      </c>
      <c r="AR180">
        <v>74.37</v>
      </c>
      <c r="AS180">
        <v>82.7</v>
      </c>
      <c r="AT180">
        <v>5.19</v>
      </c>
      <c r="AU180">
        <v>284.2</v>
      </c>
      <c r="AV180">
        <v>207.31</v>
      </c>
      <c r="AW180">
        <v>96.63</v>
      </c>
    </row>
    <row r="181" spans="2:49">
      <c r="B181" s="13">
        <v>46079</v>
      </c>
      <c r="C181">
        <v>387.68</v>
      </c>
      <c r="D181">
        <v>6.76</v>
      </c>
      <c r="E181">
        <v>2.57</v>
      </c>
      <c r="F181">
        <v>3.15</v>
      </c>
      <c r="G181">
        <v>17.760000000000002</v>
      </c>
      <c r="H181">
        <v>4.17</v>
      </c>
      <c r="I181">
        <v>57.58</v>
      </c>
      <c r="J181">
        <v>9.26</v>
      </c>
      <c r="K181">
        <v>58.12</v>
      </c>
      <c r="L181">
        <v>62.71</v>
      </c>
      <c r="M181">
        <v>355.48</v>
      </c>
      <c r="N181">
        <v>38.28</v>
      </c>
      <c r="O181">
        <v>39.1</v>
      </c>
      <c r="P181">
        <v>18.670000000000002</v>
      </c>
      <c r="Q181">
        <v>27.1</v>
      </c>
      <c r="R181">
        <v>41.13</v>
      </c>
      <c r="S181">
        <v>176.7</v>
      </c>
      <c r="T181">
        <v>69.06</v>
      </c>
      <c r="U181">
        <v>125.15</v>
      </c>
      <c r="V181">
        <v>47.18</v>
      </c>
      <c r="W181">
        <v>135.94</v>
      </c>
      <c r="X181">
        <v>64.63</v>
      </c>
      <c r="Y181">
        <v>48.35</v>
      </c>
      <c r="Z181">
        <v>412.01</v>
      </c>
      <c r="AA181">
        <v>0.8</v>
      </c>
      <c r="AB181">
        <v>28.5</v>
      </c>
      <c r="AC181">
        <v>76.180000000000007</v>
      </c>
      <c r="AD181">
        <v>689.3</v>
      </c>
      <c r="AE181">
        <v>7</v>
      </c>
      <c r="AF181">
        <v>58.615000000000002</v>
      </c>
      <c r="AG181">
        <v>15.92</v>
      </c>
      <c r="AH181">
        <v>609.24</v>
      </c>
      <c r="AI181">
        <v>102.31</v>
      </c>
      <c r="AJ181">
        <v>105.55</v>
      </c>
      <c r="AK181">
        <v>117.05</v>
      </c>
      <c r="AL181">
        <v>207.92</v>
      </c>
      <c r="AM181">
        <v>50.05</v>
      </c>
      <c r="AN181">
        <v>23.4724</v>
      </c>
      <c r="AO181">
        <v>52.28</v>
      </c>
      <c r="AP181">
        <v>5.32</v>
      </c>
      <c r="AQ181">
        <v>110.38</v>
      </c>
      <c r="AR181">
        <v>69.099999999999994</v>
      </c>
      <c r="AS181">
        <v>84.59</v>
      </c>
      <c r="AT181">
        <v>5.09</v>
      </c>
      <c r="AU181">
        <v>286.66000000000003</v>
      </c>
      <c r="AV181">
        <v>213.29</v>
      </c>
      <c r="AW181">
        <v>93.62</v>
      </c>
    </row>
    <row r="182" spans="2:49">
      <c r="B182" s="13">
        <v>46080</v>
      </c>
      <c r="C182">
        <v>387</v>
      </c>
      <c r="D182">
        <v>6.81</v>
      </c>
      <c r="E182">
        <v>2.5499999999999998</v>
      </c>
      <c r="F182">
        <v>3.12</v>
      </c>
      <c r="G182">
        <v>17.559999999999999</v>
      </c>
      <c r="H182">
        <v>4.1500000000000004</v>
      </c>
      <c r="I182">
        <v>55</v>
      </c>
      <c r="J182">
        <v>9.0500000000000007</v>
      </c>
      <c r="K182">
        <v>57.24</v>
      </c>
      <c r="L182">
        <v>62.58</v>
      </c>
      <c r="M182">
        <v>346.38</v>
      </c>
      <c r="N182">
        <v>37.71</v>
      </c>
      <c r="O182">
        <v>38.729999999999997</v>
      </c>
      <c r="P182">
        <v>18.22</v>
      </c>
      <c r="Q182">
        <v>27.65</v>
      </c>
      <c r="R182">
        <v>43.67</v>
      </c>
      <c r="S182">
        <v>177.14</v>
      </c>
      <c r="T182">
        <v>68.58</v>
      </c>
      <c r="U182">
        <v>124.44</v>
      </c>
      <c r="V182">
        <v>47.73</v>
      </c>
      <c r="W182">
        <v>137.19</v>
      </c>
      <c r="X182">
        <v>65.08</v>
      </c>
      <c r="Y182">
        <v>47.87</v>
      </c>
      <c r="Z182">
        <v>406.37</v>
      </c>
      <c r="AA182">
        <v>0.8</v>
      </c>
      <c r="AB182">
        <v>28.5</v>
      </c>
      <c r="AC182">
        <v>75.900000000000006</v>
      </c>
      <c r="AD182">
        <v>685.99</v>
      </c>
      <c r="AE182">
        <v>7.05</v>
      </c>
      <c r="AF182">
        <v>59.177799999999998</v>
      </c>
      <c r="AG182">
        <v>15.5724</v>
      </c>
      <c r="AH182">
        <v>607.29</v>
      </c>
      <c r="AI182">
        <v>98.38</v>
      </c>
      <c r="AJ182">
        <v>106.04</v>
      </c>
      <c r="AK182">
        <v>116.86</v>
      </c>
      <c r="AL182">
        <v>210</v>
      </c>
      <c r="AM182">
        <v>49.52</v>
      </c>
      <c r="AN182">
        <v>23.324300000000001</v>
      </c>
      <c r="AO182">
        <v>52.07</v>
      </c>
      <c r="AP182">
        <v>5.34</v>
      </c>
      <c r="AQ182">
        <v>111.44</v>
      </c>
      <c r="AR182">
        <v>67.88</v>
      </c>
      <c r="AS182">
        <v>96.24</v>
      </c>
      <c r="AT182">
        <v>4.87</v>
      </c>
      <c r="AU182">
        <v>293.27</v>
      </c>
      <c r="AV182">
        <v>211.48</v>
      </c>
      <c r="AW182">
        <v>87.68</v>
      </c>
    </row>
    <row r="183" spans="2:49">
      <c r="B183" s="13">
        <v>46081</v>
      </c>
      <c r="C183" t="s">
        <v>220</v>
      </c>
      <c r="D183" t="s">
        <v>220</v>
      </c>
      <c r="E183" t="s">
        <v>220</v>
      </c>
      <c r="F183" t="s">
        <v>220</v>
      </c>
      <c r="G183" t="s">
        <v>220</v>
      </c>
      <c r="H183" t="s">
        <v>220</v>
      </c>
      <c r="I183" t="s">
        <v>220</v>
      </c>
      <c r="J183" t="s">
        <v>220</v>
      </c>
      <c r="K183" t="s">
        <v>220</v>
      </c>
      <c r="L183" t="s">
        <v>220</v>
      </c>
      <c r="M183" t="s">
        <v>220</v>
      </c>
      <c r="N183" t="s">
        <v>220</v>
      </c>
      <c r="O183" t="s">
        <v>220</v>
      </c>
      <c r="P183" t="s">
        <v>220</v>
      </c>
      <c r="Q183" t="s">
        <v>220</v>
      </c>
      <c r="R183" t="s">
        <v>220</v>
      </c>
      <c r="S183" t="s">
        <v>220</v>
      </c>
      <c r="T183" t="s">
        <v>220</v>
      </c>
      <c r="U183" t="s">
        <v>220</v>
      </c>
      <c r="V183" t="s">
        <v>220</v>
      </c>
      <c r="W183" t="s">
        <v>220</v>
      </c>
      <c r="X183" t="s">
        <v>220</v>
      </c>
      <c r="Y183" t="s">
        <v>220</v>
      </c>
      <c r="Z183" t="s">
        <v>220</v>
      </c>
      <c r="AA183" t="s">
        <v>220</v>
      </c>
      <c r="AB183" t="s">
        <v>220</v>
      </c>
      <c r="AC183" t="s">
        <v>220</v>
      </c>
      <c r="AD183" t="s">
        <v>220</v>
      </c>
      <c r="AE183" t="s">
        <v>220</v>
      </c>
      <c r="AF183" t="s">
        <v>220</v>
      </c>
      <c r="AG183" t="s">
        <v>220</v>
      </c>
      <c r="AH183" t="s">
        <v>220</v>
      </c>
      <c r="AI183" t="s">
        <v>220</v>
      </c>
      <c r="AJ183" t="s">
        <v>220</v>
      </c>
      <c r="AK183" t="s">
        <v>220</v>
      </c>
      <c r="AL183" t="s">
        <v>220</v>
      </c>
      <c r="AM183" t="s">
        <v>220</v>
      </c>
      <c r="AN183" t="s">
        <v>220</v>
      </c>
      <c r="AO183" t="s">
        <v>220</v>
      </c>
      <c r="AP183" t="s">
        <v>220</v>
      </c>
      <c r="AQ183" t="s">
        <v>220</v>
      </c>
      <c r="AR183" t="s">
        <v>220</v>
      </c>
      <c r="AS183" t="s">
        <v>220</v>
      </c>
      <c r="AT183" t="s">
        <v>220</v>
      </c>
      <c r="AU183" t="s">
        <v>220</v>
      </c>
      <c r="AV183" t="s">
        <v>220</v>
      </c>
      <c r="AW183" t="s">
        <v>220</v>
      </c>
    </row>
    <row r="184" spans="2:49">
      <c r="B184" s="13">
        <v>46082</v>
      </c>
      <c r="C184" t="s">
        <v>220</v>
      </c>
      <c r="D184" t="s">
        <v>220</v>
      </c>
      <c r="E184" t="s">
        <v>220</v>
      </c>
      <c r="F184" t="s">
        <v>220</v>
      </c>
      <c r="G184" t="s">
        <v>220</v>
      </c>
      <c r="H184" t="s">
        <v>220</v>
      </c>
      <c r="I184" t="s">
        <v>220</v>
      </c>
      <c r="J184" t="s">
        <v>220</v>
      </c>
      <c r="K184" t="s">
        <v>220</v>
      </c>
      <c r="L184" t="s">
        <v>220</v>
      </c>
      <c r="M184" t="s">
        <v>220</v>
      </c>
      <c r="N184" t="s">
        <v>220</v>
      </c>
      <c r="O184" t="s">
        <v>220</v>
      </c>
      <c r="P184" t="s">
        <v>220</v>
      </c>
      <c r="Q184" t="s">
        <v>220</v>
      </c>
      <c r="R184" t="s">
        <v>220</v>
      </c>
      <c r="S184" t="s">
        <v>220</v>
      </c>
      <c r="T184" t="s">
        <v>220</v>
      </c>
      <c r="U184" t="s">
        <v>220</v>
      </c>
      <c r="V184" t="s">
        <v>220</v>
      </c>
      <c r="W184" t="s">
        <v>220</v>
      </c>
      <c r="X184" t="s">
        <v>220</v>
      </c>
      <c r="Y184" t="s">
        <v>220</v>
      </c>
      <c r="Z184" t="s">
        <v>220</v>
      </c>
      <c r="AA184" t="s">
        <v>220</v>
      </c>
      <c r="AB184" t="s">
        <v>220</v>
      </c>
      <c r="AC184" t="s">
        <v>220</v>
      </c>
      <c r="AD184" t="s">
        <v>220</v>
      </c>
      <c r="AE184" t="s">
        <v>220</v>
      </c>
      <c r="AF184" t="s">
        <v>220</v>
      </c>
      <c r="AG184" t="s">
        <v>220</v>
      </c>
      <c r="AH184" t="s">
        <v>220</v>
      </c>
      <c r="AI184" t="s">
        <v>220</v>
      </c>
      <c r="AJ184" t="s">
        <v>220</v>
      </c>
      <c r="AK184" t="s">
        <v>220</v>
      </c>
      <c r="AL184" t="s">
        <v>220</v>
      </c>
      <c r="AM184" t="s">
        <v>220</v>
      </c>
      <c r="AN184" t="s">
        <v>220</v>
      </c>
      <c r="AO184" t="s">
        <v>220</v>
      </c>
      <c r="AP184" t="s">
        <v>220</v>
      </c>
      <c r="AQ184" t="s">
        <v>220</v>
      </c>
      <c r="AR184" t="s">
        <v>220</v>
      </c>
      <c r="AS184" t="s">
        <v>220</v>
      </c>
      <c r="AT184" t="s">
        <v>220</v>
      </c>
      <c r="AU184" t="s">
        <v>220</v>
      </c>
      <c r="AV184" t="s">
        <v>220</v>
      </c>
      <c r="AW184" t="s">
        <v>220</v>
      </c>
    </row>
    <row r="185" spans="2:49">
      <c r="B185" s="13">
        <v>46083</v>
      </c>
      <c r="C185">
        <v>387.25</v>
      </c>
      <c r="D185">
        <v>6.89</v>
      </c>
      <c r="E185">
        <v>2.6</v>
      </c>
      <c r="F185">
        <v>3.12</v>
      </c>
      <c r="G185">
        <v>16.989999999999998</v>
      </c>
      <c r="H185">
        <v>4.2</v>
      </c>
      <c r="I185">
        <v>56.36</v>
      </c>
      <c r="J185">
        <v>8.86</v>
      </c>
      <c r="K185">
        <v>56.03</v>
      </c>
      <c r="L185">
        <v>61.5</v>
      </c>
      <c r="M185">
        <v>352.94</v>
      </c>
      <c r="N185">
        <v>36.69</v>
      </c>
      <c r="O185">
        <v>38.64</v>
      </c>
      <c r="P185">
        <v>18.329999999999998</v>
      </c>
      <c r="Q185">
        <v>27.26</v>
      </c>
      <c r="R185">
        <v>42.82</v>
      </c>
      <c r="S185">
        <v>178.9</v>
      </c>
      <c r="T185">
        <v>66.805000000000007</v>
      </c>
      <c r="U185">
        <v>123.56</v>
      </c>
      <c r="V185">
        <v>47.37</v>
      </c>
      <c r="W185">
        <v>145.16999999999999</v>
      </c>
      <c r="X185">
        <v>63.59</v>
      </c>
      <c r="Y185">
        <v>46.57</v>
      </c>
      <c r="Z185">
        <v>406.39</v>
      </c>
      <c r="AA185">
        <v>0.82</v>
      </c>
      <c r="AB185">
        <v>28.9</v>
      </c>
      <c r="AC185">
        <v>75.77</v>
      </c>
      <c r="AD185">
        <v>686.38</v>
      </c>
      <c r="AE185">
        <v>7.24</v>
      </c>
      <c r="AF185">
        <v>58.787199999999999</v>
      </c>
      <c r="AG185">
        <v>15.4</v>
      </c>
      <c r="AH185">
        <v>608.09</v>
      </c>
      <c r="AI185">
        <v>99.95</v>
      </c>
      <c r="AJ185">
        <v>104.33</v>
      </c>
      <c r="AK185">
        <v>115.42</v>
      </c>
      <c r="AL185">
        <v>208.39</v>
      </c>
      <c r="AM185">
        <v>49.7</v>
      </c>
      <c r="AN185">
        <v>23.0092</v>
      </c>
      <c r="AO185">
        <v>51.07</v>
      </c>
      <c r="AP185">
        <v>5.12</v>
      </c>
      <c r="AQ185">
        <v>109.74</v>
      </c>
      <c r="AR185">
        <v>66.760000000000005</v>
      </c>
      <c r="AS185">
        <v>97.09</v>
      </c>
      <c r="AT185">
        <v>4.72</v>
      </c>
      <c r="AU185">
        <v>294.93</v>
      </c>
      <c r="AV185">
        <v>213.88</v>
      </c>
      <c r="AW185">
        <v>90.61</v>
      </c>
    </row>
    <row r="186" spans="2:49">
      <c r="B186" s="13">
        <v>46084</v>
      </c>
      <c r="C186">
        <v>382.53</v>
      </c>
      <c r="D186">
        <v>6.4</v>
      </c>
      <c r="E186" t="s">
        <v>220</v>
      </c>
      <c r="F186">
        <v>3.09</v>
      </c>
      <c r="G186">
        <v>15.87</v>
      </c>
      <c r="H186">
        <v>4.13</v>
      </c>
      <c r="I186">
        <v>54.47</v>
      </c>
      <c r="J186">
        <v>8.4</v>
      </c>
      <c r="K186">
        <v>53.06</v>
      </c>
      <c r="L186">
        <v>58.42</v>
      </c>
      <c r="M186">
        <v>332.68</v>
      </c>
      <c r="N186">
        <v>35.35</v>
      </c>
      <c r="O186">
        <v>36.82</v>
      </c>
      <c r="P186">
        <v>17.72</v>
      </c>
      <c r="Q186">
        <v>26.58</v>
      </c>
      <c r="R186">
        <v>38.78</v>
      </c>
      <c r="S186">
        <v>175.44</v>
      </c>
      <c r="T186">
        <v>64.53</v>
      </c>
      <c r="U186">
        <v>118.71</v>
      </c>
      <c r="V186">
        <v>47.07</v>
      </c>
      <c r="W186">
        <v>147.22</v>
      </c>
      <c r="X186">
        <v>62.21</v>
      </c>
      <c r="Y186">
        <v>45.07</v>
      </c>
      <c r="Z186">
        <v>391.06</v>
      </c>
      <c r="AA186">
        <v>0.78</v>
      </c>
      <c r="AB186">
        <v>28.8</v>
      </c>
      <c r="AC186">
        <v>74.7</v>
      </c>
      <c r="AD186">
        <v>680.33</v>
      </c>
      <c r="AE186">
        <v>7</v>
      </c>
      <c r="AF186">
        <v>57.968000000000004</v>
      </c>
      <c r="AG186">
        <v>14.525</v>
      </c>
      <c r="AH186">
        <v>601.58000000000004</v>
      </c>
      <c r="AI186">
        <v>98.75</v>
      </c>
      <c r="AJ186">
        <v>103.3</v>
      </c>
      <c r="AK186">
        <v>114.36</v>
      </c>
      <c r="AL186">
        <v>208.73</v>
      </c>
      <c r="AM186">
        <v>48.1</v>
      </c>
      <c r="AN186">
        <v>21.961300000000001</v>
      </c>
      <c r="AO186">
        <v>48.59</v>
      </c>
      <c r="AP186">
        <v>5.0199999999999996</v>
      </c>
      <c r="AQ186">
        <v>104.64</v>
      </c>
      <c r="AR186">
        <v>66.27</v>
      </c>
      <c r="AS186">
        <v>97.7</v>
      </c>
      <c r="AT186">
        <v>4.59</v>
      </c>
      <c r="AU186">
        <v>289.20999999999998</v>
      </c>
      <c r="AV186">
        <v>217.05</v>
      </c>
      <c r="AW186">
        <v>90.55</v>
      </c>
    </row>
    <row r="187" spans="2:49">
      <c r="B187" s="13">
        <v>46085</v>
      </c>
      <c r="C187">
        <v>384.09</v>
      </c>
      <c r="D187">
        <v>6.68</v>
      </c>
      <c r="E187">
        <v>2.58</v>
      </c>
      <c r="F187">
        <v>3.08</v>
      </c>
      <c r="G187">
        <v>16.170000000000002</v>
      </c>
      <c r="H187">
        <v>4.1500000000000004</v>
      </c>
      <c r="I187">
        <v>54.87</v>
      </c>
      <c r="J187">
        <v>8.61</v>
      </c>
      <c r="K187">
        <v>54.66</v>
      </c>
      <c r="L187">
        <v>59.05</v>
      </c>
      <c r="M187">
        <v>339.23</v>
      </c>
      <c r="N187">
        <v>35.9</v>
      </c>
      <c r="O187">
        <v>37.49</v>
      </c>
      <c r="P187">
        <v>18.09</v>
      </c>
      <c r="Q187">
        <v>26.62</v>
      </c>
      <c r="R187">
        <v>39.340000000000003</v>
      </c>
      <c r="S187">
        <v>175.97</v>
      </c>
      <c r="T187">
        <v>65.33</v>
      </c>
      <c r="U187">
        <v>118.98</v>
      </c>
      <c r="V187">
        <v>47.27</v>
      </c>
      <c r="W187">
        <v>153.19</v>
      </c>
      <c r="X187">
        <v>62.56</v>
      </c>
      <c r="Y187">
        <v>45.23</v>
      </c>
      <c r="Z187">
        <v>399.1</v>
      </c>
      <c r="AA187">
        <v>0.77</v>
      </c>
      <c r="AB187">
        <v>28.9</v>
      </c>
      <c r="AC187">
        <v>75.11</v>
      </c>
      <c r="AD187">
        <v>685.13</v>
      </c>
      <c r="AE187">
        <v>7</v>
      </c>
      <c r="AF187">
        <v>58.367600000000003</v>
      </c>
      <c r="AG187">
        <v>14.82</v>
      </c>
      <c r="AH187">
        <v>610.75</v>
      </c>
      <c r="AI187">
        <v>98.79</v>
      </c>
      <c r="AJ187">
        <v>103.04</v>
      </c>
      <c r="AK187">
        <v>116.39</v>
      </c>
      <c r="AL187">
        <v>216.82</v>
      </c>
      <c r="AM187">
        <v>50.26</v>
      </c>
      <c r="AN187">
        <v>22.323799999999999</v>
      </c>
      <c r="AO187">
        <v>49.53</v>
      </c>
      <c r="AP187">
        <v>5.0599999999999996</v>
      </c>
      <c r="AQ187">
        <v>104.73</v>
      </c>
      <c r="AR187">
        <v>67.02</v>
      </c>
      <c r="AS187">
        <v>98.66</v>
      </c>
      <c r="AT187">
        <v>4.84</v>
      </c>
      <c r="AU187">
        <v>291.95999999999998</v>
      </c>
      <c r="AV187">
        <v>215.77</v>
      </c>
      <c r="AW187">
        <v>93.83</v>
      </c>
    </row>
    <row r="188" spans="2:49">
      <c r="B188" s="13">
        <v>46086</v>
      </c>
      <c r="C188">
        <v>373.35</v>
      </c>
      <c r="D188">
        <v>6.3</v>
      </c>
      <c r="E188">
        <v>2.5</v>
      </c>
      <c r="F188">
        <v>3.13</v>
      </c>
      <c r="G188">
        <v>16.34</v>
      </c>
      <c r="H188">
        <v>4.1500000000000004</v>
      </c>
      <c r="I188">
        <v>54.09</v>
      </c>
      <c r="J188">
        <v>8.26</v>
      </c>
      <c r="K188">
        <v>53.55</v>
      </c>
      <c r="L188">
        <v>57.63</v>
      </c>
      <c r="M188">
        <v>334.18</v>
      </c>
      <c r="N188">
        <v>35.130000000000003</v>
      </c>
      <c r="O188">
        <v>36.36</v>
      </c>
      <c r="P188">
        <v>17.79</v>
      </c>
      <c r="Q188">
        <v>26.61</v>
      </c>
      <c r="R188">
        <v>37.26</v>
      </c>
      <c r="S188">
        <v>172.06</v>
      </c>
      <c r="T188">
        <v>63.96</v>
      </c>
      <c r="U188">
        <v>117.93</v>
      </c>
      <c r="V188">
        <v>46.9</v>
      </c>
      <c r="W188">
        <v>152.66999999999999</v>
      </c>
      <c r="X188">
        <v>61.05</v>
      </c>
      <c r="Y188">
        <v>44.28</v>
      </c>
      <c r="Z188">
        <v>395.35</v>
      </c>
      <c r="AA188">
        <v>0.76</v>
      </c>
      <c r="AB188">
        <v>28.69</v>
      </c>
      <c r="AC188">
        <v>74.16</v>
      </c>
      <c r="AD188">
        <v>681.31</v>
      </c>
      <c r="AE188">
        <v>7</v>
      </c>
      <c r="AF188">
        <v>57.018799999999999</v>
      </c>
      <c r="AG188">
        <v>14.35</v>
      </c>
      <c r="AH188">
        <v>608.91</v>
      </c>
      <c r="AI188">
        <v>99.14</v>
      </c>
      <c r="AJ188">
        <v>102.41</v>
      </c>
      <c r="AK188">
        <v>116.55</v>
      </c>
      <c r="AL188">
        <v>218.94</v>
      </c>
      <c r="AM188">
        <v>49.8</v>
      </c>
      <c r="AN188">
        <v>22.16</v>
      </c>
      <c r="AO188">
        <v>48.74</v>
      </c>
      <c r="AP188">
        <v>4.95</v>
      </c>
      <c r="AQ188">
        <v>104.91</v>
      </c>
      <c r="AR188">
        <v>65.11</v>
      </c>
      <c r="AS188">
        <v>99.17</v>
      </c>
      <c r="AT188">
        <v>4.72</v>
      </c>
      <c r="AU188">
        <v>288.77</v>
      </c>
      <c r="AV188">
        <v>212.53</v>
      </c>
      <c r="AW188">
        <v>95.59</v>
      </c>
    </row>
    <row r="189" spans="2:49">
      <c r="B189" s="13">
        <v>46087</v>
      </c>
      <c r="C189">
        <v>359.1</v>
      </c>
      <c r="D189">
        <v>6.43</v>
      </c>
      <c r="E189">
        <v>2.57</v>
      </c>
      <c r="F189">
        <v>3.1</v>
      </c>
      <c r="G189">
        <v>17.32</v>
      </c>
      <c r="H189">
        <v>4.1500000000000004</v>
      </c>
      <c r="I189">
        <v>53.28</v>
      </c>
      <c r="J189">
        <v>8.14</v>
      </c>
      <c r="K189">
        <v>53.2</v>
      </c>
      <c r="L189">
        <v>57.32</v>
      </c>
      <c r="M189">
        <v>330.57</v>
      </c>
      <c r="N189">
        <v>34.880000000000003</v>
      </c>
      <c r="O189">
        <v>36.28</v>
      </c>
      <c r="P189">
        <v>17.43</v>
      </c>
      <c r="Q189">
        <v>27.05</v>
      </c>
      <c r="R189">
        <v>37.03</v>
      </c>
      <c r="S189">
        <v>169.94</v>
      </c>
      <c r="T189">
        <v>63.31</v>
      </c>
      <c r="U189">
        <v>119.05</v>
      </c>
      <c r="V189">
        <v>46.74</v>
      </c>
      <c r="W189">
        <v>157.16</v>
      </c>
      <c r="X189">
        <v>61.14</v>
      </c>
      <c r="Y189">
        <v>44.14</v>
      </c>
      <c r="Z189">
        <v>380.56</v>
      </c>
      <c r="AA189">
        <v>0.75</v>
      </c>
      <c r="AB189">
        <v>28</v>
      </c>
      <c r="AC189">
        <v>73.010000000000005</v>
      </c>
      <c r="AD189">
        <v>672.38</v>
      </c>
      <c r="AE189">
        <v>6.95</v>
      </c>
      <c r="AF189">
        <v>56.563499999999998</v>
      </c>
      <c r="AG189">
        <v>14.3</v>
      </c>
      <c r="AH189">
        <v>599.75</v>
      </c>
      <c r="AI189">
        <v>97.12</v>
      </c>
      <c r="AJ189">
        <v>101.54</v>
      </c>
      <c r="AK189">
        <v>114.44</v>
      </c>
      <c r="AL189">
        <v>213.21</v>
      </c>
      <c r="AM189">
        <v>47.54</v>
      </c>
      <c r="AN189">
        <v>22.242699999999999</v>
      </c>
      <c r="AO189">
        <v>48.78</v>
      </c>
      <c r="AP189">
        <v>4.83</v>
      </c>
      <c r="AQ189">
        <v>104.58</v>
      </c>
      <c r="AR189">
        <v>65.25</v>
      </c>
      <c r="AS189">
        <v>99.02</v>
      </c>
      <c r="AT189">
        <v>4.78</v>
      </c>
      <c r="AU189">
        <v>286.48</v>
      </c>
      <c r="AV189">
        <v>211.5</v>
      </c>
      <c r="AW189">
        <v>91.33</v>
      </c>
    </row>
    <row r="190" spans="2:49">
      <c r="B190" s="13">
        <v>46088</v>
      </c>
      <c r="C190" t="s">
        <v>220</v>
      </c>
      <c r="D190" t="s">
        <v>220</v>
      </c>
      <c r="E190" t="s">
        <v>220</v>
      </c>
      <c r="F190" t="s">
        <v>220</v>
      </c>
      <c r="G190" t="s">
        <v>220</v>
      </c>
      <c r="H190" t="s">
        <v>220</v>
      </c>
      <c r="I190" t="s">
        <v>220</v>
      </c>
      <c r="J190" t="s">
        <v>220</v>
      </c>
      <c r="K190" t="s">
        <v>220</v>
      </c>
      <c r="L190" t="s">
        <v>220</v>
      </c>
      <c r="M190" t="s">
        <v>220</v>
      </c>
      <c r="N190" t="s">
        <v>220</v>
      </c>
      <c r="O190" t="s">
        <v>220</v>
      </c>
      <c r="P190" t="s">
        <v>220</v>
      </c>
      <c r="Q190" t="s">
        <v>220</v>
      </c>
      <c r="R190" t="s">
        <v>220</v>
      </c>
      <c r="S190" t="s">
        <v>220</v>
      </c>
      <c r="T190" t="s">
        <v>220</v>
      </c>
      <c r="U190" t="s">
        <v>220</v>
      </c>
      <c r="V190" t="s">
        <v>220</v>
      </c>
      <c r="W190" t="s">
        <v>220</v>
      </c>
      <c r="X190" t="s">
        <v>220</v>
      </c>
      <c r="Y190" t="s">
        <v>220</v>
      </c>
      <c r="Z190" t="s">
        <v>220</v>
      </c>
      <c r="AA190" t="s">
        <v>220</v>
      </c>
      <c r="AB190" t="s">
        <v>220</v>
      </c>
      <c r="AC190" t="s">
        <v>220</v>
      </c>
      <c r="AD190" t="s">
        <v>220</v>
      </c>
      <c r="AE190" t="s">
        <v>220</v>
      </c>
      <c r="AF190" t="s">
        <v>220</v>
      </c>
      <c r="AG190" t="s">
        <v>220</v>
      </c>
      <c r="AH190" t="s">
        <v>220</v>
      </c>
      <c r="AI190" t="s">
        <v>220</v>
      </c>
      <c r="AJ190" t="s">
        <v>220</v>
      </c>
      <c r="AK190" t="s">
        <v>220</v>
      </c>
      <c r="AL190" t="s">
        <v>220</v>
      </c>
      <c r="AM190" t="s">
        <v>220</v>
      </c>
      <c r="AN190" t="s">
        <v>220</v>
      </c>
      <c r="AO190" t="s">
        <v>220</v>
      </c>
      <c r="AP190" t="s">
        <v>220</v>
      </c>
      <c r="AQ190" t="s">
        <v>220</v>
      </c>
      <c r="AR190" t="s">
        <v>220</v>
      </c>
      <c r="AS190" t="s">
        <v>220</v>
      </c>
      <c r="AT190" t="s">
        <v>220</v>
      </c>
      <c r="AU190" t="s">
        <v>220</v>
      </c>
      <c r="AV190" t="s">
        <v>220</v>
      </c>
      <c r="AW190" t="s">
        <v>220</v>
      </c>
    </row>
    <row r="191" spans="2:49">
      <c r="B191" s="13">
        <v>46089</v>
      </c>
      <c r="C191" t="s">
        <v>220</v>
      </c>
      <c r="D191" t="s">
        <v>220</v>
      </c>
      <c r="E191" t="s">
        <v>220</v>
      </c>
      <c r="F191" t="s">
        <v>220</v>
      </c>
      <c r="G191" t="s">
        <v>220</v>
      </c>
      <c r="H191" t="s">
        <v>220</v>
      </c>
      <c r="I191" t="s">
        <v>220</v>
      </c>
      <c r="J191" t="s">
        <v>220</v>
      </c>
      <c r="K191" t="s">
        <v>220</v>
      </c>
      <c r="L191" t="s">
        <v>220</v>
      </c>
      <c r="M191" t="s">
        <v>220</v>
      </c>
      <c r="N191" t="s">
        <v>220</v>
      </c>
      <c r="O191" t="s">
        <v>220</v>
      </c>
      <c r="P191" t="s">
        <v>220</v>
      </c>
      <c r="Q191" t="s">
        <v>220</v>
      </c>
      <c r="R191" t="s">
        <v>220</v>
      </c>
      <c r="S191" t="s">
        <v>220</v>
      </c>
      <c r="T191" t="s">
        <v>220</v>
      </c>
      <c r="U191" t="s">
        <v>220</v>
      </c>
      <c r="V191" t="s">
        <v>220</v>
      </c>
      <c r="W191" t="s">
        <v>220</v>
      </c>
      <c r="X191" t="s">
        <v>220</v>
      </c>
      <c r="Y191" t="s">
        <v>220</v>
      </c>
      <c r="Z191" t="s">
        <v>220</v>
      </c>
      <c r="AA191" t="s">
        <v>220</v>
      </c>
      <c r="AB191" t="s">
        <v>220</v>
      </c>
      <c r="AC191" t="s">
        <v>220</v>
      </c>
      <c r="AD191" t="s">
        <v>220</v>
      </c>
      <c r="AE191" t="s">
        <v>220</v>
      </c>
      <c r="AF191" t="s">
        <v>220</v>
      </c>
      <c r="AG191" t="s">
        <v>220</v>
      </c>
      <c r="AH191" t="s">
        <v>220</v>
      </c>
      <c r="AI191" t="s">
        <v>220</v>
      </c>
      <c r="AJ191" t="s">
        <v>220</v>
      </c>
      <c r="AK191" t="s">
        <v>220</v>
      </c>
      <c r="AL191" t="s">
        <v>220</v>
      </c>
      <c r="AM191" t="s">
        <v>220</v>
      </c>
      <c r="AN191" t="s">
        <v>220</v>
      </c>
      <c r="AO191" t="s">
        <v>220</v>
      </c>
      <c r="AP191" t="s">
        <v>220</v>
      </c>
      <c r="AQ191" t="s">
        <v>220</v>
      </c>
      <c r="AR191" t="s">
        <v>220</v>
      </c>
      <c r="AS191" t="s">
        <v>220</v>
      </c>
      <c r="AT191" t="s">
        <v>220</v>
      </c>
      <c r="AU191" t="s">
        <v>220</v>
      </c>
      <c r="AV191" t="s">
        <v>220</v>
      </c>
      <c r="AW191" t="s">
        <v>220</v>
      </c>
    </row>
    <row r="192" spans="2:49">
      <c r="B192" s="13">
        <v>46090</v>
      </c>
      <c r="C192">
        <v>361.1</v>
      </c>
      <c r="D192">
        <v>6.4</v>
      </c>
      <c r="E192">
        <v>2.5</v>
      </c>
      <c r="F192">
        <v>3.07</v>
      </c>
      <c r="G192">
        <v>18.45</v>
      </c>
      <c r="H192">
        <v>4.05</v>
      </c>
      <c r="I192">
        <v>54.1</v>
      </c>
      <c r="J192">
        <v>8.2899999999999991</v>
      </c>
      <c r="K192">
        <v>53.84</v>
      </c>
      <c r="L192">
        <v>58.45</v>
      </c>
      <c r="M192">
        <v>329.6</v>
      </c>
      <c r="N192">
        <v>35.200000000000003</v>
      </c>
      <c r="O192">
        <v>37.1</v>
      </c>
      <c r="P192">
        <v>17.96</v>
      </c>
      <c r="Q192">
        <v>26.81</v>
      </c>
      <c r="R192">
        <v>37.51</v>
      </c>
      <c r="S192">
        <v>170.94</v>
      </c>
      <c r="T192">
        <v>63.87</v>
      </c>
      <c r="U192">
        <v>122.48</v>
      </c>
      <c r="V192">
        <v>46.85</v>
      </c>
      <c r="W192">
        <v>156.43</v>
      </c>
      <c r="X192">
        <v>61.01</v>
      </c>
      <c r="Y192">
        <v>44.2</v>
      </c>
      <c r="Z192">
        <v>394.37</v>
      </c>
      <c r="AA192">
        <v>0.74</v>
      </c>
      <c r="AB192">
        <v>27.5</v>
      </c>
      <c r="AC192">
        <v>73.25</v>
      </c>
      <c r="AD192">
        <v>678.27</v>
      </c>
      <c r="AE192">
        <v>6.95</v>
      </c>
      <c r="AF192">
        <v>57.252699999999997</v>
      </c>
      <c r="AG192">
        <v>14.46</v>
      </c>
      <c r="AH192">
        <v>607.76</v>
      </c>
      <c r="AI192">
        <v>95.93</v>
      </c>
      <c r="AJ192">
        <v>101.66</v>
      </c>
      <c r="AK192">
        <v>114.59</v>
      </c>
      <c r="AL192">
        <v>213.49</v>
      </c>
      <c r="AM192">
        <v>49.39</v>
      </c>
      <c r="AN192">
        <v>22.5275</v>
      </c>
      <c r="AO192">
        <v>50.25</v>
      </c>
      <c r="AP192">
        <v>4.7699999999999996</v>
      </c>
      <c r="AQ192">
        <v>102.85</v>
      </c>
      <c r="AR192">
        <v>67.42</v>
      </c>
      <c r="AS192">
        <v>98.32</v>
      </c>
      <c r="AT192">
        <v>4.9400000000000004</v>
      </c>
      <c r="AU192">
        <v>285.17</v>
      </c>
      <c r="AV192">
        <v>214.63</v>
      </c>
      <c r="AW192">
        <v>90.94</v>
      </c>
    </row>
    <row r="193" spans="2:49">
      <c r="B193" s="13">
        <v>46091</v>
      </c>
      <c r="C193">
        <v>359.47</v>
      </c>
      <c r="D193">
        <v>6.56</v>
      </c>
      <c r="E193">
        <v>2.5</v>
      </c>
      <c r="F193">
        <v>3.03</v>
      </c>
      <c r="G193">
        <v>18.87</v>
      </c>
      <c r="H193">
        <v>4.0999999999999996</v>
      </c>
      <c r="I193">
        <v>54.9</v>
      </c>
      <c r="J193">
        <v>8.48</v>
      </c>
      <c r="K193">
        <v>54</v>
      </c>
      <c r="L193">
        <v>58.68</v>
      </c>
      <c r="M193">
        <v>341.28</v>
      </c>
      <c r="N193">
        <v>35.24</v>
      </c>
      <c r="O193">
        <v>37.53</v>
      </c>
      <c r="P193">
        <v>18.25</v>
      </c>
      <c r="Q193">
        <v>27.16</v>
      </c>
      <c r="R193">
        <v>38.9</v>
      </c>
      <c r="S193">
        <v>170.02</v>
      </c>
      <c r="T193">
        <v>64.040000000000006</v>
      </c>
      <c r="U193">
        <v>125.5</v>
      </c>
      <c r="V193">
        <v>46.56</v>
      </c>
      <c r="W193">
        <v>151.13999999999999</v>
      </c>
      <c r="X193">
        <v>60.24</v>
      </c>
      <c r="Y193">
        <v>44.08</v>
      </c>
      <c r="Z193">
        <v>397.33</v>
      </c>
      <c r="AA193">
        <v>0.75</v>
      </c>
      <c r="AB193">
        <v>28.3</v>
      </c>
      <c r="AC193">
        <v>72.95</v>
      </c>
      <c r="AD193">
        <v>677.18</v>
      </c>
      <c r="AE193">
        <v>6.98</v>
      </c>
      <c r="AF193">
        <v>57.091701999999998</v>
      </c>
      <c r="AG193">
        <v>14.7</v>
      </c>
      <c r="AH193">
        <v>607.77</v>
      </c>
      <c r="AI193">
        <v>95.47</v>
      </c>
      <c r="AJ193">
        <v>101.32</v>
      </c>
      <c r="AK193">
        <v>114.44</v>
      </c>
      <c r="AL193">
        <v>214.33</v>
      </c>
      <c r="AM193">
        <v>49.4</v>
      </c>
      <c r="AN193">
        <v>23.085000000000001</v>
      </c>
      <c r="AO193">
        <v>50.94</v>
      </c>
      <c r="AP193">
        <v>4.8</v>
      </c>
      <c r="AQ193">
        <v>101.71</v>
      </c>
      <c r="AR193">
        <v>70.209999999999994</v>
      </c>
      <c r="AS193">
        <v>96.94</v>
      </c>
      <c r="AT193">
        <v>5.7</v>
      </c>
      <c r="AU193">
        <v>282.33999999999997</v>
      </c>
      <c r="AV193">
        <v>209.08</v>
      </c>
      <c r="AW193">
        <v>89.96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F766-515E-4114-A665-56A250FC251C}">
  <sheetPr codeName="Hoja11">
    <tabColor rgb="FFA6C9EC"/>
  </sheetPr>
  <dimension ref="B2:AW193"/>
  <sheetViews>
    <sheetView topLeftCell="AA133" workbookViewId="0">
      <selection activeCell="B143" sqref="B143:AW173"/>
    </sheetView>
  </sheetViews>
  <sheetFormatPr baseColWidth="10" defaultRowHeight="14.4"/>
  <sheetData>
    <row r="2" spans="2:49">
      <c r="C2" t="s">
        <v>58</v>
      </c>
      <c r="D2" t="s">
        <v>90</v>
      </c>
      <c r="E2" t="s">
        <v>92</v>
      </c>
      <c r="F2" t="s">
        <v>116</v>
      </c>
      <c r="G2" t="s">
        <v>60</v>
      </c>
      <c r="H2" t="s">
        <v>82</v>
      </c>
      <c r="I2" t="s">
        <v>112</v>
      </c>
      <c r="J2" t="s">
        <v>44</v>
      </c>
      <c r="K2" t="s">
        <v>64</v>
      </c>
      <c r="L2" t="s">
        <v>46</v>
      </c>
      <c r="M2" t="s">
        <v>106</v>
      </c>
      <c r="N2" t="s">
        <v>74</v>
      </c>
      <c r="O2" t="s">
        <v>78</v>
      </c>
      <c r="P2" t="s">
        <v>114</v>
      </c>
      <c r="Q2" t="s">
        <v>100</v>
      </c>
      <c r="R2" t="s">
        <v>94</v>
      </c>
      <c r="S2" t="s">
        <v>48</v>
      </c>
      <c r="T2" t="s">
        <v>76</v>
      </c>
      <c r="U2" t="s">
        <v>84</v>
      </c>
      <c r="V2" t="s">
        <v>52</v>
      </c>
      <c r="W2" t="s">
        <v>54</v>
      </c>
      <c r="X2" t="s">
        <v>190</v>
      </c>
      <c r="Y2" t="s">
        <v>102</v>
      </c>
      <c r="Z2" t="s">
        <v>215</v>
      </c>
      <c r="AA2" t="s">
        <v>98</v>
      </c>
      <c r="AB2" t="s">
        <v>124</v>
      </c>
      <c r="AC2" t="s">
        <v>118</v>
      </c>
      <c r="AD2" t="s">
        <v>56</v>
      </c>
      <c r="AE2" t="s">
        <v>122</v>
      </c>
      <c r="AF2" t="s">
        <v>120</v>
      </c>
      <c r="AG2" t="s">
        <v>80</v>
      </c>
      <c r="AH2" t="s">
        <v>104</v>
      </c>
      <c r="AI2" t="s">
        <v>62</v>
      </c>
      <c r="AJ2" t="s">
        <v>110</v>
      </c>
      <c r="AK2" t="s">
        <v>50</v>
      </c>
      <c r="AL2" t="s">
        <v>218</v>
      </c>
      <c r="AM2" t="s">
        <v>130</v>
      </c>
      <c r="AN2" t="s">
        <v>86</v>
      </c>
      <c r="AO2" t="s">
        <v>88</v>
      </c>
      <c r="AP2" t="s">
        <v>96</v>
      </c>
      <c r="AQ2" t="s">
        <v>70</v>
      </c>
      <c r="AR2" t="s">
        <v>196</v>
      </c>
      <c r="AS2" t="s">
        <v>127</v>
      </c>
      <c r="AT2" t="s">
        <v>72</v>
      </c>
      <c r="AU2" t="s">
        <v>66</v>
      </c>
      <c r="AV2" t="s">
        <v>108</v>
      </c>
      <c r="AW2" t="s">
        <v>68</v>
      </c>
    </row>
    <row r="3" spans="2:49">
      <c r="B3" s="13">
        <v>45901</v>
      </c>
      <c r="C3" t="str" cm="1">
        <f t="array" ref="C3">_xll.BDH(C$2 &amp; " US Equity","PX_LAST",$B3,$B3)</f>
        <v>#N/A N/A</v>
      </c>
      <c r="D3" cm="1">
        <f t="array" ref="D3">_xll.BDH(D$2 &amp; " PE Equity","PX_LAST",$B3,$B3)</f>
        <v>3.98</v>
      </c>
      <c r="E3" cm="1">
        <f t="array" ref="E3">_xll.BDH(E$2 &amp; " PE Equity","PX_LAST",$B3,$B3)</f>
        <v>1.76</v>
      </c>
      <c r="F3" cm="1">
        <f t="array" ref="F3">_xll.BDH(F$2 &amp; " PE Equity","PX_LAST",$B3,$B3)</f>
        <v>2.5499999999999998</v>
      </c>
      <c r="G3" t="str" cm="1">
        <f t="array" ref="G3">_xll.BDH(G$2 &amp; " US Equity","PX_LAST",$B3,$B3)</f>
        <v>#N/A N/A</v>
      </c>
      <c r="H3" cm="1">
        <f t="array" ref="H3">_xll.BDH(H$2 &amp; " PE Equity","PX_LAST",$B3,$B3)</f>
        <v>3.49</v>
      </c>
      <c r="I3" t="str" cm="1">
        <f t="array" ref="I3">_xll.BDH(I$2 &amp; " US Equity","PX_LAST",$B3,$B3)</f>
        <v>#N/A N/A</v>
      </c>
      <c r="J3" t="str" cm="1">
        <f t="array" ref="J3">_xll.BDH(J$2 &amp; " US Equity","PX_LAST",$B3,$B3)</f>
        <v>#N/A N/A</v>
      </c>
      <c r="K3" t="str" cm="1">
        <f t="array" ref="K3">_xll.BDH(K$2 &amp; " US Equity","PX_LAST",$B3,$B3)</f>
        <v>#N/A N/A</v>
      </c>
      <c r="L3" t="str" cm="1">
        <f t="array" ref="L3">_xll.BDH(L$2 &amp; " US Equity","PX_LAST",$B3,$B3)</f>
        <v>#N/A N/A</v>
      </c>
      <c r="M3" t="str" cm="1">
        <f t="array" ref="M3">_xll.BDH(M$2 &amp; " US Equity","PX_LAST",$B3,$B3)</f>
        <v>#N/A N/A</v>
      </c>
      <c r="N3" t="str" cm="1">
        <f t="array" ref="N3">_xll.BDH(N$2 &amp; " US Equity","PX_LAST",$B3,$B3)</f>
        <v>#N/A N/A</v>
      </c>
      <c r="O3" t="str" cm="1">
        <f t="array" ref="O3">_xll.BDH(O$2 &amp; " US Equity","PX_LAST",$B3,$B3)</f>
        <v>#N/A N/A</v>
      </c>
      <c r="P3" t="str" cm="1">
        <f t="array" ref="P3">_xll.BDH(P$2 &amp; " US Equity","PX_LAST",$B3,$B3)</f>
        <v>#N/A N/A</v>
      </c>
      <c r="Q3" t="str" cm="1">
        <f t="array" ref="Q3">_xll.BDH(Q$2 &amp; " US Equity","PX_LAST",$B3,$B3)</f>
        <v>#N/A N/A</v>
      </c>
      <c r="R3" t="str" cm="1">
        <f t="array" ref="R3">_xll.BDH(R$2 &amp; " US Equity","PX_LAST",$B3,$B3)</f>
        <v>#N/A N/A</v>
      </c>
      <c r="S3" t="str" cm="1">
        <f t="array" ref="S3">_xll.BDH(S$2 &amp; " US Equity","PX_LAST",$B3,$B3)</f>
        <v>#N/A N/A</v>
      </c>
      <c r="T3" t="str" cm="1">
        <f t="array" ref="T3">_xll.BDH(T$2 &amp; " US Equity","PX_LAST",$B3,$B3)</f>
        <v>#N/A N/A</v>
      </c>
      <c r="U3" t="str" cm="1">
        <f t="array" ref="U3">_xll.BDH(U$2 &amp; " US Equity","PX_LAST",$B3,$B3)</f>
        <v>#N/A N/A</v>
      </c>
      <c r="V3" t="str" cm="1">
        <f t="array" ref="V3">_xll.BDH(V$2 &amp; " US Equity","PX_LAST",$B3,$B3)</f>
        <v>#N/A N/A</v>
      </c>
      <c r="W3" t="str" cm="1">
        <f t="array" ref="W3">_xll.BDH(W$2 &amp; " US Equity","PX_LAST",$B3,$B3)</f>
        <v>#N/A N/A</v>
      </c>
      <c r="X3" t="str" cm="1">
        <f t="array" ref="X3">_xll.BDH(X$2 &amp; " US Equity","PX_LAST",$B3,$B3)</f>
        <v>#N/A N/A</v>
      </c>
      <c r="Y3" t="str" cm="1">
        <f t="array" ref="Y3">_xll.BDH(Y$2 &amp; " US Equity","PX_LAST",$B3,$B3)</f>
        <v>#N/A N/A</v>
      </c>
      <c r="Z3" t="str" cm="1">
        <f t="array" ref="Z3">_xll.BDH(Z$2 &amp; " US Equity","PX_LAST",$B3,$B3)</f>
        <v>#N/A N/A</v>
      </c>
      <c r="AA3" cm="1">
        <f t="array" ref="AA3">_xll.BDH(AA$2 &amp; " PE Equity","PX_LAST",$B3,$B3)</f>
        <v>0.376</v>
      </c>
      <c r="AB3" cm="1">
        <f t="array" ref="AB3">_xll.BDH(AB$2 &amp; " PE Equity","PX_LAST",$B3,$B3)</f>
        <v>27.5</v>
      </c>
      <c r="AC3" t="str" cm="1">
        <f t="array" ref="AC3">_xll.BDH(AC$2 &amp; " US Equity","PX_LAST",$B3,$B3)</f>
        <v>#N/A N/A</v>
      </c>
      <c r="AD3" t="str" cm="1">
        <f t="array" ref="AD3">_xll.BDH(AD$2 &amp; " US Equity","PX_LAST",$B3,$B3)</f>
        <v>#N/A N/A</v>
      </c>
      <c r="AE3" t="str" cm="1">
        <f t="array" ref="AE3">_xll.BDH(AE$2 &amp; " PE Equity","PX_LAST",$B3,$B3)</f>
        <v>#N/A Connection</v>
      </c>
      <c r="AF3" t="str" cm="1">
        <f t="array" ref="AF3">_xll.BDH(AF$2 &amp; " US Equity","PX_LAST",$B3,$B3)</f>
        <v>#N/A N/A</v>
      </c>
      <c r="AG3" t="str" cm="1">
        <f t="array" ref="AG3">_xll.BDH(AG$2 &amp; " US Equity","PX_LAST",$B3,$B3)</f>
        <v>#N/A N/A</v>
      </c>
      <c r="AH3" t="str" cm="1">
        <f t="array" ref="AH3">_xll.BDH(AH$2 &amp; " US Equity","PX_LAST",$B3,$B3)</f>
        <v>#N/A N/A</v>
      </c>
      <c r="AI3" t="str" cm="1">
        <f t="array" ref="AI3">_xll.BDH(AI$2 &amp; " US Equity","PX_LAST",$B3,$B3)</f>
        <v>#N/A N/A</v>
      </c>
      <c r="AJ3" t="str" cm="1">
        <f t="array" ref="AJ3">_xll.BDH(AJ$2 &amp; " US Equity","PX_LAST",$B3,$B3)</f>
        <v>#N/A N/A</v>
      </c>
      <c r="AK3" t="str" cm="1">
        <f t="array" ref="AK3">_xll.BDH(AK$2 &amp; " US Equity","PX_LAST",$B3,$B3)</f>
        <v>#N/A N/A</v>
      </c>
      <c r="AL3" t="str" cm="1">
        <f t="array" ref="AL3">_xll.BDH(AL$2 &amp; " US Equity","PX_LAST",$B3,$B3)</f>
        <v>#N/A N/A</v>
      </c>
      <c r="AM3" t="str" cm="1">
        <f t="array" ref="AM3">_xll.BDH(AM$2 &amp; " US Equity","PX_LAST",$B3,$B3)</f>
        <v>#N/A N/A</v>
      </c>
      <c r="AN3" t="str" cm="1">
        <f t="array" ref="AN3">_xll.BDH(AN$2 &amp; " US Equity","PX_LAST",$B3,$B3)</f>
        <v>#N/A N/A</v>
      </c>
      <c r="AO3" t="str" cm="1">
        <f t="array" ref="AO3">_xll.BDH(AO$2 &amp; " US Equity","PX_LAST",$B3,$B3)</f>
        <v>#N/A N/A</v>
      </c>
      <c r="AP3" t="str" cm="1">
        <f t="array" ref="AP3">_xll.BDH(AP$2 &amp; " US Equity","PX_LAST",$B3,$B3)</f>
        <v>#N/A N/A</v>
      </c>
      <c r="AQ3" t="str" cm="1">
        <f t="array" ref="AQ3">_xll.BDH(AQ$2 &amp; " US Equity","PX_LAST",$B3,$B3)</f>
        <v>#N/A N/A</v>
      </c>
      <c r="AR3" t="str" cm="1">
        <f t="array" ref="AR3">_xll.BDH(AR$2 &amp; " US Equity","PX_LAST",$B3,$B3)</f>
        <v>#N/A N/A</v>
      </c>
      <c r="AS3" t="str" cm="1">
        <f t="array" ref="AS3">_xll.BDH(AS$2 &amp; " US Equity","PX_LAST",$B3,$B3)</f>
        <v>#N/A N/A</v>
      </c>
      <c r="AT3" t="str" cm="1">
        <f t="array" ref="AT3">_xll.BDH(AT$2 &amp; " US Equity","PX_LAST",$B3,$B3)</f>
        <v>#N/A N/A</v>
      </c>
      <c r="AU3" t="str" cm="1">
        <f t="array" ref="AU3">_xll.BDH(AU$2 &amp; " US Equity","PX_LAST",$B3,$B3)</f>
        <v>#N/A N/A</v>
      </c>
      <c r="AV3" t="str" cm="1">
        <f t="array" ref="AV3">_xll.BDH(AV$2 &amp; " US Equity","PX_LAST",$B3,$B3)</f>
        <v>#N/A N/A</v>
      </c>
      <c r="AW3" t="str" cm="1">
        <f t="array" ref="AW3">_xll.BDH(AW$2 &amp; " US Equity","PX_LAST",$B3,$B3)</f>
        <v>#N/A N/A</v>
      </c>
    </row>
    <row r="4" spans="2:49">
      <c r="B4" s="13">
        <v>45902</v>
      </c>
      <c r="C4" cm="1">
        <f t="array" ref="C4">_xll.BDH(C$2 &amp; " US Equity","PX_LAST",$B4,$B4)</f>
        <v>224.18</v>
      </c>
      <c r="D4" cm="1">
        <f t="array" ref="D4">_xll.BDH(D$2 &amp; " PE Equity","PX_LAST",$B4,$B4)</f>
        <v>3.99</v>
      </c>
      <c r="E4" cm="1">
        <f t="array" ref="E4">_xll.BDH(E$2 &amp; " PE Equity","PX_LAST",$B4,$B4)</f>
        <v>1.74</v>
      </c>
      <c r="F4" cm="1">
        <f t="array" ref="F4">_xll.BDH(F$2 &amp; " PE Equity","PX_LAST",$B4,$B4)</f>
        <v>2.5499999999999998</v>
      </c>
      <c r="G4" cm="1">
        <f t="array" ref="G4">_xll.BDH(G$2 &amp; " US Equity","PX_LAST",$B4,$B4)</f>
        <v>20.79</v>
      </c>
      <c r="H4" cm="1">
        <f t="array" ref="H4">_xll.BDH(H$2 &amp; " PE Equity","PX_LAST",$B4,$B4)</f>
        <v>3.47</v>
      </c>
      <c r="I4" cm="1">
        <f t="array" ref="I4">_xll.BDH(I$2 &amp; " US Equity","PX_LAST",$B4,$B4)</f>
        <v>40.98</v>
      </c>
      <c r="J4" cm="1">
        <f t="array" ref="J4">_xll.BDH(J$2 &amp; " US Equity","PX_LAST",$B4,$B4)</f>
        <v>6.8057999999999996</v>
      </c>
      <c r="K4" cm="1">
        <f t="array" ref="K4">_xll.BDH(K$2 &amp; " US Equity","PX_LAST",$B4,$B4)</f>
        <v>47.02</v>
      </c>
      <c r="L4" cm="1">
        <f t="array" ref="L4">_xll.BDH(L$2 &amp; " US Equity","PX_LAST",$B4,$B4)</f>
        <v>49.82</v>
      </c>
      <c r="M4" cm="1">
        <f t="array" ref="M4">_xll.BDH(M$2 &amp; " US Equity","PX_LAST",$B4,$B4)</f>
        <v>260.11</v>
      </c>
      <c r="N4" cm="1">
        <f t="array" ref="N4">_xll.BDH(N$2 &amp; " US Equity","PX_LAST",$B4,$B4)</f>
        <v>32.97</v>
      </c>
      <c r="O4" cm="1">
        <f t="array" ref="O4">_xll.BDH(O$2 &amp; " US Equity","PX_LAST",$B4,$B4)</f>
        <v>29</v>
      </c>
      <c r="P4" cm="1">
        <f t="array" ref="P4">_xll.BDH(P$2 &amp; " US Equity","PX_LAST",$B4,$B4)</f>
        <v>14.16</v>
      </c>
      <c r="Q4" cm="1">
        <f t="array" ref="Q4">_xll.BDH(Q$2 &amp; " US Equity","PX_LAST",$B4,$B4)</f>
        <v>24.98</v>
      </c>
      <c r="R4" cm="1">
        <f t="array" ref="R4">_xll.BDH(R$2 &amp; " US Equity","PX_LAST",$B4,$B4)</f>
        <v>19.64</v>
      </c>
      <c r="S4" cm="1">
        <f t="array" ref="S4">_xll.BDH(S$2 &amp; " US Equity","PX_LAST",$B4,$B4)</f>
        <v>150.56</v>
      </c>
      <c r="T4" cm="1">
        <f t="array" ref="T4">_xll.BDH(T$2 &amp; " US Equity","PX_LAST",$B4,$B4)</f>
        <v>59.034999999999997</v>
      </c>
      <c r="U4" cm="1">
        <f t="array" ref="U4">_xll.BDH(U$2 &amp; " US Equity","PX_LAST",$B4,$B4)</f>
        <v>96.29</v>
      </c>
      <c r="V4" cm="1">
        <f t="array" ref="V4">_xll.BDH(V$2 &amp; " US Equity","PX_LAST",$B4,$B4)</f>
        <v>42.02</v>
      </c>
      <c r="W4" cm="1">
        <f t="array" ref="W4">_xll.BDH(W$2 &amp; " US Equity","PX_LAST",$B4,$B4)</f>
        <v>157.09</v>
      </c>
      <c r="X4" cm="1">
        <f t="array" ref="X4">_xll.BDH(X$2 &amp; " US Equity","PX_LAST",$B4,$B4)</f>
        <v>54.67</v>
      </c>
      <c r="Y4" cm="1">
        <f t="array" ref="Y4">_xll.BDH(Y$2 &amp; " US Equity","PX_LAST",$B4,$B4)</f>
        <v>42.29</v>
      </c>
      <c r="Z4" cm="1">
        <f t="array" ref="Z4">_xll.BDH(Z$2 &amp; " US Equity","PX_LAST",$B4,$B4)</f>
        <v>286.48</v>
      </c>
      <c r="AA4" cm="1">
        <f t="array" ref="AA4">_xll.BDH(AA$2 &amp; " PE Equity","PX_LAST",$B4,$B4)</f>
        <v>0.38400000000000001</v>
      </c>
      <c r="AB4" cm="1">
        <f t="array" ref="AB4">_xll.BDH(AB$2 &amp; " PE Equity","PX_LAST",$B4,$B4)</f>
        <v>27.94</v>
      </c>
      <c r="AC4" cm="1">
        <f t="array" ref="AC4">_xll.BDH(AC$2 &amp; " US Equity","PX_LAST",$B4,$B4)</f>
        <v>67.81</v>
      </c>
      <c r="AD4" cm="1">
        <f t="array" ref="AD4">_xll.BDH(AD$2 &amp; " US Equity","PX_LAST",$B4,$B4)</f>
        <v>640.27</v>
      </c>
      <c r="AE4" t="str" cm="1">
        <f t="array" ref="AE4">_xll.BDH(AE$2 &amp; " PE Equity","PX_LAST",$B4,$B4)</f>
        <v>#N/A Connection</v>
      </c>
      <c r="AF4" cm="1">
        <f t="array" ref="AF4">_xll.BDH(AF$2 &amp; " US Equity","PX_LAST",$B4,$B4)</f>
        <v>51.593000000000004</v>
      </c>
      <c r="AG4" cm="1">
        <f t="array" ref="AG4">_xll.BDH(AG$2 &amp; " US Equity","PX_LAST",$B4,$B4)</f>
        <v>13.155099999999999</v>
      </c>
      <c r="AH4" cm="1">
        <f t="array" ref="AH4">_xll.BDH(AH$2 &amp; " US Equity","PX_LAST",$B4,$B4)</f>
        <v>565.62</v>
      </c>
      <c r="AI4" cm="1">
        <f t="array" ref="AI4">_xll.BDH(AI$2 &amp; " US Equity","PX_LAST",$B4,$B4)</f>
        <v>107.41</v>
      </c>
      <c r="AJ4" cm="1">
        <f t="array" ref="AJ4">_xll.BDH(AJ$2 &amp; " US Equity","PX_LAST",$B4,$B4)</f>
        <v>118.27</v>
      </c>
      <c r="AK4" cm="1">
        <f t="array" ref="AK4">_xll.BDH(AK$2 &amp; " US Equity","PX_LAST",$B4,$B4)</f>
        <v>115.005</v>
      </c>
      <c r="AL4" cm="1">
        <f t="array" ref="AL4">_xll.BDH(AL$2 &amp; " US Equity","PX_LAST",$B4,$B4)</f>
        <v>225.34</v>
      </c>
      <c r="AM4" cm="1">
        <f t="array" ref="AM4">_xll.BDH(AM$2 &amp; " US Equity","PX_LAST",$B4,$B4)</f>
        <v>43.54</v>
      </c>
      <c r="AN4" cm="1">
        <f t="array" ref="AN4">_xll.BDH(AN$2 &amp; " US Equity","PX_LAST",$B4,$B4)</f>
        <v>23.51</v>
      </c>
      <c r="AO4" cm="1">
        <f t="array" ref="AO4">_xll.BDH(AO$2 &amp; " US Equity","PX_LAST",$B4,$B4)</f>
        <v>52.31</v>
      </c>
      <c r="AP4" cm="1">
        <f t="array" ref="AP4">_xll.BDH(AP$2 &amp; " US Equity","PX_LAST",$B4,$B4)</f>
        <v>6.33</v>
      </c>
      <c r="AQ4" cm="1">
        <f t="array" ref="AQ4">_xll.BDH(AQ$2 &amp; " US Equity","PX_LAST",$B4,$B4)</f>
        <v>128.84</v>
      </c>
      <c r="AR4" cm="1">
        <f t="array" ref="AR4">_xll.BDH(AR$2 &amp; " US Equity","PX_LAST",$B4,$B4)</f>
        <v>49.88</v>
      </c>
      <c r="AS4" cm="1">
        <f t="array" ref="AS4">_xll.BDH(AS$2 &amp; " US Equity","PX_LAST",$B4,$B4)</f>
        <v>121.411</v>
      </c>
      <c r="AT4" cm="1">
        <f t="array" ref="AT4">_xll.BDH(AT$2 &amp; " US Equity","PX_LAST",$B4,$B4)</f>
        <v>6.58</v>
      </c>
      <c r="AU4" cm="1">
        <f t="array" ref="AU4">_xll.BDH(AU$2 &amp; " US Equity","PX_LAST",$B4,$B4)</f>
        <v>308.8</v>
      </c>
      <c r="AV4" cm="1">
        <f t="array" ref="AV4">_xll.BDH(AV$2 &amp; " US Equity","PX_LAST",$B4,$B4)</f>
        <v>240.95</v>
      </c>
      <c r="AW4" cm="1">
        <f t="array" ref="AW4">_xll.BDH(AW$2 &amp; " US Equity","PX_LAST",$B4,$B4)</f>
        <v>138.74</v>
      </c>
    </row>
    <row r="5" spans="2:49">
      <c r="B5" s="13">
        <v>45903</v>
      </c>
      <c r="C5" cm="1">
        <f t="array" ref="C5">_xll.BDH(C$2 &amp; " US Equity","PX_LAST",$B5,$B5)</f>
        <v>225.34</v>
      </c>
      <c r="D5" cm="1">
        <f t="array" ref="D5">_xll.BDH(D$2 &amp; " PE Equity","PX_LAST",$B5,$B5)</f>
        <v>4</v>
      </c>
      <c r="E5" cm="1">
        <f t="array" ref="E5">_xll.BDH(E$2 &amp; " PE Equity","PX_LAST",$B5,$B5)</f>
        <v>1.66</v>
      </c>
      <c r="F5" cm="1">
        <f t="array" ref="F5">_xll.BDH(F$2 &amp; " PE Equity","PX_LAST",$B5,$B5)</f>
        <v>2.56</v>
      </c>
      <c r="G5" cm="1">
        <f t="array" ref="G5">_xll.BDH(G$2 &amp; " US Equity","PX_LAST",$B5,$B5)</f>
        <v>20.25</v>
      </c>
      <c r="H5" cm="1">
        <f t="array" ref="H5">_xll.BDH(H$2 &amp; " PE Equity","PX_LAST",$B5,$B5)</f>
        <v>3.48</v>
      </c>
      <c r="I5" cm="1">
        <f t="array" ref="I5">_xll.BDH(I$2 &amp; " US Equity","PX_LAST",$B5,$B5)</f>
        <v>41.57</v>
      </c>
      <c r="J5" cm="1">
        <f t="array" ref="J5">_xll.BDH(J$2 &amp; " US Equity","PX_LAST",$B5,$B5)</f>
        <v>6.7378999999999998</v>
      </c>
      <c r="K5" cm="1">
        <f t="array" ref="K5">_xll.BDH(K$2 &amp; " US Equity","PX_LAST",$B5,$B5)</f>
        <v>47.05</v>
      </c>
      <c r="L5" cm="1">
        <f t="array" ref="L5">_xll.BDH(L$2 &amp; " US Equity","PX_LAST",$B5,$B5)</f>
        <v>50.01</v>
      </c>
      <c r="M5" cm="1">
        <f t="array" ref="M5">_xll.BDH(M$2 &amp; " US Equity","PX_LAST",$B5,$B5)</f>
        <v>261.56</v>
      </c>
      <c r="N5" cm="1">
        <f t="array" ref="N5">_xll.BDH(N$2 &amp; " US Equity","PX_LAST",$B5,$B5)</f>
        <v>32.99</v>
      </c>
      <c r="O5" cm="1">
        <f t="array" ref="O5">_xll.BDH(O$2 &amp; " US Equity","PX_LAST",$B5,$B5)</f>
        <v>28.99</v>
      </c>
      <c r="P5" cm="1">
        <f t="array" ref="P5">_xll.BDH(P$2 &amp; " US Equity","PX_LAST",$B5,$B5)</f>
        <v>14.2</v>
      </c>
      <c r="Q5" cm="1">
        <f t="array" ref="Q5">_xll.BDH(Q$2 &amp; " US Equity","PX_LAST",$B5,$B5)</f>
        <v>24.79</v>
      </c>
      <c r="R5" cm="1">
        <f t="array" ref="R5">_xll.BDH(R$2 &amp; " US Equity","PX_LAST",$B5,$B5)</f>
        <v>19.940000000000001</v>
      </c>
      <c r="S5" cm="1">
        <f t="array" ref="S5">_xll.BDH(S$2 &amp; " US Equity","PX_LAST",$B5,$B5)</f>
        <v>149.80000000000001</v>
      </c>
      <c r="T5" cm="1">
        <f t="array" ref="T5">_xll.BDH(T$2 &amp; " US Equity","PX_LAST",$B5,$B5)</f>
        <v>59.15</v>
      </c>
      <c r="U5" cm="1">
        <f t="array" ref="U5">_xll.BDH(U$2 &amp; " US Equity","PX_LAST",$B5,$B5)</f>
        <v>96.4</v>
      </c>
      <c r="V5" cm="1">
        <f t="array" ref="V5">_xll.BDH(V$2 &amp; " US Equity","PX_LAST",$B5,$B5)</f>
        <v>41.914999999999999</v>
      </c>
      <c r="W5" cm="1">
        <f t="array" ref="W5">_xll.BDH(W$2 &amp; " US Equity","PX_LAST",$B5,$B5)</f>
        <v>154.9</v>
      </c>
      <c r="X5" cm="1">
        <f t="array" ref="X5">_xll.BDH(X$2 &amp; " US Equity","PX_LAST",$B5,$B5)</f>
        <v>55.08</v>
      </c>
      <c r="Y5" cm="1">
        <f t="array" ref="Y5">_xll.BDH(Y$2 &amp; " US Equity","PX_LAST",$B5,$B5)</f>
        <v>42.54</v>
      </c>
      <c r="Z5" cm="1">
        <f t="array" ref="Z5">_xll.BDH(Z$2 &amp; " US Equity","PX_LAST",$B5,$B5)</f>
        <v>286.43</v>
      </c>
      <c r="AA5" cm="1">
        <f t="array" ref="AA5">_xll.BDH(AA$2 &amp; " PE Equity","PX_LAST",$B5,$B5)</f>
        <v>0.4</v>
      </c>
      <c r="AB5" cm="1">
        <f t="array" ref="AB5">_xll.BDH(AB$2 &amp; " PE Equity","PX_LAST",$B5,$B5)</f>
        <v>27.9</v>
      </c>
      <c r="AC5" cm="1">
        <f t="array" ref="AC5">_xll.BDH(AC$2 &amp; " US Equity","PX_LAST",$B5,$B5)</f>
        <v>67.64</v>
      </c>
      <c r="AD5" cm="1">
        <f t="array" ref="AD5">_xll.BDH(AD$2 &amp; " US Equity","PX_LAST",$B5,$B5)</f>
        <v>643.74</v>
      </c>
      <c r="AE5" t="str" cm="1">
        <f t="array" ref="AE5">_xll.BDH(AE$2 &amp; " PE Equity","PX_LAST",$B5,$B5)</f>
        <v>#N/A Connection</v>
      </c>
      <c r="AF5" cm="1">
        <f t="array" ref="AF5">_xll.BDH(AF$2 &amp; " US Equity","PX_LAST",$B5,$B5)</f>
        <v>51.6447</v>
      </c>
      <c r="AG5" cm="1">
        <f t="array" ref="AG5">_xll.BDH(AG$2 &amp; " US Equity","PX_LAST",$B5,$B5)</f>
        <v>13.188599999999999</v>
      </c>
      <c r="AH5" cm="1">
        <f t="array" ref="AH5">_xll.BDH(AH$2 &amp; " US Equity","PX_LAST",$B5,$B5)</f>
        <v>570.07000000000005</v>
      </c>
      <c r="AI5" cm="1">
        <f t="array" ref="AI5">_xll.BDH(AI$2 &amp; " US Equity","PX_LAST",$B5,$B5)</f>
        <v>107.43</v>
      </c>
      <c r="AJ5" cm="1">
        <f t="array" ref="AJ5">_xll.BDH(AJ$2 &amp; " US Equity","PX_LAST",$B5,$B5)</f>
        <v>117.38</v>
      </c>
      <c r="AK5" cm="1">
        <f t="array" ref="AK5">_xll.BDH(AK$2 &amp; " US Equity","PX_LAST",$B5,$B5)</f>
        <v>115.47</v>
      </c>
      <c r="AL5" cm="1">
        <f t="array" ref="AL5">_xll.BDH(AL$2 &amp; " US Equity","PX_LAST",$B5,$B5)</f>
        <v>225.99</v>
      </c>
      <c r="AM5" cm="1">
        <f t="array" ref="AM5">_xll.BDH(AM$2 &amp; " US Equity","PX_LAST",$B5,$B5)</f>
        <v>44.555</v>
      </c>
      <c r="AN5" cm="1">
        <f t="array" ref="AN5">_xll.BDH(AN$2 &amp; " US Equity","PX_LAST",$B5,$B5)</f>
        <v>23.3932</v>
      </c>
      <c r="AO5" cm="1">
        <f t="array" ref="AO5">_xll.BDH(AO$2 &amp; " US Equity","PX_LAST",$B5,$B5)</f>
        <v>51.79</v>
      </c>
      <c r="AP5" cm="1">
        <f t="array" ref="AP5">_xll.BDH(AP$2 &amp; " US Equity","PX_LAST",$B5,$B5)</f>
        <v>6.34</v>
      </c>
      <c r="AQ5" cm="1">
        <f t="array" ref="AQ5">_xll.BDH(AQ$2 &amp; " US Equity","PX_LAST",$B5,$B5)</f>
        <v>128</v>
      </c>
      <c r="AR5" cm="1">
        <f t="array" ref="AR5">_xll.BDH(AR$2 &amp; " US Equity","PX_LAST",$B5,$B5)</f>
        <v>49.52</v>
      </c>
      <c r="AS5" cm="1">
        <f t="array" ref="AS5">_xll.BDH(AS$2 &amp; " US Equity","PX_LAST",$B5,$B5)</f>
        <v>122.61799999999999</v>
      </c>
      <c r="AT5" cm="1">
        <f t="array" ref="AT5">_xll.BDH(AT$2 &amp; " US Equity","PX_LAST",$B5,$B5)</f>
        <v>6.32</v>
      </c>
      <c r="AU5" cm="1">
        <f t="array" ref="AU5">_xll.BDH(AU$2 &amp; " US Equity","PX_LAST",$B5,$B5)</f>
        <v>307.88</v>
      </c>
      <c r="AV5" cm="1">
        <f t="array" ref="AV5">_xll.BDH(AV$2 &amp; " US Equity","PX_LAST",$B5,$B5)</f>
        <v>238.86</v>
      </c>
      <c r="AW5" cm="1">
        <f t="array" ref="AW5">_xll.BDH(AW$2 &amp; " US Equity","PX_LAST",$B5,$B5)</f>
        <v>134.83000000000001</v>
      </c>
    </row>
    <row r="6" spans="2:49">
      <c r="B6" s="13">
        <v>45904</v>
      </c>
      <c r="C6" cm="1">
        <f t="array" ref="C6">_xll.BDH(C$2 &amp; " US Equity","PX_LAST",$B6,$B6)</f>
        <v>225.28</v>
      </c>
      <c r="D6" cm="1">
        <f t="array" ref="D6">_xll.BDH(D$2 &amp; " PE Equity","PX_LAST",$B6,$B6)</f>
        <v>4</v>
      </c>
      <c r="E6" t="str" cm="1">
        <f t="array" ref="E6">_xll.BDH(E$2 &amp; " PE Equity","PX_LAST",$B6,$B6)</f>
        <v>#N/A N/A</v>
      </c>
      <c r="F6" cm="1">
        <f t="array" ref="F6">_xll.BDH(F$2 &amp; " PE Equity","PX_LAST",$B6,$B6)</f>
        <v>2.54</v>
      </c>
      <c r="G6" cm="1">
        <f t="array" ref="G6">_xll.BDH(G$2 &amp; " US Equity","PX_LAST",$B6,$B6)</f>
        <v>19.84</v>
      </c>
      <c r="H6" cm="1">
        <f t="array" ref="H6">_xll.BDH(H$2 &amp; " PE Equity","PX_LAST",$B6,$B6)</f>
        <v>3.48</v>
      </c>
      <c r="I6" cm="1">
        <f t="array" ref="I6">_xll.BDH(I$2 &amp; " US Equity","PX_LAST",$B6,$B6)</f>
        <v>42.02</v>
      </c>
      <c r="J6" cm="1">
        <f t="array" ref="J6">_xll.BDH(J$2 &amp; " US Equity","PX_LAST",$B6,$B6)</f>
        <v>6.7864000000000004</v>
      </c>
      <c r="K6" cm="1">
        <f t="array" ref="K6">_xll.BDH(K$2 &amp; " US Equity","PX_LAST",$B6,$B6)</f>
        <v>47.48</v>
      </c>
      <c r="L6" cm="1">
        <f t="array" ref="L6">_xll.BDH(L$2 &amp; " US Equity","PX_LAST",$B6,$B6)</f>
        <v>49.85</v>
      </c>
      <c r="M6" cm="1">
        <f t="array" ref="M6">_xll.BDH(M$2 &amp; " US Equity","PX_LAST",$B6,$B6)</f>
        <v>259.98</v>
      </c>
      <c r="N6" cm="1">
        <f t="array" ref="N6">_xll.BDH(N$2 &amp; " US Equity","PX_LAST",$B6,$B6)</f>
        <v>33.369999999999997</v>
      </c>
      <c r="O6" cm="1">
        <f t="array" ref="O6">_xll.BDH(O$2 &amp; " US Equity","PX_LAST",$B6,$B6)</f>
        <v>29.17</v>
      </c>
      <c r="P6" cm="1">
        <f t="array" ref="P6">_xll.BDH(P$2 &amp; " US Equity","PX_LAST",$B6,$B6)</f>
        <v>14.33</v>
      </c>
      <c r="Q6" cm="1">
        <f t="array" ref="Q6">_xll.BDH(Q$2 &amp; " US Equity","PX_LAST",$B6,$B6)</f>
        <v>24.54</v>
      </c>
      <c r="R6" cm="1">
        <f t="array" ref="R6">_xll.BDH(R$2 &amp; " US Equity","PX_LAST",$B6,$B6)</f>
        <v>19.82</v>
      </c>
      <c r="S6" cm="1">
        <f t="array" ref="S6">_xll.BDH(S$2 &amp; " US Equity","PX_LAST",$B6,$B6)</f>
        <v>151.49</v>
      </c>
      <c r="T6" cm="1">
        <f t="array" ref="T6">_xll.BDH(T$2 &amp; " US Equity","PX_LAST",$B6,$B6)</f>
        <v>59.48</v>
      </c>
      <c r="U6" cm="1">
        <f t="array" ref="U6">_xll.BDH(U$2 &amp; " US Equity","PX_LAST",$B6,$B6)</f>
        <v>98.21</v>
      </c>
      <c r="V6" cm="1">
        <f t="array" ref="V6">_xll.BDH(V$2 &amp; " US Equity","PX_LAST",$B6,$B6)</f>
        <v>41.865000000000002</v>
      </c>
      <c r="W6" cm="1">
        <f t="array" ref="W6">_xll.BDH(W$2 &amp; " US Equity","PX_LAST",$B6,$B6)</f>
        <v>156.13999999999999</v>
      </c>
      <c r="X6" cm="1">
        <f t="array" ref="X6">_xll.BDH(X$2 &amp; " US Equity","PX_LAST",$B6,$B6)</f>
        <v>55.71</v>
      </c>
      <c r="Y6" cm="1">
        <f t="array" ref="Y6">_xll.BDH(Y$2 &amp; " US Equity","PX_LAST",$B6,$B6)</f>
        <v>42.56</v>
      </c>
      <c r="Z6" cm="1">
        <f t="array" ref="Z6">_xll.BDH(Z$2 &amp; " US Equity","PX_LAST",$B6,$B6)</f>
        <v>289.86</v>
      </c>
      <c r="AA6" cm="1">
        <f t="array" ref="AA6">_xll.BDH(AA$2 &amp; " PE Equity","PX_LAST",$B6,$B6)</f>
        <v>0.4</v>
      </c>
      <c r="AB6" cm="1">
        <f t="array" ref="AB6">_xll.BDH(AB$2 &amp; " PE Equity","PX_LAST",$B6,$B6)</f>
        <v>27.5</v>
      </c>
      <c r="AC6" cm="1">
        <f t="array" ref="AC6">_xll.BDH(AC$2 &amp; " US Equity","PX_LAST",$B6,$B6)</f>
        <v>68.25</v>
      </c>
      <c r="AD6" cm="1">
        <f t="array" ref="AD6">_xll.BDH(AD$2 &amp; " US Equity","PX_LAST",$B6,$B6)</f>
        <v>649.12</v>
      </c>
      <c r="AE6" t="str" cm="1">
        <f t="array" ref="AE6">_xll.BDH(AE$2 &amp; " PE Equity","PX_LAST",$B6,$B6)</f>
        <v>#N/A Connection</v>
      </c>
      <c r="AF6" cm="1">
        <f t="array" ref="AF6">_xll.BDH(AF$2 &amp; " US Equity","PX_LAST",$B6,$B6)</f>
        <v>51.773899999999998</v>
      </c>
      <c r="AG6" cm="1">
        <f t="array" ref="AG6">_xll.BDH(AG$2 &amp; " US Equity","PX_LAST",$B6,$B6)</f>
        <v>13.3765</v>
      </c>
      <c r="AH6" cm="1">
        <f t="array" ref="AH6">_xll.BDH(AH$2 &amp; " US Equity","PX_LAST",$B6,$B6)</f>
        <v>575.23</v>
      </c>
      <c r="AI6" cm="1">
        <f t="array" ref="AI6">_xll.BDH(AI$2 &amp; " US Equity","PX_LAST",$B6,$B6)</f>
        <v>108.84</v>
      </c>
      <c r="AJ6" cm="1">
        <f t="array" ref="AJ6">_xll.BDH(AJ$2 &amp; " US Equity","PX_LAST",$B6,$B6)</f>
        <v>118.81</v>
      </c>
      <c r="AK6" cm="1">
        <f t="array" ref="AK6">_xll.BDH(AK$2 &amp; " US Equity","PX_LAST",$B6,$B6)</f>
        <v>117.58</v>
      </c>
      <c r="AL6" cm="1">
        <f t="array" ref="AL6">_xll.BDH(AL$2 &amp; " US Equity","PX_LAST",$B6,$B6)</f>
        <v>235.68</v>
      </c>
      <c r="AM6" cm="1">
        <f t="array" ref="AM6">_xll.BDH(AM$2 &amp; " US Equity","PX_LAST",$B6,$B6)</f>
        <v>45.76</v>
      </c>
      <c r="AN6" cm="1">
        <f t="array" ref="AN6">_xll.BDH(AN$2 &amp; " US Equity","PX_LAST",$B6,$B6)</f>
        <v>22.795000000000002</v>
      </c>
      <c r="AO6" cm="1">
        <f t="array" ref="AO6">_xll.BDH(AO$2 &amp; " US Equity","PX_LAST",$B6,$B6)</f>
        <v>50.18</v>
      </c>
      <c r="AP6" cm="1">
        <f t="array" ref="AP6">_xll.BDH(AP$2 &amp; " US Equity","PX_LAST",$B6,$B6)</f>
        <v>6.36</v>
      </c>
      <c r="AQ6" cm="1">
        <f t="array" ref="AQ6">_xll.BDH(AQ$2 &amp; " US Equity","PX_LAST",$B6,$B6)</f>
        <v>129.16999999999999</v>
      </c>
      <c r="AR6" cm="1">
        <f t="array" ref="AR6">_xll.BDH(AR$2 &amp; " US Equity","PX_LAST",$B6,$B6)</f>
        <v>50.54</v>
      </c>
      <c r="AS6" cm="1">
        <f t="array" ref="AS6">_xll.BDH(AS$2 &amp; " US Equity","PX_LAST",$B6,$B6)</f>
        <v>125.748</v>
      </c>
      <c r="AT6" cm="1">
        <f t="array" ref="AT6">_xll.BDH(AT$2 &amp; " US Equity","PX_LAST",$B6,$B6)</f>
        <v>6.13</v>
      </c>
      <c r="AU6" cm="1">
        <f t="array" ref="AU6">_xll.BDH(AU$2 &amp; " US Equity","PX_LAST",$B6,$B6)</f>
        <v>310.38</v>
      </c>
      <c r="AV6" cm="1">
        <f t="array" ref="AV6">_xll.BDH(AV$2 &amp; " US Equity","PX_LAST",$B6,$B6)</f>
        <v>240.65</v>
      </c>
      <c r="AW6" cm="1">
        <f t="array" ref="AW6">_xll.BDH(AW$2 &amp; " US Equity","PX_LAST",$B6,$B6)</f>
        <v>137.35</v>
      </c>
    </row>
    <row r="7" spans="2:49">
      <c r="B7" s="13">
        <v>45905</v>
      </c>
      <c r="C7" cm="1">
        <f t="array" ref="C7">_xll.BDH(C$2 &amp; " US Equity","PX_LAST",$B7,$B7)</f>
        <v>227.72</v>
      </c>
      <c r="D7" cm="1">
        <f t="array" ref="D7">_xll.BDH(D$2 &amp; " PE Equity","PX_LAST",$B7,$B7)</f>
        <v>4</v>
      </c>
      <c r="E7" t="str" cm="1">
        <f t="array" ref="E7">_xll.BDH(E$2 &amp; " PE Equity","PX_LAST",$B7,$B7)</f>
        <v>#N/A N/A</v>
      </c>
      <c r="F7" cm="1">
        <f t="array" ref="F7">_xll.BDH(F$2 &amp; " PE Equity","PX_LAST",$B7,$B7)</f>
        <v>2.59</v>
      </c>
      <c r="G7" cm="1">
        <f t="array" ref="G7">_xll.BDH(G$2 &amp; " US Equity","PX_LAST",$B7,$B7)</f>
        <v>19.829999999999998</v>
      </c>
      <c r="H7" cm="1">
        <f t="array" ref="H7">_xll.BDH(H$2 &amp; " PE Equity","PX_LAST",$B7,$B7)</f>
        <v>3.47</v>
      </c>
      <c r="I7" cm="1">
        <f t="array" ref="I7">_xll.BDH(I$2 &amp; " US Equity","PX_LAST",$B7,$B7)</f>
        <v>44.04</v>
      </c>
      <c r="J7" cm="1">
        <f t="array" ref="J7">_xll.BDH(J$2 &amp; " US Equity","PX_LAST",$B7,$B7)</f>
        <v>6.8932000000000002</v>
      </c>
      <c r="K7" cm="1">
        <f t="array" ref="K7">_xll.BDH(K$2 &amp; " US Equity","PX_LAST",$B7,$B7)</f>
        <v>47.6</v>
      </c>
      <c r="L7" cm="1">
        <f t="array" ref="L7">_xll.BDH(L$2 &amp; " US Equity","PX_LAST",$B7,$B7)</f>
        <v>50.45</v>
      </c>
      <c r="M7" cm="1">
        <f t="array" ref="M7">_xll.BDH(M$2 &amp; " US Equity","PX_LAST",$B7,$B7)</f>
        <v>261.2</v>
      </c>
      <c r="N7" cm="1">
        <f t="array" ref="N7">_xll.BDH(N$2 &amp; " US Equity","PX_LAST",$B7,$B7)</f>
        <v>33.31</v>
      </c>
      <c r="O7" cm="1">
        <f t="array" ref="O7">_xll.BDH(O$2 &amp; " US Equity","PX_LAST",$B7,$B7)</f>
        <v>29.63</v>
      </c>
      <c r="P7" cm="1">
        <f t="array" ref="P7">_xll.BDH(P$2 &amp; " US Equity","PX_LAST",$B7,$B7)</f>
        <v>14.68</v>
      </c>
      <c r="Q7" cm="1">
        <f t="array" ref="Q7">_xll.BDH(Q$2 &amp; " US Equity","PX_LAST",$B7,$B7)</f>
        <v>24.88</v>
      </c>
      <c r="R7" cm="1">
        <f t="array" ref="R7">_xll.BDH(R$2 &amp; " US Equity","PX_LAST",$B7,$B7)</f>
        <v>19.989999999999998</v>
      </c>
      <c r="S7" cm="1">
        <f t="array" ref="S7">_xll.BDH(S$2 &amp; " US Equity","PX_LAST",$B7,$B7)</f>
        <v>150.93</v>
      </c>
      <c r="T7" cm="1">
        <f t="array" ref="T7">_xll.BDH(T$2 &amp; " US Equity","PX_LAST",$B7,$B7)</f>
        <v>59.65</v>
      </c>
      <c r="U7" cm="1">
        <f t="array" ref="U7">_xll.BDH(U$2 &amp; " US Equity","PX_LAST",$B7,$B7)</f>
        <v>101.96</v>
      </c>
      <c r="V7" cm="1">
        <f t="array" ref="V7">_xll.BDH(V$2 &amp; " US Equity","PX_LAST",$B7,$B7)</f>
        <v>41.734999999999999</v>
      </c>
      <c r="W7" cm="1">
        <f t="array" ref="W7">_xll.BDH(W$2 &amp; " US Equity","PX_LAST",$B7,$B7)</f>
        <v>153.11000000000001</v>
      </c>
      <c r="X7" cm="1">
        <f t="array" ref="X7">_xll.BDH(X$2 &amp; " US Equity","PX_LAST",$B7,$B7)</f>
        <v>56.25</v>
      </c>
      <c r="Y7" cm="1">
        <f t="array" ref="Y7">_xll.BDH(Y$2 &amp; " US Equity","PX_LAST",$B7,$B7)</f>
        <v>42.56</v>
      </c>
      <c r="Z7" cm="1">
        <f t="array" ref="Z7">_xll.BDH(Z$2 &amp; " US Equity","PX_LAST",$B7,$B7)</f>
        <v>293.27999999999997</v>
      </c>
      <c r="AA7" cm="1">
        <f t="array" ref="AA7">_xll.BDH(AA$2 &amp; " PE Equity","PX_LAST",$B7,$B7)</f>
        <v>0.4</v>
      </c>
      <c r="AB7" cm="1">
        <f t="array" ref="AB7">_xll.BDH(AB$2 &amp; " PE Equity","PX_LAST",$B7,$B7)</f>
        <v>27.1</v>
      </c>
      <c r="AC7" cm="1">
        <f t="array" ref="AC7">_xll.BDH(AC$2 &amp; " US Equity","PX_LAST",$B7,$B7)</f>
        <v>68.06</v>
      </c>
      <c r="AD7" cm="1">
        <f t="array" ref="AD7">_xll.BDH(AD$2 &amp; " US Equity","PX_LAST",$B7,$B7)</f>
        <v>647.24</v>
      </c>
      <c r="AE7" t="str" cm="1">
        <f t="array" ref="AE7">_xll.BDH(AE$2 &amp; " PE Equity","PX_LAST",$B7,$B7)</f>
        <v>#N/A Connection</v>
      </c>
      <c r="AF7" cm="1">
        <f t="array" ref="AF7">_xll.BDH(AF$2 &amp; " US Equity","PX_LAST",$B7,$B7)</f>
        <v>51.981699999999996</v>
      </c>
      <c r="AG7" cm="1">
        <f t="array" ref="AG7">_xll.BDH(AG$2 &amp; " US Equity","PX_LAST",$B7,$B7)</f>
        <v>13.7</v>
      </c>
      <c r="AH7" cm="1">
        <f t="array" ref="AH7">_xll.BDH(AH$2 &amp; " US Equity","PX_LAST",$B7,$B7)</f>
        <v>576.05999999999995</v>
      </c>
      <c r="AI7" cm="1">
        <f t="array" ref="AI7">_xll.BDH(AI$2 &amp; " US Equity","PX_LAST",$B7,$B7)</f>
        <v>105.71</v>
      </c>
      <c r="AJ7" cm="1">
        <f t="array" ref="AJ7">_xll.BDH(AJ$2 &amp; " US Equity","PX_LAST",$B7,$B7)</f>
        <v>117.91</v>
      </c>
      <c r="AK7" cm="1">
        <f t="array" ref="AK7">_xll.BDH(AK$2 &amp; " US Equity","PX_LAST",$B7,$B7)</f>
        <v>117.55500000000001</v>
      </c>
      <c r="AL7" cm="1">
        <f t="array" ref="AL7">_xll.BDH(AL$2 &amp; " US Equity","PX_LAST",$B7,$B7)</f>
        <v>232.33</v>
      </c>
      <c r="AM7" cm="1">
        <f t="array" ref="AM7">_xll.BDH(AM$2 &amp; " US Equity","PX_LAST",$B7,$B7)</f>
        <v>45.91</v>
      </c>
      <c r="AN7" cm="1">
        <f t="array" ref="AN7">_xll.BDH(AN$2 &amp; " US Equity","PX_LAST",$B7,$B7)</f>
        <v>23.471800000000002</v>
      </c>
      <c r="AO7" cm="1">
        <f t="array" ref="AO7">_xll.BDH(AO$2 &amp; " US Equity","PX_LAST",$B7,$B7)</f>
        <v>51.68</v>
      </c>
      <c r="AP7" cm="1">
        <f t="array" ref="AP7">_xll.BDH(AP$2 &amp; " US Equity","PX_LAST",$B7,$B7)</f>
        <v>6.36</v>
      </c>
      <c r="AQ7" cm="1">
        <f t="array" ref="AQ7">_xll.BDH(AQ$2 &amp; " US Equity","PX_LAST",$B7,$B7)</f>
        <v>129.88999999999999</v>
      </c>
      <c r="AR7" cm="1">
        <f t="array" ref="AR7">_xll.BDH(AR$2 &amp; " US Equity","PX_LAST",$B7,$B7)</f>
        <v>52.12</v>
      </c>
      <c r="AS7" cm="1">
        <f t="array" ref="AS7">_xll.BDH(AS$2 &amp; " US Equity","PX_LAST",$B7,$B7)</f>
        <v>124.38200000000001</v>
      </c>
      <c r="AT7" cm="1">
        <f t="array" ref="AT7">_xll.BDH(AT$2 &amp; " US Equity","PX_LAST",$B7,$B7)</f>
        <v>5.95</v>
      </c>
      <c r="AU7" cm="1">
        <f t="array" ref="AU7">_xll.BDH(AU$2 &amp; " US Equity","PX_LAST",$B7,$B7)</f>
        <v>315.39</v>
      </c>
      <c r="AV7" cm="1">
        <f t="array" ref="AV7">_xll.BDH(AV$2 &amp; " US Equity","PX_LAST",$B7,$B7)</f>
        <v>239.68</v>
      </c>
      <c r="AW7" cm="1">
        <f t="array" ref="AW7">_xll.BDH(AW$2 &amp; " US Equity","PX_LAST",$B7,$B7)</f>
        <v>135.53</v>
      </c>
    </row>
    <row r="8" spans="2:49">
      <c r="B8" s="13">
        <v>45906</v>
      </c>
      <c r="C8" t="str" cm="1">
        <f t="array" ref="C8">_xll.BDH(C$2 &amp; " US Equity","PX_LAST",$B8,$B8)</f>
        <v>#N/A N/A</v>
      </c>
      <c r="D8" t="str" cm="1">
        <f t="array" ref="D8">_xll.BDH(D$2 &amp; " PE Equity","PX_LAST",$B8,$B8)</f>
        <v>#N/A N/A</v>
      </c>
      <c r="E8" t="str" cm="1">
        <f t="array" ref="E8">_xll.BDH(E$2 &amp; " PE Equity","PX_LAST",$B8,$B8)</f>
        <v>#N/A N/A</v>
      </c>
      <c r="F8" t="str" cm="1">
        <f t="array" ref="F8">_xll.BDH(F$2 &amp; " PE Equity","PX_LAST",$B8,$B8)</f>
        <v>#N/A N/A</v>
      </c>
      <c r="G8" t="str" cm="1">
        <f t="array" ref="G8">_xll.BDH(G$2 &amp; " US Equity","PX_LAST",$B8,$B8)</f>
        <v>#N/A N/A</v>
      </c>
      <c r="H8" t="str" cm="1">
        <f t="array" ref="H8">_xll.BDH(H$2 &amp; " PE Equity","PX_LAST",$B8,$B8)</f>
        <v>#N/A N/A</v>
      </c>
      <c r="I8" t="str" cm="1">
        <f t="array" ref="I8">_xll.BDH(I$2 &amp; " US Equity","PX_LAST",$B8,$B8)</f>
        <v>#N/A N/A</v>
      </c>
      <c r="J8" t="str" cm="1">
        <f t="array" ref="J8">_xll.BDH(J$2 &amp; " US Equity","PX_LAST",$B8,$B8)</f>
        <v>#N/A N/A</v>
      </c>
      <c r="K8" t="str" cm="1">
        <f t="array" ref="K8">_xll.BDH(K$2 &amp; " US Equity","PX_LAST",$B8,$B8)</f>
        <v>#N/A N/A</v>
      </c>
      <c r="L8" t="str" cm="1">
        <f t="array" ref="L8">_xll.BDH(L$2 &amp; " US Equity","PX_LAST",$B8,$B8)</f>
        <v>#N/A N/A</v>
      </c>
      <c r="M8" t="str" cm="1">
        <f t="array" ref="M8">_xll.BDH(M$2 &amp; " US Equity","PX_LAST",$B8,$B8)</f>
        <v>#N/A N/A</v>
      </c>
      <c r="N8" t="str" cm="1">
        <f t="array" ref="N8">_xll.BDH(N$2 &amp; " US Equity","PX_LAST",$B8,$B8)</f>
        <v>#N/A N/A</v>
      </c>
      <c r="O8" t="str" cm="1">
        <f t="array" ref="O8">_xll.BDH(O$2 &amp; " US Equity","PX_LAST",$B8,$B8)</f>
        <v>#N/A N/A</v>
      </c>
      <c r="P8" t="str" cm="1">
        <f t="array" ref="P8">_xll.BDH(P$2 &amp; " US Equity","PX_LAST",$B8,$B8)</f>
        <v>#N/A N/A</v>
      </c>
      <c r="Q8" t="str" cm="1">
        <f t="array" ref="Q8">_xll.BDH(Q$2 &amp; " US Equity","PX_LAST",$B8,$B8)</f>
        <v>#N/A N/A</v>
      </c>
      <c r="R8" t="str" cm="1">
        <f t="array" ref="R8">_xll.BDH(R$2 &amp; " US Equity","PX_LAST",$B8,$B8)</f>
        <v>#N/A N/A</v>
      </c>
      <c r="S8" t="str" cm="1">
        <f t="array" ref="S8">_xll.BDH(S$2 &amp; " US Equity","PX_LAST",$B8,$B8)</f>
        <v>#N/A N/A</v>
      </c>
      <c r="T8" t="str" cm="1">
        <f t="array" ref="T8">_xll.BDH(T$2 &amp; " US Equity","PX_LAST",$B8,$B8)</f>
        <v>#N/A N/A</v>
      </c>
      <c r="U8" t="str" cm="1">
        <f t="array" ref="U8">_xll.BDH(U$2 &amp; " US Equity","PX_LAST",$B8,$B8)</f>
        <v>#N/A N/A</v>
      </c>
      <c r="V8" t="str" cm="1">
        <f t="array" ref="V8">_xll.BDH(V$2 &amp; " US Equity","PX_LAST",$B8,$B8)</f>
        <v>#N/A N/A</v>
      </c>
      <c r="W8" t="str" cm="1">
        <f t="array" ref="W8">_xll.BDH(W$2 &amp; " US Equity","PX_LAST",$B8,$B8)</f>
        <v>#N/A N/A</v>
      </c>
      <c r="X8" t="str" cm="1">
        <f t="array" ref="X8">_xll.BDH(X$2 &amp; " US Equity","PX_LAST",$B8,$B8)</f>
        <v>#N/A N/A</v>
      </c>
      <c r="Y8" t="str" cm="1">
        <f t="array" ref="Y8">_xll.BDH(Y$2 &amp; " US Equity","PX_LAST",$B8,$B8)</f>
        <v>#N/A N/A</v>
      </c>
      <c r="Z8" t="str" cm="1">
        <f t="array" ref="Z8">_xll.BDH(Z$2 &amp; " US Equity","PX_LAST",$B8,$B8)</f>
        <v>#N/A N/A</v>
      </c>
      <c r="AA8" t="str" cm="1">
        <f t="array" ref="AA8">_xll.BDH(AA$2 &amp; " PE Equity","PX_LAST",$B8,$B8)</f>
        <v>#N/A N/A</v>
      </c>
      <c r="AB8" t="str" cm="1">
        <f t="array" ref="AB8">_xll.BDH(AB$2 &amp; " PE Equity","PX_LAST",$B8,$B8)</f>
        <v>#N/A N/A</v>
      </c>
      <c r="AC8" t="str" cm="1">
        <f t="array" ref="AC8">_xll.BDH(AC$2 &amp; " US Equity","PX_LAST",$B8,$B8)</f>
        <v>#N/A N/A</v>
      </c>
      <c r="AD8" t="str" cm="1">
        <f t="array" ref="AD8">_xll.BDH(AD$2 &amp; " US Equity","PX_LAST",$B8,$B8)</f>
        <v>#N/A N/A</v>
      </c>
      <c r="AE8" t="str" cm="1">
        <f t="array" ref="AE8">_xll.BDH(AE$2 &amp; " PE Equity","PX_LAST",$B8,$B8)</f>
        <v>#N/A Connection</v>
      </c>
      <c r="AF8" t="str" cm="1">
        <f t="array" ref="AF8">_xll.BDH(AF$2 &amp; " US Equity","PX_LAST",$B8,$B8)</f>
        <v>#N/A N/A</v>
      </c>
      <c r="AG8" t="str" cm="1">
        <f t="array" ref="AG8">_xll.BDH(AG$2 &amp; " US Equity","PX_LAST",$B8,$B8)</f>
        <v>#N/A N/A</v>
      </c>
      <c r="AH8" t="str" cm="1">
        <f t="array" ref="AH8">_xll.BDH(AH$2 &amp; " US Equity","PX_LAST",$B8,$B8)</f>
        <v>#N/A N/A</v>
      </c>
      <c r="AI8" t="str" cm="1">
        <f t="array" ref="AI8">_xll.BDH(AI$2 &amp; " US Equity","PX_LAST",$B8,$B8)</f>
        <v>#N/A N/A</v>
      </c>
      <c r="AJ8" t="str" cm="1">
        <f t="array" ref="AJ8">_xll.BDH(AJ$2 &amp; " US Equity","PX_LAST",$B8,$B8)</f>
        <v>#N/A N/A</v>
      </c>
      <c r="AK8" t="str" cm="1">
        <f t="array" ref="AK8">_xll.BDH(AK$2 &amp; " US Equity","PX_LAST",$B8,$B8)</f>
        <v>#N/A N/A</v>
      </c>
      <c r="AL8" t="str" cm="1">
        <f t="array" ref="AL8">_xll.BDH(AL$2 &amp; " US Equity","PX_LAST",$B8,$B8)</f>
        <v>#N/A N/A</v>
      </c>
      <c r="AM8" t="str" cm="1">
        <f t="array" ref="AM8">_xll.BDH(AM$2 &amp; " US Equity","PX_LAST",$B8,$B8)</f>
        <v>#N/A N/A</v>
      </c>
      <c r="AN8" t="str" cm="1">
        <f t="array" ref="AN8">_xll.BDH(AN$2 &amp; " US Equity","PX_LAST",$B8,$B8)</f>
        <v>#N/A N/A</v>
      </c>
      <c r="AO8" t="str" cm="1">
        <f t="array" ref="AO8">_xll.BDH(AO$2 &amp; " US Equity","PX_LAST",$B8,$B8)</f>
        <v>#N/A N/A</v>
      </c>
      <c r="AP8" t="str" cm="1">
        <f t="array" ref="AP8">_xll.BDH(AP$2 &amp; " US Equity","PX_LAST",$B8,$B8)</f>
        <v>#N/A N/A</v>
      </c>
      <c r="AQ8" t="str" cm="1">
        <f t="array" ref="AQ8">_xll.BDH(AQ$2 &amp; " US Equity","PX_LAST",$B8,$B8)</f>
        <v>#N/A N/A</v>
      </c>
      <c r="AR8" t="str" cm="1">
        <f t="array" ref="AR8">_xll.BDH(AR$2 &amp; " US Equity","PX_LAST",$B8,$B8)</f>
        <v>#N/A N/A</v>
      </c>
      <c r="AS8" t="str" cm="1">
        <f t="array" ref="AS8">_xll.BDH(AS$2 &amp; " US Equity","PX_LAST",$B8,$B8)</f>
        <v>#N/A N/A</v>
      </c>
      <c r="AT8" t="str" cm="1">
        <f t="array" ref="AT8">_xll.BDH(AT$2 &amp; " US Equity","PX_LAST",$B8,$B8)</f>
        <v>#N/A N/A</v>
      </c>
      <c r="AU8" t="str" cm="1">
        <f t="array" ref="AU8">_xll.BDH(AU$2 &amp; " US Equity","PX_LAST",$B8,$B8)</f>
        <v>#N/A N/A</v>
      </c>
      <c r="AV8" t="str" cm="1">
        <f t="array" ref="AV8">_xll.BDH(AV$2 &amp; " US Equity","PX_LAST",$B8,$B8)</f>
        <v>#N/A N/A</v>
      </c>
      <c r="AW8" t="str" cm="1">
        <f t="array" ref="AW8">_xll.BDH(AW$2 &amp; " US Equity","PX_LAST",$B8,$B8)</f>
        <v>#N/A N/A</v>
      </c>
    </row>
    <row r="9" spans="2:49">
      <c r="B9" s="13">
        <v>45907</v>
      </c>
      <c r="C9" t="str" cm="1">
        <f t="array" ref="C9">_xll.BDH(C$2 &amp; " US Equity","PX_LAST",$B9,$B9)</f>
        <v>#N/A N/A</v>
      </c>
      <c r="D9" t="str" cm="1">
        <f t="array" ref="D9">_xll.BDH(D$2 &amp; " PE Equity","PX_LAST",$B9,$B9)</f>
        <v>#N/A N/A</v>
      </c>
      <c r="E9" t="str" cm="1">
        <f t="array" ref="E9">_xll.BDH(E$2 &amp; " PE Equity","PX_LAST",$B9,$B9)</f>
        <v>#N/A N/A</v>
      </c>
      <c r="F9" t="str" cm="1">
        <f t="array" ref="F9">_xll.BDH(F$2 &amp; " PE Equity","PX_LAST",$B9,$B9)</f>
        <v>#N/A N/A</v>
      </c>
      <c r="G9" t="str" cm="1">
        <f t="array" ref="G9">_xll.BDH(G$2 &amp; " US Equity","PX_LAST",$B9,$B9)</f>
        <v>#N/A N/A</v>
      </c>
      <c r="H9" t="str" cm="1">
        <f t="array" ref="H9">_xll.BDH(H$2 &amp; " PE Equity","PX_LAST",$B9,$B9)</f>
        <v>#N/A N/A</v>
      </c>
      <c r="I9" t="str" cm="1">
        <f t="array" ref="I9">_xll.BDH(I$2 &amp; " US Equity","PX_LAST",$B9,$B9)</f>
        <v>#N/A N/A</v>
      </c>
      <c r="J9" t="str" cm="1">
        <f t="array" ref="J9">_xll.BDH(J$2 &amp; " US Equity","PX_LAST",$B9,$B9)</f>
        <v>#N/A N/A</v>
      </c>
      <c r="K9" t="str" cm="1">
        <f t="array" ref="K9">_xll.BDH(K$2 &amp; " US Equity","PX_LAST",$B9,$B9)</f>
        <v>#N/A N/A</v>
      </c>
      <c r="L9" t="str" cm="1">
        <f t="array" ref="L9">_xll.BDH(L$2 &amp; " US Equity","PX_LAST",$B9,$B9)</f>
        <v>#N/A N/A</v>
      </c>
      <c r="M9" t="str" cm="1">
        <f t="array" ref="M9">_xll.BDH(M$2 &amp; " US Equity","PX_LAST",$B9,$B9)</f>
        <v>#N/A N/A</v>
      </c>
      <c r="N9" t="str" cm="1">
        <f t="array" ref="N9">_xll.BDH(N$2 &amp; " US Equity","PX_LAST",$B9,$B9)</f>
        <v>#N/A N/A</v>
      </c>
      <c r="O9" t="str" cm="1">
        <f t="array" ref="O9">_xll.BDH(O$2 &amp; " US Equity","PX_LAST",$B9,$B9)</f>
        <v>#N/A N/A</v>
      </c>
      <c r="P9" t="str" cm="1">
        <f t="array" ref="P9">_xll.BDH(P$2 &amp; " US Equity","PX_LAST",$B9,$B9)</f>
        <v>#N/A N/A</v>
      </c>
      <c r="Q9" t="str" cm="1">
        <f t="array" ref="Q9">_xll.BDH(Q$2 &amp; " US Equity","PX_LAST",$B9,$B9)</f>
        <v>#N/A N/A</v>
      </c>
      <c r="R9" t="str" cm="1">
        <f t="array" ref="R9">_xll.BDH(R$2 &amp; " US Equity","PX_LAST",$B9,$B9)</f>
        <v>#N/A N/A</v>
      </c>
      <c r="S9" t="str" cm="1">
        <f t="array" ref="S9">_xll.BDH(S$2 &amp; " US Equity","PX_LAST",$B9,$B9)</f>
        <v>#N/A N/A</v>
      </c>
      <c r="T9" t="str" cm="1">
        <f t="array" ref="T9">_xll.BDH(T$2 &amp; " US Equity","PX_LAST",$B9,$B9)</f>
        <v>#N/A N/A</v>
      </c>
      <c r="U9" t="str" cm="1">
        <f t="array" ref="U9">_xll.BDH(U$2 &amp; " US Equity","PX_LAST",$B9,$B9)</f>
        <v>#N/A N/A</v>
      </c>
      <c r="V9" t="str" cm="1">
        <f t="array" ref="V9">_xll.BDH(V$2 &amp; " US Equity","PX_LAST",$B9,$B9)</f>
        <v>#N/A N/A</v>
      </c>
      <c r="W9" t="str" cm="1">
        <f t="array" ref="W9">_xll.BDH(W$2 &amp; " US Equity","PX_LAST",$B9,$B9)</f>
        <v>#N/A N/A</v>
      </c>
      <c r="X9" t="str" cm="1">
        <f t="array" ref="X9">_xll.BDH(X$2 &amp; " US Equity","PX_LAST",$B9,$B9)</f>
        <v>#N/A N/A</v>
      </c>
      <c r="Y9" t="str" cm="1">
        <f t="array" ref="Y9">_xll.BDH(Y$2 &amp; " US Equity","PX_LAST",$B9,$B9)</f>
        <v>#N/A N/A</v>
      </c>
      <c r="Z9" t="str" cm="1">
        <f t="array" ref="Z9">_xll.BDH(Z$2 &amp; " US Equity","PX_LAST",$B9,$B9)</f>
        <v>#N/A N/A</v>
      </c>
      <c r="AA9" t="str" cm="1">
        <f t="array" ref="AA9">_xll.BDH(AA$2 &amp; " PE Equity","PX_LAST",$B9,$B9)</f>
        <v>#N/A N/A</v>
      </c>
      <c r="AB9" t="str" cm="1">
        <f t="array" ref="AB9">_xll.BDH(AB$2 &amp; " PE Equity","PX_LAST",$B9,$B9)</f>
        <v>#N/A N/A</v>
      </c>
      <c r="AC9" t="str" cm="1">
        <f t="array" ref="AC9">_xll.BDH(AC$2 &amp; " US Equity","PX_LAST",$B9,$B9)</f>
        <v>#N/A N/A</v>
      </c>
      <c r="AD9" t="str" cm="1">
        <f t="array" ref="AD9">_xll.BDH(AD$2 &amp; " US Equity","PX_LAST",$B9,$B9)</f>
        <v>#N/A N/A</v>
      </c>
      <c r="AE9" t="str" cm="1">
        <f t="array" ref="AE9">_xll.BDH(AE$2 &amp; " PE Equity","PX_LAST",$B9,$B9)</f>
        <v>#N/A Connection</v>
      </c>
      <c r="AF9" t="str" cm="1">
        <f t="array" ref="AF9">_xll.BDH(AF$2 &amp; " US Equity","PX_LAST",$B9,$B9)</f>
        <v>#N/A N/A</v>
      </c>
      <c r="AG9" t="str" cm="1">
        <f t="array" ref="AG9">_xll.BDH(AG$2 &amp; " US Equity","PX_LAST",$B9,$B9)</f>
        <v>#N/A N/A</v>
      </c>
      <c r="AH9" t="str" cm="1">
        <f t="array" ref="AH9">_xll.BDH(AH$2 &amp; " US Equity","PX_LAST",$B9,$B9)</f>
        <v>#N/A N/A</v>
      </c>
      <c r="AI9" t="str" cm="1">
        <f t="array" ref="AI9">_xll.BDH(AI$2 &amp; " US Equity","PX_LAST",$B9,$B9)</f>
        <v>#N/A N/A</v>
      </c>
      <c r="AJ9" t="str" cm="1">
        <f t="array" ref="AJ9">_xll.BDH(AJ$2 &amp; " US Equity","PX_LAST",$B9,$B9)</f>
        <v>#N/A N/A</v>
      </c>
      <c r="AK9" t="str" cm="1">
        <f t="array" ref="AK9">_xll.BDH(AK$2 &amp; " US Equity","PX_LAST",$B9,$B9)</f>
        <v>#N/A N/A</v>
      </c>
      <c r="AL9" t="str" cm="1">
        <f t="array" ref="AL9">_xll.BDH(AL$2 &amp; " US Equity","PX_LAST",$B9,$B9)</f>
        <v>#N/A N/A</v>
      </c>
      <c r="AM9" t="str" cm="1">
        <f t="array" ref="AM9">_xll.BDH(AM$2 &amp; " US Equity","PX_LAST",$B9,$B9)</f>
        <v>#N/A N/A</v>
      </c>
      <c r="AN9" t="str" cm="1">
        <f t="array" ref="AN9">_xll.BDH(AN$2 &amp; " US Equity","PX_LAST",$B9,$B9)</f>
        <v>#N/A N/A</v>
      </c>
      <c r="AO9" t="str" cm="1">
        <f t="array" ref="AO9">_xll.BDH(AO$2 &amp; " US Equity","PX_LAST",$B9,$B9)</f>
        <v>#N/A N/A</v>
      </c>
      <c r="AP9" t="str" cm="1">
        <f t="array" ref="AP9">_xll.BDH(AP$2 &amp; " US Equity","PX_LAST",$B9,$B9)</f>
        <v>#N/A N/A</v>
      </c>
      <c r="AQ9" t="str" cm="1">
        <f t="array" ref="AQ9">_xll.BDH(AQ$2 &amp; " US Equity","PX_LAST",$B9,$B9)</f>
        <v>#N/A N/A</v>
      </c>
      <c r="AR9" t="str" cm="1">
        <f t="array" ref="AR9">_xll.BDH(AR$2 &amp; " US Equity","PX_LAST",$B9,$B9)</f>
        <v>#N/A N/A</v>
      </c>
      <c r="AS9" t="str" cm="1">
        <f t="array" ref="AS9">_xll.BDH(AS$2 &amp; " US Equity","PX_LAST",$B9,$B9)</f>
        <v>#N/A N/A</v>
      </c>
      <c r="AT9" t="str" cm="1">
        <f t="array" ref="AT9">_xll.BDH(AT$2 &amp; " US Equity","PX_LAST",$B9,$B9)</f>
        <v>#N/A N/A</v>
      </c>
      <c r="AU9" t="str" cm="1">
        <f t="array" ref="AU9">_xll.BDH(AU$2 &amp; " US Equity","PX_LAST",$B9,$B9)</f>
        <v>#N/A N/A</v>
      </c>
      <c r="AV9" t="str" cm="1">
        <f t="array" ref="AV9">_xll.BDH(AV$2 &amp; " US Equity","PX_LAST",$B9,$B9)</f>
        <v>#N/A N/A</v>
      </c>
      <c r="AW9" t="str" cm="1">
        <f t="array" ref="AW9">_xll.BDH(AW$2 &amp; " US Equity","PX_LAST",$B9,$B9)</f>
        <v>#N/A N/A</v>
      </c>
    </row>
    <row r="10" spans="2:49">
      <c r="B10" s="13">
        <v>45908</v>
      </c>
      <c r="C10" cm="1">
        <f t="array" ref="C10">_xll.BDH(C$2 &amp; " US Equity","PX_LAST",$B10,$B10)</f>
        <v>225</v>
      </c>
      <c r="D10" cm="1">
        <f t="array" ref="D10">_xll.BDH(D$2 &amp; " PE Equity","PX_LAST",$B10,$B10)</f>
        <v>4</v>
      </c>
      <c r="E10" t="str" cm="1">
        <f t="array" ref="E10">_xll.BDH(E$2 &amp; " PE Equity","PX_LAST",$B10,$B10)</f>
        <v>#N/A N/A</v>
      </c>
      <c r="F10" cm="1">
        <f t="array" ref="F10">_xll.BDH(F$2 &amp; " PE Equity","PX_LAST",$B10,$B10)</f>
        <v>2.54</v>
      </c>
      <c r="G10" cm="1">
        <f t="array" ref="G10">_xll.BDH(G$2 &amp; " US Equity","PX_LAST",$B10,$B10)</f>
        <v>20.58</v>
      </c>
      <c r="H10" cm="1">
        <f t="array" ref="H10">_xll.BDH(H$2 &amp; " PE Equity","PX_LAST",$B10,$B10)</f>
        <v>3.48</v>
      </c>
      <c r="I10" cm="1">
        <f t="array" ref="I10">_xll.BDH(I$2 &amp; " US Equity","PX_LAST",$B10,$B10)</f>
        <v>43.33</v>
      </c>
      <c r="J10" cm="1">
        <f t="array" ref="J10">_xll.BDH(J$2 &amp; " US Equity","PX_LAST",$B10,$B10)</f>
        <v>6.8446999999999996</v>
      </c>
      <c r="K10" cm="1">
        <f t="array" ref="K10">_xll.BDH(K$2 &amp; " US Equity","PX_LAST",$B10,$B10)</f>
        <v>48.07</v>
      </c>
      <c r="L10" cm="1">
        <f t="array" ref="L10">_xll.BDH(L$2 &amp; " US Equity","PX_LAST",$B10,$B10)</f>
        <v>50.91</v>
      </c>
      <c r="M10" cm="1">
        <f t="array" ref="M10">_xll.BDH(M$2 &amp; " US Equity","PX_LAST",$B10,$B10)</f>
        <v>263.5</v>
      </c>
      <c r="N10" cm="1">
        <f t="array" ref="N10">_xll.BDH(N$2 &amp; " US Equity","PX_LAST",$B10,$B10)</f>
        <v>33.549999999999997</v>
      </c>
      <c r="O10" cm="1">
        <f t="array" ref="O10">_xll.BDH(O$2 &amp; " US Equity","PX_LAST",$B10,$B10)</f>
        <v>29.58</v>
      </c>
      <c r="P10" cm="1">
        <f t="array" ref="P10">_xll.BDH(P$2 &amp; " US Equity","PX_LAST",$B10,$B10)</f>
        <v>14.57</v>
      </c>
      <c r="Q10" cm="1">
        <f t="array" ref="Q10">_xll.BDH(Q$2 &amp; " US Equity","PX_LAST",$B10,$B10)</f>
        <v>24.55</v>
      </c>
      <c r="R10" cm="1">
        <f t="array" ref="R10">_xll.BDH(R$2 &amp; " US Equity","PX_LAST",$B10,$B10)</f>
        <v>20.02</v>
      </c>
      <c r="S10" cm="1">
        <f t="array" ref="S10">_xll.BDH(S$2 &amp; " US Equity","PX_LAST",$B10,$B10)</f>
        <v>151.27000000000001</v>
      </c>
      <c r="T10" cm="1">
        <f t="array" ref="T10">_xll.BDH(T$2 &amp; " US Equity","PX_LAST",$B10,$B10)</f>
        <v>60.21</v>
      </c>
      <c r="U10" cm="1">
        <f t="array" ref="U10">_xll.BDH(U$2 &amp; " US Equity","PX_LAST",$B10,$B10)</f>
        <v>108.65</v>
      </c>
      <c r="V10" cm="1">
        <f t="array" ref="V10">_xll.BDH(V$2 &amp; " US Equity","PX_LAST",$B10,$B10)</f>
        <v>41.31</v>
      </c>
      <c r="W10" cm="1">
        <f t="array" ref="W10">_xll.BDH(W$2 &amp; " US Equity","PX_LAST",$B10,$B10)</f>
        <v>156.1</v>
      </c>
      <c r="X10" cm="1">
        <f t="array" ref="X10">_xll.BDH(X$2 &amp; " US Equity","PX_LAST",$B10,$B10)</f>
        <v>56.33</v>
      </c>
      <c r="Y10" cm="1">
        <f t="array" ref="Y10">_xll.BDH(Y$2 &amp; " US Equity","PX_LAST",$B10,$B10)</f>
        <v>42.99</v>
      </c>
      <c r="Z10" cm="1">
        <f t="array" ref="Z10">_xll.BDH(Z$2 &amp; " US Equity","PX_LAST",$B10,$B10)</f>
        <v>296.52</v>
      </c>
      <c r="AA10" cm="1">
        <f t="array" ref="AA10">_xll.BDH(AA$2 &amp; " PE Equity","PX_LAST",$B10,$B10)</f>
        <v>0.38300000000000001</v>
      </c>
      <c r="AB10" cm="1">
        <f t="array" ref="AB10">_xll.BDH(AB$2 &amp; " PE Equity","PX_LAST",$B10,$B10)</f>
        <v>27.5</v>
      </c>
      <c r="AC10" cm="1">
        <f t="array" ref="AC10">_xll.BDH(AC$2 &amp; " US Equity","PX_LAST",$B10,$B10)</f>
        <v>68.05</v>
      </c>
      <c r="AD10" cm="1">
        <f t="array" ref="AD10">_xll.BDH(AD$2 &amp; " US Equity","PX_LAST",$B10,$B10)</f>
        <v>648.83000000000004</v>
      </c>
      <c r="AE10" t="str" cm="1">
        <f t="array" ref="AE10">_xll.BDH(AE$2 &amp; " PE Equity","PX_LAST",$B10,$B10)</f>
        <v>#N/A Connection</v>
      </c>
      <c r="AF10" cm="1">
        <f t="array" ref="AF10">_xll.BDH(AF$2 &amp; " US Equity","PX_LAST",$B10,$B10)</f>
        <v>52.023400000000002</v>
      </c>
      <c r="AG10" cm="1">
        <f t="array" ref="AG10">_xll.BDH(AG$2 &amp; " US Equity","PX_LAST",$B10,$B10)</f>
        <v>13.57</v>
      </c>
      <c r="AH10" cm="1">
        <f t="array" ref="AH10">_xll.BDH(AH$2 &amp; " US Equity","PX_LAST",$B10,$B10)</f>
        <v>578.87</v>
      </c>
      <c r="AI10" cm="1">
        <f t="array" ref="AI10">_xll.BDH(AI$2 &amp; " US Equity","PX_LAST",$B10,$B10)</f>
        <v>105.84</v>
      </c>
      <c r="AJ10" cm="1">
        <f t="array" ref="AJ10">_xll.BDH(AJ$2 &amp; " US Equity","PX_LAST",$B10,$B10)</f>
        <v>118.84</v>
      </c>
      <c r="AK10" cm="1">
        <f t="array" ref="AK10">_xll.BDH(AK$2 &amp; " US Equity","PX_LAST",$B10,$B10)</f>
        <v>118.01</v>
      </c>
      <c r="AL10" cm="1">
        <f t="array" ref="AL10">_xll.BDH(AL$2 &amp; " US Equity","PX_LAST",$B10,$B10)</f>
        <v>235.84</v>
      </c>
      <c r="AM10" cm="1">
        <f t="array" ref="AM10">_xll.BDH(AM$2 &amp; " US Equity","PX_LAST",$B10,$B10)</f>
        <v>46.564999999999998</v>
      </c>
      <c r="AN10" cm="1">
        <f t="array" ref="AN10">_xll.BDH(AN$2 &amp; " US Equity","PX_LAST",$B10,$B10)</f>
        <v>23.795200000000001</v>
      </c>
      <c r="AO10" cm="1">
        <f t="array" ref="AO10">_xll.BDH(AO$2 &amp; " US Equity","PX_LAST",$B10,$B10)</f>
        <v>52.16</v>
      </c>
      <c r="AP10" cm="1">
        <f t="array" ref="AP10">_xll.BDH(AP$2 &amp; " US Equity","PX_LAST",$B10,$B10)</f>
        <v>6.35</v>
      </c>
      <c r="AQ10" cm="1">
        <f t="array" ref="AQ10">_xll.BDH(AQ$2 &amp; " US Equity","PX_LAST",$B10,$B10)</f>
        <v>129.78</v>
      </c>
      <c r="AR10" cm="1">
        <f t="array" ref="AR10">_xll.BDH(AR$2 &amp; " US Equity","PX_LAST",$B10,$B10)</f>
        <v>52.34</v>
      </c>
      <c r="AS10" cm="1">
        <f t="array" ref="AS10">_xll.BDH(AS$2 &amp; " US Equity","PX_LAST",$B10,$B10)</f>
        <v>124.476</v>
      </c>
      <c r="AT10" cm="1">
        <f t="array" ref="AT10">_xll.BDH(AT$2 &amp; " US Equity","PX_LAST",$B10,$B10)</f>
        <v>6.17</v>
      </c>
      <c r="AU10" cm="1">
        <f t="array" ref="AU10">_xll.BDH(AU$2 &amp; " US Equity","PX_LAST",$B10,$B10)</f>
        <v>320.25</v>
      </c>
      <c r="AV10" cm="1">
        <f t="array" ref="AV10">_xll.BDH(AV$2 &amp; " US Equity","PX_LAST",$B10,$B10)</f>
        <v>248.78</v>
      </c>
      <c r="AW10" cm="1">
        <f t="array" ref="AW10">_xll.BDH(AW$2 &amp; " US Equity","PX_LAST",$B10,$B10)</f>
        <v>138.69</v>
      </c>
    </row>
    <row r="11" spans="2:49">
      <c r="B11" s="13">
        <v>45909</v>
      </c>
      <c r="C11" cm="1">
        <f t="array" ref="C11">_xll.BDH(C$2 &amp; " US Equity","PX_LAST",$B11,$B11)</f>
        <v>225.75</v>
      </c>
      <c r="D11" cm="1">
        <f t="array" ref="D11">_xll.BDH(D$2 &amp; " PE Equity","PX_LAST",$B11,$B11)</f>
        <v>3.99</v>
      </c>
      <c r="E11" cm="1">
        <f t="array" ref="E11">_xll.BDH(E$2 &amp; " PE Equity","PX_LAST",$B11,$B11)</f>
        <v>1.75</v>
      </c>
      <c r="F11" cm="1">
        <f t="array" ref="F11">_xll.BDH(F$2 &amp; " PE Equity","PX_LAST",$B11,$B11)</f>
        <v>2.54</v>
      </c>
      <c r="G11" cm="1">
        <f t="array" ref="G11">_xll.BDH(G$2 &amp; " US Equity","PX_LAST",$B11,$B11)</f>
        <v>20.75</v>
      </c>
      <c r="H11" cm="1">
        <f t="array" ref="H11">_xll.BDH(H$2 &amp; " PE Equity","PX_LAST",$B11,$B11)</f>
        <v>3.46</v>
      </c>
      <c r="I11" cm="1">
        <f t="array" ref="I11">_xll.BDH(I$2 &amp; " US Equity","PX_LAST",$B11,$B11)</f>
        <v>41.97</v>
      </c>
      <c r="J11" cm="1">
        <f t="array" ref="J11">_xll.BDH(J$2 &amp; " US Equity","PX_LAST",$B11,$B11)</f>
        <v>6.7864000000000004</v>
      </c>
      <c r="K11" cm="1">
        <f t="array" ref="K11">_xll.BDH(K$2 &amp; " US Equity","PX_LAST",$B11,$B11)</f>
        <v>48.08</v>
      </c>
      <c r="L11" cm="1">
        <f t="array" ref="L11">_xll.BDH(L$2 &amp; " US Equity","PX_LAST",$B11,$B11)</f>
        <v>51.19</v>
      </c>
      <c r="M11" cm="1">
        <f t="array" ref="M11">_xll.BDH(M$2 &amp; " US Equity","PX_LAST",$B11,$B11)</f>
        <v>263.92</v>
      </c>
      <c r="N11" cm="1">
        <f t="array" ref="N11">_xll.BDH(N$2 &amp; " US Equity","PX_LAST",$B11,$B11)</f>
        <v>33.57</v>
      </c>
      <c r="O11" cm="1">
        <f t="array" ref="O11">_xll.BDH(O$2 &amp; " US Equity","PX_LAST",$B11,$B11)</f>
        <v>29.54</v>
      </c>
      <c r="P11" cm="1">
        <f t="array" ref="P11">_xll.BDH(P$2 &amp; " US Equity","PX_LAST",$B11,$B11)</f>
        <v>14.39</v>
      </c>
      <c r="Q11" cm="1">
        <f t="array" ref="Q11">_xll.BDH(Q$2 &amp; " US Equity","PX_LAST",$B11,$B11)</f>
        <v>24.71</v>
      </c>
      <c r="R11" cm="1">
        <f t="array" ref="R11">_xll.BDH(R$2 &amp; " US Equity","PX_LAST",$B11,$B11)</f>
        <v>19.600000000000001</v>
      </c>
      <c r="S11" cm="1">
        <f t="array" ref="S11">_xll.BDH(S$2 &amp; " US Equity","PX_LAST",$B11,$B11)</f>
        <v>150.25</v>
      </c>
      <c r="T11" cm="1">
        <f t="array" ref="T11">_xll.BDH(T$2 &amp; " US Equity","PX_LAST",$B11,$B11)</f>
        <v>60.21</v>
      </c>
      <c r="U11" cm="1">
        <f t="array" ref="U11">_xll.BDH(U$2 &amp; " US Equity","PX_LAST",$B11,$B11)</f>
        <v>108.47</v>
      </c>
      <c r="V11" cm="1">
        <f t="array" ref="V11">_xll.BDH(V$2 &amp; " US Equity","PX_LAST",$B11,$B11)</f>
        <v>41.594999999999999</v>
      </c>
      <c r="W11" cm="1">
        <f t="array" ref="W11">_xll.BDH(W$2 &amp; " US Equity","PX_LAST",$B11,$B11)</f>
        <v>162.36000000000001</v>
      </c>
      <c r="X11" cm="1">
        <f t="array" ref="X11">_xll.BDH(X$2 &amp; " US Equity","PX_LAST",$B11,$B11)</f>
        <v>56.02</v>
      </c>
      <c r="Y11" cm="1">
        <f t="array" ref="Y11">_xll.BDH(Y$2 &amp; " US Equity","PX_LAST",$B11,$B11)</f>
        <v>43.06</v>
      </c>
      <c r="Z11" cm="1">
        <f t="array" ref="Z11">_xll.BDH(Z$2 &amp; " US Equity","PX_LAST",$B11,$B11)</f>
        <v>297.81</v>
      </c>
      <c r="AA11" cm="1">
        <f t="array" ref="AA11">_xll.BDH(AA$2 &amp; " PE Equity","PX_LAST",$B11,$B11)</f>
        <v>0.375</v>
      </c>
      <c r="AB11" cm="1">
        <f t="array" ref="AB11">_xll.BDH(AB$2 &amp; " PE Equity","PX_LAST",$B11,$B11)</f>
        <v>27.5</v>
      </c>
      <c r="AC11" cm="1">
        <f t="array" ref="AC11">_xll.BDH(AC$2 &amp; " US Equity","PX_LAST",$B11,$B11)</f>
        <v>68.08</v>
      </c>
      <c r="AD11" cm="1">
        <f t="array" ref="AD11">_xll.BDH(AD$2 &amp; " US Equity","PX_LAST",$B11,$B11)</f>
        <v>650.33000000000004</v>
      </c>
      <c r="AE11" t="str" cm="1">
        <f t="array" ref="AE11">_xll.BDH(AE$2 &amp; " PE Equity","PX_LAST",$B11,$B11)</f>
        <v>#N/A Connection</v>
      </c>
      <c r="AF11" cm="1">
        <f t="array" ref="AF11">_xll.BDH(AF$2 &amp; " US Equity","PX_LAST",$B11,$B11)</f>
        <v>52.180900000000001</v>
      </c>
      <c r="AG11" cm="1">
        <f t="array" ref="AG11">_xll.BDH(AG$2 &amp; " US Equity","PX_LAST",$B11,$B11)</f>
        <v>13.49</v>
      </c>
      <c r="AH11" cm="1">
        <f t="array" ref="AH11">_xll.BDH(AH$2 &amp; " US Equity","PX_LAST",$B11,$B11)</f>
        <v>580.51</v>
      </c>
      <c r="AI11" cm="1">
        <f t="array" ref="AI11">_xll.BDH(AI$2 &amp; " US Equity","PX_LAST",$B11,$B11)</f>
        <v>105.54</v>
      </c>
      <c r="AJ11" cm="1">
        <f t="array" ref="AJ11">_xll.BDH(AJ$2 &amp; " US Equity","PX_LAST",$B11,$B11)</f>
        <v>117.37</v>
      </c>
      <c r="AK11" cm="1">
        <f t="array" ref="AK11">_xll.BDH(AK$2 &amp; " US Equity","PX_LAST",$B11,$B11)</f>
        <v>117.845</v>
      </c>
      <c r="AL11" cm="1">
        <f t="array" ref="AL11">_xll.BDH(AL$2 &amp; " US Equity","PX_LAST",$B11,$B11)</f>
        <v>238.24</v>
      </c>
      <c r="AM11" cm="1">
        <f t="array" ref="AM11">_xll.BDH(AM$2 &amp; " US Equity","PX_LAST",$B11,$B11)</f>
        <v>46.945</v>
      </c>
      <c r="AN11" cm="1">
        <f t="array" ref="AN11">_xll.BDH(AN$2 &amp; " US Equity","PX_LAST",$B11,$B11)</f>
        <v>23.8</v>
      </c>
      <c r="AO11" cm="1">
        <f t="array" ref="AO11">_xll.BDH(AO$2 &amp; " US Equity","PX_LAST",$B11,$B11)</f>
        <v>52.13</v>
      </c>
      <c r="AP11" cm="1">
        <f t="array" ref="AP11">_xll.BDH(AP$2 &amp; " US Equity","PX_LAST",$B11,$B11)</f>
        <v>6.36</v>
      </c>
      <c r="AQ11" cm="1">
        <f t="array" ref="AQ11">_xll.BDH(AQ$2 &amp; " US Equity","PX_LAST",$B11,$B11)</f>
        <v>130.97</v>
      </c>
      <c r="AR11" cm="1">
        <f t="array" ref="AR11">_xll.BDH(AR$2 &amp; " US Equity","PX_LAST",$B11,$B11)</f>
        <v>53.29</v>
      </c>
      <c r="AS11" cm="1">
        <f t="array" ref="AS11">_xll.BDH(AS$2 &amp; " US Equity","PX_LAST",$B11,$B11)</f>
        <v>126.325</v>
      </c>
      <c r="AT11" cm="1">
        <f t="array" ref="AT11">_xll.BDH(AT$2 &amp; " US Equity","PX_LAST",$B11,$B11)</f>
        <v>6.28</v>
      </c>
      <c r="AU11" cm="1">
        <f t="array" ref="AU11">_xll.BDH(AU$2 &amp; " US Equity","PX_LAST",$B11,$B11)</f>
        <v>347.92</v>
      </c>
      <c r="AV11" cm="1">
        <f t="array" ref="AV11">_xll.BDH(AV$2 &amp; " US Equity","PX_LAST",$B11,$B11)</f>
        <v>247.86</v>
      </c>
      <c r="AW11" cm="1">
        <f t="array" ref="AW11">_xll.BDH(AW$2 &amp; " US Equity","PX_LAST",$B11,$B11)</f>
        <v>137.38999999999999</v>
      </c>
    </row>
    <row r="12" spans="2:49">
      <c r="B12" s="13">
        <v>45910</v>
      </c>
      <c r="C12" cm="1">
        <f t="array" ref="C12">_xll.BDH(C$2 &amp; " US Equity","PX_LAST",$B12,$B12)</f>
        <v>225.69</v>
      </c>
      <c r="D12" cm="1">
        <f t="array" ref="D12">_xll.BDH(D$2 &amp; " PE Equity","PX_LAST",$B12,$B12)</f>
        <v>3.99</v>
      </c>
      <c r="E12" cm="1">
        <f t="array" ref="E12">_xll.BDH(E$2 &amp; " PE Equity","PX_LAST",$B12,$B12)</f>
        <v>1.77</v>
      </c>
      <c r="F12" cm="1">
        <f t="array" ref="F12">_xll.BDH(F$2 &amp; " PE Equity","PX_LAST",$B12,$B12)</f>
        <v>2.59</v>
      </c>
      <c r="G12" cm="1">
        <f t="array" ref="G12">_xll.BDH(G$2 &amp; " US Equity","PX_LAST",$B12,$B12)</f>
        <v>20.100000000000001</v>
      </c>
      <c r="H12" cm="1">
        <f t="array" ref="H12">_xll.BDH(H$2 &amp; " PE Equity","PX_LAST",$B12,$B12)</f>
        <v>3.45</v>
      </c>
      <c r="I12" cm="1">
        <f t="array" ref="I12">_xll.BDH(I$2 &amp; " US Equity","PX_LAST",$B12,$B12)</f>
        <v>41.91</v>
      </c>
      <c r="J12" cm="1">
        <f t="array" ref="J12">_xll.BDH(J$2 &amp; " US Equity","PX_LAST",$B12,$B12)</f>
        <v>6.835</v>
      </c>
      <c r="K12" cm="1">
        <f t="array" ref="K12">_xll.BDH(K$2 &amp; " US Equity","PX_LAST",$B12,$B12)</f>
        <v>48.47</v>
      </c>
      <c r="L12" cm="1">
        <f t="array" ref="L12">_xll.BDH(L$2 &amp; " US Equity","PX_LAST",$B12,$B12)</f>
        <v>51.54</v>
      </c>
      <c r="M12" cm="1">
        <f t="array" ref="M12">_xll.BDH(M$2 &amp; " US Equity","PX_LAST",$B12,$B12)</f>
        <v>264.18</v>
      </c>
      <c r="N12" cm="1">
        <f t="array" ref="N12">_xll.BDH(N$2 &amp; " US Equity","PX_LAST",$B12,$B12)</f>
        <v>33.71</v>
      </c>
      <c r="O12" cm="1">
        <f t="array" ref="O12">_xll.BDH(O$2 &amp; " US Equity","PX_LAST",$B12,$B12)</f>
        <v>29.79</v>
      </c>
      <c r="P12" cm="1">
        <f t="array" ref="P12">_xll.BDH(P$2 &amp; " US Equity","PX_LAST",$B12,$B12)</f>
        <v>14.555</v>
      </c>
      <c r="Q12" cm="1">
        <f t="array" ref="Q12">_xll.BDH(Q$2 &amp; " US Equity","PX_LAST",$B12,$B12)</f>
        <v>24.57</v>
      </c>
      <c r="R12" cm="1">
        <f t="array" ref="R12">_xll.BDH(R$2 &amp; " US Equity","PX_LAST",$B12,$B12)</f>
        <v>20.04</v>
      </c>
      <c r="S12" cm="1">
        <f t="array" ref="S12">_xll.BDH(S$2 &amp; " US Equity","PX_LAST",$B12,$B12)</f>
        <v>151.36000000000001</v>
      </c>
      <c r="T12" cm="1">
        <f t="array" ref="T12">_xll.BDH(T$2 &amp; " US Equity","PX_LAST",$B12,$B12)</f>
        <v>59.95</v>
      </c>
      <c r="U12" cm="1">
        <f t="array" ref="U12">_xll.BDH(U$2 &amp; " US Equity","PX_LAST",$B12,$B12)</f>
        <v>107.6</v>
      </c>
      <c r="V12" cm="1">
        <f t="array" ref="V12">_xll.BDH(V$2 &amp; " US Equity","PX_LAST",$B12,$B12)</f>
        <v>42.31</v>
      </c>
      <c r="W12" cm="1">
        <f t="array" ref="W12">_xll.BDH(W$2 &amp; " US Equity","PX_LAST",$B12,$B12)</f>
        <v>166.74</v>
      </c>
      <c r="X12" cm="1">
        <f t="array" ref="X12">_xll.BDH(X$2 &amp; " US Equity","PX_LAST",$B12,$B12)</f>
        <v>55.62</v>
      </c>
      <c r="Y12" cm="1">
        <f t="array" ref="Y12">_xll.BDH(Y$2 &amp; " US Equity","PX_LAST",$B12,$B12)</f>
        <v>42.9</v>
      </c>
      <c r="Z12" cm="1">
        <f t="array" ref="Z12">_xll.BDH(Z$2 &amp; " US Equity","PX_LAST",$B12,$B12)</f>
        <v>300.83</v>
      </c>
      <c r="AA12" cm="1">
        <f t="array" ref="AA12">_xll.BDH(AA$2 &amp; " PE Equity","PX_LAST",$B12,$B12)</f>
        <v>0.39200000000000002</v>
      </c>
      <c r="AB12" cm="1">
        <f t="array" ref="AB12">_xll.BDH(AB$2 &amp; " PE Equity","PX_LAST",$B12,$B12)</f>
        <v>27.45</v>
      </c>
      <c r="AC12" cm="1">
        <f t="array" ref="AC12">_xll.BDH(AC$2 &amp; " US Equity","PX_LAST",$B12,$B12)</f>
        <v>68.11</v>
      </c>
      <c r="AD12" cm="1">
        <f t="array" ref="AD12">_xll.BDH(AD$2 &amp; " US Equity","PX_LAST",$B12,$B12)</f>
        <v>652.21</v>
      </c>
      <c r="AE12" t="str" cm="1">
        <f t="array" ref="AE12">_xll.BDH(AE$2 &amp; " PE Equity","PX_LAST",$B12,$B12)</f>
        <v>#N/A Connection</v>
      </c>
      <c r="AF12" cm="1">
        <f t="array" ref="AF12">_xll.BDH(AF$2 &amp; " US Equity","PX_LAST",$B12,$B12)</f>
        <v>51.689300000000003</v>
      </c>
      <c r="AG12" cm="1">
        <f t="array" ref="AG12">_xll.BDH(AG$2 &amp; " US Equity","PX_LAST",$B12,$B12)</f>
        <v>13.545400000000001</v>
      </c>
      <c r="AH12" cm="1">
        <f t="array" ref="AH12">_xll.BDH(AH$2 &amp; " US Equity","PX_LAST",$B12,$B12)</f>
        <v>580.70000000000005</v>
      </c>
      <c r="AI12" cm="1">
        <f t="array" ref="AI12">_xll.BDH(AI$2 &amp; " US Equity","PX_LAST",$B12,$B12)</f>
        <v>105.67</v>
      </c>
      <c r="AJ12" cm="1">
        <f t="array" ref="AJ12">_xll.BDH(AJ$2 &amp; " US Equity","PX_LAST",$B12,$B12)</f>
        <v>115.79</v>
      </c>
      <c r="AK12" cm="1">
        <f t="array" ref="AK12">_xll.BDH(AK$2 &amp; " US Equity","PX_LAST",$B12,$B12)</f>
        <v>116.435</v>
      </c>
      <c r="AL12" cm="1">
        <f t="array" ref="AL12">_xll.BDH(AL$2 &amp; " US Equity","PX_LAST",$B12,$B12)</f>
        <v>230.33</v>
      </c>
      <c r="AM12" cm="1">
        <f t="array" ref="AM12">_xll.BDH(AM$2 &amp; " US Equity","PX_LAST",$B12,$B12)</f>
        <v>46.994999999999997</v>
      </c>
      <c r="AN12" cm="1">
        <f t="array" ref="AN12">_xll.BDH(AN$2 &amp; " US Equity","PX_LAST",$B12,$B12)</f>
        <v>23.86</v>
      </c>
      <c r="AO12" cm="1">
        <f t="array" ref="AO12">_xll.BDH(AO$2 &amp; " US Equity","PX_LAST",$B12,$B12)</f>
        <v>52.24</v>
      </c>
      <c r="AP12" cm="1">
        <f t="array" ref="AP12">_xll.BDH(AP$2 &amp; " US Equity","PX_LAST",$B12,$B12)</f>
        <v>6.35</v>
      </c>
      <c r="AQ12" cm="1">
        <f t="array" ref="AQ12">_xll.BDH(AQ$2 &amp; " US Equity","PX_LAST",$B12,$B12)</f>
        <v>128.01</v>
      </c>
      <c r="AR12" cm="1">
        <f t="array" ref="AR12">_xll.BDH(AR$2 &amp; " US Equity","PX_LAST",$B12,$B12)</f>
        <v>53.59</v>
      </c>
      <c r="AS12" cm="1">
        <f t="array" ref="AS12">_xll.BDH(AS$2 &amp; " US Equity","PX_LAST",$B12,$B12)</f>
        <v>124.771</v>
      </c>
      <c r="AT12" cm="1">
        <f t="array" ref="AT12">_xll.BDH(AT$2 &amp; " US Equity","PX_LAST",$B12,$B12)</f>
        <v>5.72</v>
      </c>
      <c r="AU12" cm="1">
        <f t="array" ref="AU12">_xll.BDH(AU$2 &amp; " US Equity","PX_LAST",$B12,$B12)</f>
        <v>346.78</v>
      </c>
      <c r="AV12" cm="1">
        <f t="array" ref="AV12">_xll.BDH(AV$2 &amp; " US Equity","PX_LAST",$B12,$B12)</f>
        <v>244.04</v>
      </c>
      <c r="AW12" cm="1">
        <f t="array" ref="AW12">_xll.BDH(AW$2 &amp; " US Equity","PX_LAST",$B12,$B12)</f>
        <v>139.29</v>
      </c>
    </row>
    <row r="13" spans="2:49">
      <c r="B13" s="13">
        <v>45911</v>
      </c>
      <c r="C13" cm="1">
        <f t="array" ref="C13">_xll.BDH(C$2 &amp; " US Equity","PX_LAST",$B13,$B13)</f>
        <v>228.81</v>
      </c>
      <c r="D13" cm="1">
        <f t="array" ref="D13">_xll.BDH(D$2 &amp; " PE Equity","PX_LAST",$B13,$B13)</f>
        <v>4.01</v>
      </c>
      <c r="E13" t="str" cm="1">
        <f t="array" ref="E13">_xll.BDH(E$2 &amp; " PE Equity","PX_LAST",$B13,$B13)</f>
        <v>#N/A N/A</v>
      </c>
      <c r="F13" cm="1">
        <f t="array" ref="F13">_xll.BDH(F$2 &amp; " PE Equity","PX_LAST",$B13,$B13)</f>
        <v>2.57</v>
      </c>
      <c r="G13" cm="1">
        <f t="array" ref="G13">_xll.BDH(G$2 &amp; " US Equity","PX_LAST",$B13,$B13)</f>
        <v>20.58</v>
      </c>
      <c r="H13" cm="1">
        <f t="array" ref="H13">_xll.BDH(H$2 &amp; " PE Equity","PX_LAST",$B13,$B13)</f>
        <v>3.45</v>
      </c>
      <c r="I13" cm="1">
        <f t="array" ref="I13">_xll.BDH(I$2 &amp; " US Equity","PX_LAST",$B13,$B13)</f>
        <v>41.86</v>
      </c>
      <c r="J13" cm="1">
        <f t="array" ref="J13">_xll.BDH(J$2 &amp; " US Equity","PX_LAST",$B13,$B13)</f>
        <v>6.8738000000000001</v>
      </c>
      <c r="K13" cm="1">
        <f t="array" ref="K13">_xll.BDH(K$2 &amp; " US Equity","PX_LAST",$B13,$B13)</f>
        <v>48.98</v>
      </c>
      <c r="L13" cm="1">
        <f t="array" ref="L13">_xll.BDH(L$2 &amp; " US Equity","PX_LAST",$B13,$B13)</f>
        <v>52.29</v>
      </c>
      <c r="M13" cm="1">
        <f t="array" ref="M13">_xll.BDH(M$2 &amp; " US Equity","PX_LAST",$B13,$B13)</f>
        <v>266.58999999999997</v>
      </c>
      <c r="N13" cm="1">
        <f t="array" ref="N13">_xll.BDH(N$2 &amp; " US Equity","PX_LAST",$B13,$B13)</f>
        <v>34.1</v>
      </c>
      <c r="O13" cm="1">
        <f t="array" ref="O13">_xll.BDH(O$2 &amp; " US Equity","PX_LAST",$B13,$B13)</f>
        <v>30.05</v>
      </c>
      <c r="P13" cm="1">
        <f t="array" ref="P13">_xll.BDH(P$2 &amp; " US Equity","PX_LAST",$B13,$B13)</f>
        <v>14.69</v>
      </c>
      <c r="Q13" cm="1">
        <f t="array" ref="Q13">_xll.BDH(Q$2 &amp; " US Equity","PX_LAST",$B13,$B13)</f>
        <v>24.86</v>
      </c>
      <c r="R13" cm="1">
        <f t="array" ref="R13">_xll.BDH(R$2 &amp; " US Equity","PX_LAST",$B13,$B13)</f>
        <v>20.18</v>
      </c>
      <c r="S13" cm="1">
        <f t="array" ref="S13">_xll.BDH(S$2 &amp; " US Equity","PX_LAST",$B13,$B13)</f>
        <v>152.80000000000001</v>
      </c>
      <c r="T13" cm="1">
        <f t="array" ref="T13">_xll.BDH(T$2 &amp; " US Equity","PX_LAST",$B13,$B13)</f>
        <v>60.63</v>
      </c>
      <c r="U13" cm="1">
        <f t="array" ref="U13">_xll.BDH(U$2 &amp; " US Equity","PX_LAST",$B13,$B13)</f>
        <v>111.82</v>
      </c>
      <c r="V13" cm="1">
        <f t="array" ref="V13">_xll.BDH(V$2 &amp; " US Equity","PX_LAST",$B13,$B13)</f>
        <v>42.534999999999997</v>
      </c>
      <c r="W13" cm="1">
        <f t="array" ref="W13">_xll.BDH(W$2 &amp; " US Equity","PX_LAST",$B13,$B13)</f>
        <v>164.36</v>
      </c>
      <c r="X13" cm="1">
        <f t="array" ref="X13">_xll.BDH(X$2 &amp; " US Equity","PX_LAST",$B13,$B13)</f>
        <v>56.12</v>
      </c>
      <c r="Y13" cm="1">
        <f t="array" ref="Y13">_xll.BDH(Y$2 &amp; " US Equity","PX_LAST",$B13,$B13)</f>
        <v>43.53</v>
      </c>
      <c r="Z13" cm="1">
        <f t="array" ref="Z13">_xll.BDH(Z$2 &amp; " US Equity","PX_LAST",$B13,$B13)</f>
        <v>303.93</v>
      </c>
      <c r="AA13" cm="1">
        <f t="array" ref="AA13">_xll.BDH(AA$2 &amp; " PE Equity","PX_LAST",$B13,$B13)</f>
        <v>0.39700000000000002</v>
      </c>
      <c r="AB13" cm="1">
        <f t="array" ref="AB13">_xll.BDH(AB$2 &amp; " PE Equity","PX_LAST",$B13,$B13)</f>
        <v>27.5</v>
      </c>
      <c r="AC13" cm="1">
        <f t="array" ref="AC13">_xll.BDH(AC$2 &amp; " US Equity","PX_LAST",$B13,$B13)</f>
        <v>69.05</v>
      </c>
      <c r="AD13" cm="1">
        <f t="array" ref="AD13">_xll.BDH(AD$2 &amp; " US Equity","PX_LAST",$B13,$B13)</f>
        <v>657.63</v>
      </c>
      <c r="AE13" t="str" cm="1">
        <f t="array" ref="AE13">_xll.BDH(AE$2 &amp; " PE Equity","PX_LAST",$B13,$B13)</f>
        <v>#N/A Connection</v>
      </c>
      <c r="AF13" cm="1">
        <f t="array" ref="AF13">_xll.BDH(AF$2 &amp; " US Equity","PX_LAST",$B13,$B13)</f>
        <v>52.326900000000002</v>
      </c>
      <c r="AG13" cm="1">
        <f t="array" ref="AG13">_xll.BDH(AG$2 &amp; " US Equity","PX_LAST",$B13,$B13)</f>
        <v>13.73</v>
      </c>
      <c r="AH13" cm="1">
        <f t="array" ref="AH13">_xll.BDH(AH$2 &amp; " US Equity","PX_LAST",$B13,$B13)</f>
        <v>584.08000000000004</v>
      </c>
      <c r="AI13" cm="1">
        <f t="array" ref="AI13">_xll.BDH(AI$2 &amp; " US Equity","PX_LAST",$B13,$B13)</f>
        <v>106.99</v>
      </c>
      <c r="AJ13" cm="1">
        <f t="array" ref="AJ13">_xll.BDH(AJ$2 &amp; " US Equity","PX_LAST",$B13,$B13)</f>
        <v>117.08</v>
      </c>
      <c r="AK13" cm="1">
        <f t="array" ref="AK13">_xll.BDH(AK$2 &amp; " US Equity","PX_LAST",$B13,$B13)</f>
        <v>118.7</v>
      </c>
      <c r="AL13" cm="1">
        <f t="array" ref="AL13">_xll.BDH(AL$2 &amp; " US Equity","PX_LAST",$B13,$B13)</f>
        <v>229.95</v>
      </c>
      <c r="AM13" cm="1">
        <f t="array" ref="AM13">_xll.BDH(AM$2 &amp; " US Equity","PX_LAST",$B13,$B13)</f>
        <v>47.784999999999997</v>
      </c>
      <c r="AN13" cm="1">
        <f t="array" ref="AN13">_xll.BDH(AN$2 &amp; " US Equity","PX_LAST",$B13,$B13)</f>
        <v>24.941700000000001</v>
      </c>
      <c r="AO13" cm="1">
        <f t="array" ref="AO13">_xll.BDH(AO$2 &amp; " US Equity","PX_LAST",$B13,$B13)</f>
        <v>54.65</v>
      </c>
      <c r="AP13" cm="1">
        <f t="array" ref="AP13">_xll.BDH(AP$2 &amp; " US Equity","PX_LAST",$B13,$B13)</f>
        <v>6.37</v>
      </c>
      <c r="AQ13" cm="1">
        <f t="array" ref="AQ13">_xll.BDH(AQ$2 &amp; " US Equity","PX_LAST",$B13,$B13)</f>
        <v>129.47</v>
      </c>
      <c r="AR13" cm="1">
        <f t="array" ref="AR13">_xll.BDH(AR$2 &amp; " US Equity","PX_LAST",$B13,$B13)</f>
        <v>52.35</v>
      </c>
      <c r="AS13" cm="1">
        <f t="array" ref="AS13">_xll.BDH(AS$2 &amp; " US Equity","PX_LAST",$B13,$B13)</f>
        <v>120.35</v>
      </c>
      <c r="AT13" cm="1">
        <f t="array" ref="AT13">_xll.BDH(AT$2 &amp; " US Equity","PX_LAST",$B13,$B13)</f>
        <v>6.07</v>
      </c>
      <c r="AU13" cm="1">
        <f t="array" ref="AU13">_xll.BDH(AU$2 &amp; " US Equity","PX_LAST",$B13,$B13)</f>
        <v>353.61</v>
      </c>
      <c r="AV13" cm="1">
        <f t="array" ref="AV13">_xll.BDH(AV$2 &amp; " US Equity","PX_LAST",$B13,$B13)</f>
        <v>246.54</v>
      </c>
      <c r="AW13" cm="1">
        <f t="array" ref="AW13">_xll.BDH(AW$2 &amp; " US Equity","PX_LAST",$B13,$B13)</f>
        <v>145.01</v>
      </c>
    </row>
    <row r="14" spans="2:49">
      <c r="B14" s="13">
        <v>45912</v>
      </c>
      <c r="C14" cm="1">
        <f t="array" ref="C14">_xll.BDH(C$2 &amp; " US Equity","PX_LAST",$B14,$B14)</f>
        <v>229.55</v>
      </c>
      <c r="D14" cm="1">
        <f t="array" ref="D14">_xll.BDH(D$2 &amp; " PE Equity","PX_LAST",$B14,$B14)</f>
        <v>4.01</v>
      </c>
      <c r="E14" cm="1">
        <f t="array" ref="E14">_xll.BDH(E$2 &amp; " PE Equity","PX_LAST",$B14,$B14)</f>
        <v>1.76</v>
      </c>
      <c r="F14" cm="1">
        <f t="array" ref="F14">_xll.BDH(F$2 &amp; " PE Equity","PX_LAST",$B14,$B14)</f>
        <v>2.57</v>
      </c>
      <c r="G14" cm="1">
        <f t="array" ref="G14">_xll.BDH(G$2 &amp; " US Equity","PX_LAST",$B14,$B14)</f>
        <v>20.87</v>
      </c>
      <c r="H14" cm="1">
        <f t="array" ref="H14">_xll.BDH(H$2 &amp; " PE Equity","PX_LAST",$B14,$B14)</f>
        <v>3.37</v>
      </c>
      <c r="I14" cm="1">
        <f t="array" ref="I14">_xll.BDH(I$2 &amp; " US Equity","PX_LAST",$B14,$B14)</f>
        <v>41.78</v>
      </c>
      <c r="J14" cm="1">
        <f t="array" ref="J14">_xll.BDH(J$2 &amp; " US Equity","PX_LAST",$B14,$B14)</f>
        <v>6.7670000000000003</v>
      </c>
      <c r="K14" cm="1">
        <f t="array" ref="K14">_xll.BDH(K$2 &amp; " US Equity","PX_LAST",$B14,$B14)</f>
        <v>49</v>
      </c>
      <c r="L14" cm="1">
        <f t="array" ref="L14">_xll.BDH(L$2 &amp; " US Equity","PX_LAST",$B14,$B14)</f>
        <v>52.26</v>
      </c>
      <c r="M14" cm="1">
        <f t="array" ref="M14">_xll.BDH(M$2 &amp; " US Equity","PX_LAST",$B14,$B14)</f>
        <v>266.06</v>
      </c>
      <c r="N14" cm="1">
        <f t="array" ref="N14">_xll.BDH(N$2 &amp; " US Equity","PX_LAST",$B14,$B14)</f>
        <v>34.1</v>
      </c>
      <c r="O14" cm="1">
        <f t="array" ref="O14">_xll.BDH(O$2 &amp; " US Equity","PX_LAST",$B14,$B14)</f>
        <v>30.03</v>
      </c>
      <c r="P14" cm="1">
        <f t="array" ref="P14">_xll.BDH(P$2 &amp; " US Equity","PX_LAST",$B14,$B14)</f>
        <v>14.63</v>
      </c>
      <c r="Q14" cm="1">
        <f t="array" ref="Q14">_xll.BDH(Q$2 &amp; " US Equity","PX_LAST",$B14,$B14)</f>
        <v>23.87</v>
      </c>
      <c r="R14" cm="1">
        <f t="array" ref="R14">_xll.BDH(R$2 &amp; " US Equity","PX_LAST",$B14,$B14)</f>
        <v>20.07</v>
      </c>
      <c r="S14" cm="1">
        <f t="array" ref="S14">_xll.BDH(S$2 &amp; " US Equity","PX_LAST",$B14,$B14)</f>
        <v>151.58000000000001</v>
      </c>
      <c r="T14" cm="1">
        <f t="array" ref="T14">_xll.BDH(T$2 &amp; " US Equity","PX_LAST",$B14,$B14)</f>
        <v>60.59</v>
      </c>
      <c r="U14" cm="1">
        <f t="array" ref="U14">_xll.BDH(U$2 &amp; " US Equity","PX_LAST",$B14,$B14)</f>
        <v>114.78</v>
      </c>
      <c r="V14" cm="1">
        <f t="array" ref="V14">_xll.BDH(V$2 &amp; " US Equity","PX_LAST",$B14,$B14)</f>
        <v>42.75</v>
      </c>
      <c r="W14" cm="1">
        <f t="array" ref="W14">_xll.BDH(W$2 &amp; " US Equity","PX_LAST",$B14,$B14)</f>
        <v>171.43</v>
      </c>
      <c r="X14" cm="1">
        <f t="array" ref="X14">_xll.BDH(X$2 &amp; " US Equity","PX_LAST",$B14,$B14)</f>
        <v>55.65</v>
      </c>
      <c r="Y14" cm="1">
        <f t="array" ref="Y14">_xll.BDH(Y$2 &amp; " US Equity","PX_LAST",$B14,$B14)</f>
        <v>43.49</v>
      </c>
      <c r="Z14" cm="1">
        <f t="array" ref="Z14">_xll.BDH(Z$2 &amp; " US Equity","PX_LAST",$B14,$B14)</f>
        <v>304.32</v>
      </c>
      <c r="AA14" cm="1">
        <f t="array" ref="AA14">_xll.BDH(AA$2 &amp; " PE Equity","PX_LAST",$B14,$B14)</f>
        <v>0.42</v>
      </c>
      <c r="AB14" cm="1">
        <f t="array" ref="AB14">_xll.BDH(AB$2 &amp; " PE Equity","PX_LAST",$B14,$B14)</f>
        <v>27.5</v>
      </c>
      <c r="AC14" cm="1">
        <f t="array" ref="AC14">_xll.BDH(AC$2 &amp; " US Equity","PX_LAST",$B14,$B14)</f>
        <v>68.680000000000007</v>
      </c>
      <c r="AD14" cm="1">
        <f t="array" ref="AD14">_xll.BDH(AD$2 &amp; " US Equity","PX_LAST",$B14,$B14)</f>
        <v>657.41</v>
      </c>
      <c r="AE14" t="str" cm="1">
        <f t="array" ref="AE14">_xll.BDH(AE$2 &amp; " PE Equity","PX_LAST",$B14,$B14)</f>
        <v>#N/A Connection</v>
      </c>
      <c r="AF14" cm="1">
        <f t="array" ref="AF14">_xll.BDH(AF$2 &amp; " US Equity","PX_LAST",$B14,$B14)</f>
        <v>51.764800000000001</v>
      </c>
      <c r="AG14" cm="1">
        <f t="array" ref="AG14">_xll.BDH(AG$2 &amp; " US Equity","PX_LAST",$B14,$B14)</f>
        <v>13.78</v>
      </c>
      <c r="AH14" cm="1">
        <f t="array" ref="AH14">_xll.BDH(AH$2 &amp; " US Equity","PX_LAST",$B14,$B14)</f>
        <v>586.66</v>
      </c>
      <c r="AI14" cm="1">
        <f t="array" ref="AI14">_xll.BDH(AI$2 &amp; " US Equity","PX_LAST",$B14,$B14)</f>
        <v>106.9</v>
      </c>
      <c r="AJ14" cm="1">
        <f t="array" ref="AJ14">_xll.BDH(AJ$2 &amp; " US Equity","PX_LAST",$B14,$B14)</f>
        <v>115.96</v>
      </c>
      <c r="AK14" cm="1">
        <f t="array" ref="AK14">_xll.BDH(AK$2 &amp; " US Equity","PX_LAST",$B14,$B14)</f>
        <v>119.315</v>
      </c>
      <c r="AL14" cm="1">
        <f t="array" ref="AL14">_xll.BDH(AL$2 &amp; " US Equity","PX_LAST",$B14,$B14)</f>
        <v>228.15</v>
      </c>
      <c r="AM14" cm="1">
        <f t="array" ref="AM14">_xll.BDH(AM$2 &amp; " US Equity","PX_LAST",$B14,$B14)</f>
        <v>48.38</v>
      </c>
      <c r="AN14" cm="1">
        <f t="array" ref="AN14">_xll.BDH(AN$2 &amp; " US Equity","PX_LAST",$B14,$B14)</f>
        <v>24.87</v>
      </c>
      <c r="AO14" cm="1">
        <f t="array" ref="AO14">_xll.BDH(AO$2 &amp; " US Equity","PX_LAST",$B14,$B14)</f>
        <v>54.69</v>
      </c>
      <c r="AP14" cm="1">
        <f t="array" ref="AP14">_xll.BDH(AP$2 &amp; " US Equity","PX_LAST",$B14,$B14)</f>
        <v>6.33</v>
      </c>
      <c r="AQ14" cm="1">
        <f t="array" ref="AQ14">_xll.BDH(AQ$2 &amp; " US Equity","PX_LAST",$B14,$B14)</f>
        <v>127.99</v>
      </c>
      <c r="AR14" cm="1">
        <f t="array" ref="AR14">_xll.BDH(AR$2 &amp; " US Equity","PX_LAST",$B14,$B14)</f>
        <v>51.87</v>
      </c>
      <c r="AS14" cm="1">
        <f t="array" ref="AS14">_xll.BDH(AS$2 &amp; " US Equity","PX_LAST",$B14,$B14)</f>
        <v>118.84399999999999</v>
      </c>
      <c r="AT14" cm="1">
        <f t="array" ref="AT14">_xll.BDH(AT$2 &amp; " US Equity","PX_LAST",$B14,$B14)</f>
        <v>6.22</v>
      </c>
      <c r="AU14" cm="1">
        <f t="array" ref="AU14">_xll.BDH(AU$2 &amp; " US Equity","PX_LAST",$B14,$B14)</f>
        <v>352.51</v>
      </c>
      <c r="AV14" cm="1">
        <f t="array" ref="AV14">_xll.BDH(AV$2 &amp; " US Equity","PX_LAST",$B14,$B14)</f>
        <v>246.26</v>
      </c>
      <c r="AW14" cm="1">
        <f t="array" ref="AW14">_xll.BDH(AW$2 &amp; " US Equity","PX_LAST",$B14,$B14)</f>
        <v>143.34</v>
      </c>
    </row>
    <row r="15" spans="2:49">
      <c r="B15" s="13">
        <v>45913</v>
      </c>
      <c r="C15" t="str" cm="1">
        <f t="array" ref="C15">_xll.BDH(C$2 &amp; " US Equity","PX_LAST",$B15,$B15)</f>
        <v>#N/A N/A</v>
      </c>
      <c r="D15" t="str" cm="1">
        <f t="array" ref="D15">_xll.BDH(D$2 &amp; " PE Equity","PX_LAST",$B15,$B15)</f>
        <v>#N/A N/A</v>
      </c>
      <c r="E15" t="str" cm="1">
        <f t="array" ref="E15">_xll.BDH(E$2 &amp; " PE Equity","PX_LAST",$B15,$B15)</f>
        <v>#N/A N/A</v>
      </c>
      <c r="F15" t="str" cm="1">
        <f t="array" ref="F15">_xll.BDH(F$2 &amp; " PE Equity","PX_LAST",$B15,$B15)</f>
        <v>#N/A N/A</v>
      </c>
      <c r="G15" t="str" cm="1">
        <f t="array" ref="G15">_xll.BDH(G$2 &amp; " US Equity","PX_LAST",$B15,$B15)</f>
        <v>#N/A N/A</v>
      </c>
      <c r="H15" t="str" cm="1">
        <f t="array" ref="H15">_xll.BDH(H$2 &amp; " PE Equity","PX_LAST",$B15,$B15)</f>
        <v>#N/A N/A</v>
      </c>
      <c r="I15" t="str" cm="1">
        <f t="array" ref="I15">_xll.BDH(I$2 &amp; " US Equity","PX_LAST",$B15,$B15)</f>
        <v>#N/A N/A</v>
      </c>
      <c r="J15" t="str" cm="1">
        <f t="array" ref="J15">_xll.BDH(J$2 &amp; " US Equity","PX_LAST",$B15,$B15)</f>
        <v>#N/A N/A</v>
      </c>
      <c r="K15" t="str" cm="1">
        <f t="array" ref="K15">_xll.BDH(K$2 &amp; " US Equity","PX_LAST",$B15,$B15)</f>
        <v>#N/A N/A</v>
      </c>
      <c r="L15" t="str" cm="1">
        <f t="array" ref="L15">_xll.BDH(L$2 &amp; " US Equity","PX_LAST",$B15,$B15)</f>
        <v>#N/A N/A</v>
      </c>
      <c r="M15" t="str" cm="1">
        <f t="array" ref="M15">_xll.BDH(M$2 &amp; " US Equity","PX_LAST",$B15,$B15)</f>
        <v>#N/A N/A</v>
      </c>
      <c r="N15" t="str" cm="1">
        <f t="array" ref="N15">_xll.BDH(N$2 &amp; " US Equity","PX_LAST",$B15,$B15)</f>
        <v>#N/A N/A</v>
      </c>
      <c r="O15" t="str" cm="1">
        <f t="array" ref="O15">_xll.BDH(O$2 &amp; " US Equity","PX_LAST",$B15,$B15)</f>
        <v>#N/A N/A</v>
      </c>
      <c r="P15" t="str" cm="1">
        <f t="array" ref="P15">_xll.BDH(P$2 &amp; " US Equity","PX_LAST",$B15,$B15)</f>
        <v>#N/A N/A</v>
      </c>
      <c r="Q15" t="str" cm="1">
        <f t="array" ref="Q15">_xll.BDH(Q$2 &amp; " US Equity","PX_LAST",$B15,$B15)</f>
        <v>#N/A N/A</v>
      </c>
      <c r="R15" t="str" cm="1">
        <f t="array" ref="R15">_xll.BDH(R$2 &amp; " US Equity","PX_LAST",$B15,$B15)</f>
        <v>#N/A N/A</v>
      </c>
      <c r="S15" t="str" cm="1">
        <f t="array" ref="S15">_xll.BDH(S$2 &amp; " US Equity","PX_LAST",$B15,$B15)</f>
        <v>#N/A N/A</v>
      </c>
      <c r="T15" t="str" cm="1">
        <f t="array" ref="T15">_xll.BDH(T$2 &amp; " US Equity","PX_LAST",$B15,$B15)</f>
        <v>#N/A N/A</v>
      </c>
      <c r="U15" t="str" cm="1">
        <f t="array" ref="U15">_xll.BDH(U$2 &amp; " US Equity","PX_LAST",$B15,$B15)</f>
        <v>#N/A N/A</v>
      </c>
      <c r="V15" t="str" cm="1">
        <f t="array" ref="V15">_xll.BDH(V$2 &amp; " US Equity","PX_LAST",$B15,$B15)</f>
        <v>#N/A N/A</v>
      </c>
      <c r="W15" t="str" cm="1">
        <f t="array" ref="W15">_xll.BDH(W$2 &amp; " US Equity","PX_LAST",$B15,$B15)</f>
        <v>#N/A N/A</v>
      </c>
      <c r="X15" t="str" cm="1">
        <f t="array" ref="X15">_xll.BDH(X$2 &amp; " US Equity","PX_LAST",$B15,$B15)</f>
        <v>#N/A N/A</v>
      </c>
      <c r="Y15" t="str" cm="1">
        <f t="array" ref="Y15">_xll.BDH(Y$2 &amp; " US Equity","PX_LAST",$B15,$B15)</f>
        <v>#N/A N/A</v>
      </c>
      <c r="Z15" t="str" cm="1">
        <f t="array" ref="Z15">_xll.BDH(Z$2 &amp; " US Equity","PX_LAST",$B15,$B15)</f>
        <v>#N/A N/A</v>
      </c>
      <c r="AA15" t="str" cm="1">
        <f t="array" ref="AA15">_xll.BDH(AA$2 &amp; " PE Equity","PX_LAST",$B15,$B15)</f>
        <v>#N/A N/A</v>
      </c>
      <c r="AB15" t="str" cm="1">
        <f t="array" ref="AB15">_xll.BDH(AB$2 &amp; " PE Equity","PX_LAST",$B15,$B15)</f>
        <v>#N/A N/A</v>
      </c>
      <c r="AC15" t="str" cm="1">
        <f t="array" ref="AC15">_xll.BDH(AC$2 &amp; " US Equity","PX_LAST",$B15,$B15)</f>
        <v>#N/A N/A</v>
      </c>
      <c r="AD15" t="str" cm="1">
        <f t="array" ref="AD15">_xll.BDH(AD$2 &amp; " US Equity","PX_LAST",$B15,$B15)</f>
        <v>#N/A N/A</v>
      </c>
      <c r="AE15" t="str" cm="1">
        <f t="array" ref="AE15">_xll.BDH(AE$2 &amp; " PE Equity","PX_LAST",$B15,$B15)</f>
        <v>#N/A Connection</v>
      </c>
      <c r="AF15" t="str" cm="1">
        <f t="array" ref="AF15">_xll.BDH(AF$2 &amp; " US Equity","PX_LAST",$B15,$B15)</f>
        <v>#N/A N/A</v>
      </c>
      <c r="AG15" t="str" cm="1">
        <f t="array" ref="AG15">_xll.BDH(AG$2 &amp; " US Equity","PX_LAST",$B15,$B15)</f>
        <v>#N/A N/A</v>
      </c>
      <c r="AH15" t="str" cm="1">
        <f t="array" ref="AH15">_xll.BDH(AH$2 &amp; " US Equity","PX_LAST",$B15,$B15)</f>
        <v>#N/A N/A</v>
      </c>
      <c r="AI15" t="str" cm="1">
        <f t="array" ref="AI15">_xll.BDH(AI$2 &amp; " US Equity","PX_LAST",$B15,$B15)</f>
        <v>#N/A N/A</v>
      </c>
      <c r="AJ15" t="str" cm="1">
        <f t="array" ref="AJ15">_xll.BDH(AJ$2 &amp; " US Equity","PX_LAST",$B15,$B15)</f>
        <v>#N/A N/A</v>
      </c>
      <c r="AK15" t="str" cm="1">
        <f t="array" ref="AK15">_xll.BDH(AK$2 &amp; " US Equity","PX_LAST",$B15,$B15)</f>
        <v>#N/A N/A</v>
      </c>
      <c r="AL15" t="str" cm="1">
        <f t="array" ref="AL15">_xll.BDH(AL$2 &amp; " US Equity","PX_LAST",$B15,$B15)</f>
        <v>#N/A N/A</v>
      </c>
      <c r="AM15" t="str" cm="1">
        <f t="array" ref="AM15">_xll.BDH(AM$2 &amp; " US Equity","PX_LAST",$B15,$B15)</f>
        <v>#N/A N/A</v>
      </c>
      <c r="AN15" t="str" cm="1">
        <f t="array" ref="AN15">_xll.BDH(AN$2 &amp; " US Equity","PX_LAST",$B15,$B15)</f>
        <v>#N/A N/A</v>
      </c>
      <c r="AO15" t="str" cm="1">
        <f t="array" ref="AO15">_xll.BDH(AO$2 &amp; " US Equity","PX_LAST",$B15,$B15)</f>
        <v>#N/A N/A</v>
      </c>
      <c r="AP15" t="str" cm="1">
        <f t="array" ref="AP15">_xll.BDH(AP$2 &amp; " US Equity","PX_LAST",$B15,$B15)</f>
        <v>#N/A N/A</v>
      </c>
      <c r="AQ15" t="str" cm="1">
        <f t="array" ref="AQ15">_xll.BDH(AQ$2 &amp; " US Equity","PX_LAST",$B15,$B15)</f>
        <v>#N/A N/A</v>
      </c>
      <c r="AR15" t="str" cm="1">
        <f t="array" ref="AR15">_xll.BDH(AR$2 &amp; " US Equity","PX_LAST",$B15,$B15)</f>
        <v>#N/A N/A</v>
      </c>
      <c r="AS15" t="str" cm="1">
        <f t="array" ref="AS15">_xll.BDH(AS$2 &amp; " US Equity","PX_LAST",$B15,$B15)</f>
        <v>#N/A N/A</v>
      </c>
      <c r="AT15" t="str" cm="1">
        <f t="array" ref="AT15">_xll.BDH(AT$2 &amp; " US Equity","PX_LAST",$B15,$B15)</f>
        <v>#N/A N/A</v>
      </c>
      <c r="AU15" t="str" cm="1">
        <f t="array" ref="AU15">_xll.BDH(AU$2 &amp; " US Equity","PX_LAST",$B15,$B15)</f>
        <v>#N/A N/A</v>
      </c>
      <c r="AV15" t="str" cm="1">
        <f t="array" ref="AV15">_xll.BDH(AV$2 &amp; " US Equity","PX_LAST",$B15,$B15)</f>
        <v>#N/A N/A</v>
      </c>
      <c r="AW15" t="str" cm="1">
        <f t="array" ref="AW15">_xll.BDH(AW$2 &amp; " US Equity","PX_LAST",$B15,$B15)</f>
        <v>#N/A N/A</v>
      </c>
    </row>
    <row r="16" spans="2:49">
      <c r="B16" s="13">
        <v>45914</v>
      </c>
      <c r="C16" t="str" cm="1">
        <f t="array" ref="C16">_xll.BDH(C$2 &amp; " US Equity","PX_LAST",$B16,$B16)</f>
        <v>#N/A N/A</v>
      </c>
      <c r="D16" t="str" cm="1">
        <f t="array" ref="D16">_xll.BDH(D$2 &amp; " PE Equity","PX_LAST",$B16,$B16)</f>
        <v>#N/A N/A</v>
      </c>
      <c r="E16" t="str" cm="1">
        <f t="array" ref="E16">_xll.BDH(E$2 &amp; " PE Equity","PX_LAST",$B16,$B16)</f>
        <v>#N/A N/A</v>
      </c>
      <c r="F16" t="str" cm="1">
        <f t="array" ref="F16">_xll.BDH(F$2 &amp; " PE Equity","PX_LAST",$B16,$B16)</f>
        <v>#N/A N/A</v>
      </c>
      <c r="G16" t="str" cm="1">
        <f t="array" ref="G16">_xll.BDH(G$2 &amp; " US Equity","PX_LAST",$B16,$B16)</f>
        <v>#N/A N/A</v>
      </c>
      <c r="H16" t="str" cm="1">
        <f t="array" ref="H16">_xll.BDH(H$2 &amp; " PE Equity","PX_LAST",$B16,$B16)</f>
        <v>#N/A N/A</v>
      </c>
      <c r="I16" t="str" cm="1">
        <f t="array" ref="I16">_xll.BDH(I$2 &amp; " US Equity","PX_LAST",$B16,$B16)</f>
        <v>#N/A N/A</v>
      </c>
      <c r="J16" t="str" cm="1">
        <f t="array" ref="J16">_xll.BDH(J$2 &amp; " US Equity","PX_LAST",$B16,$B16)</f>
        <v>#N/A N/A</v>
      </c>
      <c r="K16" t="str" cm="1">
        <f t="array" ref="K16">_xll.BDH(K$2 &amp; " US Equity","PX_LAST",$B16,$B16)</f>
        <v>#N/A N/A</v>
      </c>
      <c r="L16" t="str" cm="1">
        <f t="array" ref="L16">_xll.BDH(L$2 &amp; " US Equity","PX_LAST",$B16,$B16)</f>
        <v>#N/A N/A</v>
      </c>
      <c r="M16" t="str" cm="1">
        <f t="array" ref="M16">_xll.BDH(M$2 &amp; " US Equity","PX_LAST",$B16,$B16)</f>
        <v>#N/A N/A</v>
      </c>
      <c r="N16" t="str" cm="1">
        <f t="array" ref="N16">_xll.BDH(N$2 &amp; " US Equity","PX_LAST",$B16,$B16)</f>
        <v>#N/A N/A</v>
      </c>
      <c r="O16" t="str" cm="1">
        <f t="array" ref="O16">_xll.BDH(O$2 &amp; " US Equity","PX_LAST",$B16,$B16)</f>
        <v>#N/A N/A</v>
      </c>
      <c r="P16" t="str" cm="1">
        <f t="array" ref="P16">_xll.BDH(P$2 &amp; " US Equity","PX_LAST",$B16,$B16)</f>
        <v>#N/A N/A</v>
      </c>
      <c r="Q16" t="str" cm="1">
        <f t="array" ref="Q16">_xll.BDH(Q$2 &amp; " US Equity","PX_LAST",$B16,$B16)</f>
        <v>#N/A N/A</v>
      </c>
      <c r="R16" t="str" cm="1">
        <f t="array" ref="R16">_xll.BDH(R$2 &amp; " US Equity","PX_LAST",$B16,$B16)</f>
        <v>#N/A N/A</v>
      </c>
      <c r="S16" t="str" cm="1">
        <f t="array" ref="S16">_xll.BDH(S$2 &amp; " US Equity","PX_LAST",$B16,$B16)</f>
        <v>#N/A N/A</v>
      </c>
      <c r="T16" t="str" cm="1">
        <f t="array" ref="T16">_xll.BDH(T$2 &amp; " US Equity","PX_LAST",$B16,$B16)</f>
        <v>#N/A N/A</v>
      </c>
      <c r="U16" t="str" cm="1">
        <f t="array" ref="U16">_xll.BDH(U$2 &amp; " US Equity","PX_LAST",$B16,$B16)</f>
        <v>#N/A N/A</v>
      </c>
      <c r="V16" t="str" cm="1">
        <f t="array" ref="V16">_xll.BDH(V$2 &amp; " US Equity","PX_LAST",$B16,$B16)</f>
        <v>#N/A N/A</v>
      </c>
      <c r="W16" t="str" cm="1">
        <f t="array" ref="W16">_xll.BDH(W$2 &amp; " US Equity","PX_LAST",$B16,$B16)</f>
        <v>#N/A N/A</v>
      </c>
      <c r="X16" t="str" cm="1">
        <f t="array" ref="X16">_xll.BDH(X$2 &amp; " US Equity","PX_LAST",$B16,$B16)</f>
        <v>#N/A N/A</v>
      </c>
      <c r="Y16" t="str" cm="1">
        <f t="array" ref="Y16">_xll.BDH(Y$2 &amp; " US Equity","PX_LAST",$B16,$B16)</f>
        <v>#N/A N/A</v>
      </c>
      <c r="Z16" t="str" cm="1">
        <f t="array" ref="Z16">_xll.BDH(Z$2 &amp; " US Equity","PX_LAST",$B16,$B16)</f>
        <v>#N/A N/A</v>
      </c>
      <c r="AA16" t="str" cm="1">
        <f t="array" ref="AA16">_xll.BDH(AA$2 &amp; " PE Equity","PX_LAST",$B16,$B16)</f>
        <v>#N/A N/A</v>
      </c>
      <c r="AB16" t="str" cm="1">
        <f t="array" ref="AB16">_xll.BDH(AB$2 &amp; " PE Equity","PX_LAST",$B16,$B16)</f>
        <v>#N/A N/A</v>
      </c>
      <c r="AC16" t="str" cm="1">
        <f t="array" ref="AC16">_xll.BDH(AC$2 &amp; " US Equity","PX_LAST",$B16,$B16)</f>
        <v>#N/A N/A</v>
      </c>
      <c r="AD16" t="str" cm="1">
        <f t="array" ref="AD16">_xll.BDH(AD$2 &amp; " US Equity","PX_LAST",$B16,$B16)</f>
        <v>#N/A N/A</v>
      </c>
      <c r="AE16" t="str" cm="1">
        <f t="array" ref="AE16">_xll.BDH(AE$2 &amp; " PE Equity","PX_LAST",$B16,$B16)</f>
        <v>#N/A Connection</v>
      </c>
      <c r="AF16" t="str" cm="1">
        <f t="array" ref="AF16">_xll.BDH(AF$2 &amp; " US Equity","PX_LAST",$B16,$B16)</f>
        <v>#N/A N/A</v>
      </c>
      <c r="AG16" t="str" cm="1">
        <f t="array" ref="AG16">_xll.BDH(AG$2 &amp; " US Equity","PX_LAST",$B16,$B16)</f>
        <v>#N/A N/A</v>
      </c>
      <c r="AH16" t="str" cm="1">
        <f t="array" ref="AH16">_xll.BDH(AH$2 &amp; " US Equity","PX_LAST",$B16,$B16)</f>
        <v>#N/A N/A</v>
      </c>
      <c r="AI16" t="str" cm="1">
        <f t="array" ref="AI16">_xll.BDH(AI$2 &amp; " US Equity","PX_LAST",$B16,$B16)</f>
        <v>#N/A N/A</v>
      </c>
      <c r="AJ16" t="str" cm="1">
        <f t="array" ref="AJ16">_xll.BDH(AJ$2 &amp; " US Equity","PX_LAST",$B16,$B16)</f>
        <v>#N/A N/A</v>
      </c>
      <c r="AK16" t="str" cm="1">
        <f t="array" ref="AK16">_xll.BDH(AK$2 &amp; " US Equity","PX_LAST",$B16,$B16)</f>
        <v>#N/A N/A</v>
      </c>
      <c r="AL16" t="str" cm="1">
        <f t="array" ref="AL16">_xll.BDH(AL$2 &amp; " US Equity","PX_LAST",$B16,$B16)</f>
        <v>#N/A N/A</v>
      </c>
      <c r="AM16" t="str" cm="1">
        <f t="array" ref="AM16">_xll.BDH(AM$2 &amp; " US Equity","PX_LAST",$B16,$B16)</f>
        <v>#N/A N/A</v>
      </c>
      <c r="AN16" t="str" cm="1">
        <f t="array" ref="AN16">_xll.BDH(AN$2 &amp; " US Equity","PX_LAST",$B16,$B16)</f>
        <v>#N/A N/A</v>
      </c>
      <c r="AO16" t="str" cm="1">
        <f t="array" ref="AO16">_xll.BDH(AO$2 &amp; " US Equity","PX_LAST",$B16,$B16)</f>
        <v>#N/A N/A</v>
      </c>
      <c r="AP16" t="str" cm="1">
        <f t="array" ref="AP16">_xll.BDH(AP$2 &amp; " US Equity","PX_LAST",$B16,$B16)</f>
        <v>#N/A N/A</v>
      </c>
      <c r="AQ16" t="str" cm="1">
        <f t="array" ref="AQ16">_xll.BDH(AQ$2 &amp; " US Equity","PX_LAST",$B16,$B16)</f>
        <v>#N/A N/A</v>
      </c>
      <c r="AR16" t="str" cm="1">
        <f t="array" ref="AR16">_xll.BDH(AR$2 &amp; " US Equity","PX_LAST",$B16,$B16)</f>
        <v>#N/A N/A</v>
      </c>
      <c r="AS16" t="str" cm="1">
        <f t="array" ref="AS16">_xll.BDH(AS$2 &amp; " US Equity","PX_LAST",$B16,$B16)</f>
        <v>#N/A N/A</v>
      </c>
      <c r="AT16" t="str" cm="1">
        <f t="array" ref="AT16">_xll.BDH(AT$2 &amp; " US Equity","PX_LAST",$B16,$B16)</f>
        <v>#N/A N/A</v>
      </c>
      <c r="AU16" t="str" cm="1">
        <f t="array" ref="AU16">_xll.BDH(AU$2 &amp; " US Equity","PX_LAST",$B16,$B16)</f>
        <v>#N/A N/A</v>
      </c>
      <c r="AV16" t="str" cm="1">
        <f t="array" ref="AV16">_xll.BDH(AV$2 &amp; " US Equity","PX_LAST",$B16,$B16)</f>
        <v>#N/A N/A</v>
      </c>
      <c r="AW16" t="str" cm="1">
        <f t="array" ref="AW16">_xll.BDH(AW$2 &amp; " US Equity","PX_LAST",$B16,$B16)</f>
        <v>#N/A N/A</v>
      </c>
    </row>
    <row r="17" spans="2:49">
      <c r="B17" s="13">
        <v>45915</v>
      </c>
      <c r="C17" cm="1">
        <f t="array" ref="C17">_xll.BDH(C$2 &amp; " US Equity","PX_LAST",$B17,$B17)</f>
        <v>225.69</v>
      </c>
      <c r="D17" cm="1">
        <f t="array" ref="D17">_xll.BDH(D$2 &amp; " PE Equity","PX_LAST",$B17,$B17)</f>
        <v>4.01</v>
      </c>
      <c r="E17" cm="1">
        <f t="array" ref="E17">_xll.BDH(E$2 &amp; " PE Equity","PX_LAST",$B17,$B17)</f>
        <v>1.76</v>
      </c>
      <c r="F17" cm="1">
        <f t="array" ref="F17">_xll.BDH(F$2 &amp; " PE Equity","PX_LAST",$B17,$B17)</f>
        <v>2.5499999999999998</v>
      </c>
      <c r="G17" cm="1">
        <f t="array" ref="G17">_xll.BDH(G$2 &amp; " US Equity","PX_LAST",$B17,$B17)</f>
        <v>21.33</v>
      </c>
      <c r="H17" cm="1">
        <f t="array" ref="H17">_xll.BDH(H$2 &amp; " PE Equity","PX_LAST",$B17,$B17)</f>
        <v>3.34</v>
      </c>
      <c r="I17" cm="1">
        <f t="array" ref="I17">_xll.BDH(I$2 &amp; " US Equity","PX_LAST",$B17,$B17)</f>
        <v>42.35</v>
      </c>
      <c r="J17" cm="1">
        <f t="array" ref="J17">_xll.BDH(J$2 &amp; " US Equity","PX_LAST",$B17,$B17)</f>
        <v>6.9320000000000004</v>
      </c>
      <c r="K17" cm="1">
        <f t="array" ref="K17">_xll.BDH(K$2 &amp; " US Equity","PX_LAST",$B17,$B17)</f>
        <v>49.23</v>
      </c>
      <c r="L17" cm="1">
        <f t="array" ref="L17">_xll.BDH(L$2 &amp; " US Equity","PX_LAST",$B17,$B17)</f>
        <v>52.64</v>
      </c>
      <c r="M17" cm="1">
        <f t="array" ref="M17">_xll.BDH(M$2 &amp; " US Equity","PX_LAST",$B17,$B17)</f>
        <v>265.64</v>
      </c>
      <c r="N17" cm="1">
        <f t="array" ref="N17">_xll.BDH(N$2 &amp; " US Equity","PX_LAST",$B17,$B17)</f>
        <v>34.43</v>
      </c>
      <c r="O17" cm="1">
        <f t="array" ref="O17">_xll.BDH(O$2 &amp; " US Equity","PX_LAST",$B17,$B17)</f>
        <v>30.51</v>
      </c>
      <c r="P17" cm="1">
        <f t="array" ref="P17">_xll.BDH(P$2 &amp; " US Equity","PX_LAST",$B17,$B17)</f>
        <v>14.81</v>
      </c>
      <c r="Q17" cm="1">
        <f t="array" ref="Q17">_xll.BDH(Q$2 &amp; " US Equity","PX_LAST",$B17,$B17)</f>
        <v>23.97</v>
      </c>
      <c r="R17" cm="1">
        <f t="array" ref="R17">_xll.BDH(R$2 &amp; " US Equity","PX_LAST",$B17,$B17)</f>
        <v>20.65</v>
      </c>
      <c r="S17" cm="1">
        <f t="array" ref="S17">_xll.BDH(S$2 &amp; " US Equity","PX_LAST",$B17,$B17)</f>
        <v>152.28</v>
      </c>
      <c r="T17" cm="1">
        <f t="array" ref="T17">_xll.BDH(T$2 &amp; " US Equity","PX_LAST",$B17,$B17)</f>
        <v>61.17</v>
      </c>
      <c r="U17" cm="1">
        <f t="array" ref="U17">_xll.BDH(U$2 &amp; " US Equity","PX_LAST",$B17,$B17)</f>
        <v>114.82</v>
      </c>
      <c r="V17" cm="1">
        <f t="array" ref="V17">_xll.BDH(V$2 &amp; " US Equity","PX_LAST",$B17,$B17)</f>
        <v>42.85</v>
      </c>
      <c r="W17" cm="1">
        <f t="array" ref="W17">_xll.BDH(W$2 &amp; " US Equity","PX_LAST",$B17,$B17)</f>
        <v>171.21</v>
      </c>
      <c r="X17" cm="1">
        <f t="array" ref="X17">_xll.BDH(X$2 &amp; " US Equity","PX_LAST",$B17,$B17)</f>
        <v>55.56</v>
      </c>
      <c r="Y17" cm="1">
        <f t="array" ref="Y17">_xll.BDH(Y$2 &amp; " US Equity","PX_LAST",$B17,$B17)</f>
        <v>43.89</v>
      </c>
      <c r="Z17" cm="1">
        <f t="array" ref="Z17">_xll.BDH(Z$2 &amp; " US Equity","PX_LAST",$B17,$B17)</f>
        <v>307.17</v>
      </c>
      <c r="AA17" cm="1">
        <f t="array" ref="AA17">_xll.BDH(AA$2 &amp; " PE Equity","PX_LAST",$B17,$B17)</f>
        <v>0.41099999999999998</v>
      </c>
      <c r="AB17" cm="1">
        <f t="array" ref="AB17">_xll.BDH(AB$2 &amp; " PE Equity","PX_LAST",$B17,$B17)</f>
        <v>27.39</v>
      </c>
      <c r="AC17" cm="1">
        <f t="array" ref="AC17">_xll.BDH(AC$2 &amp; " US Equity","PX_LAST",$B17,$B17)</f>
        <v>68.72</v>
      </c>
      <c r="AD17" cm="1">
        <f t="array" ref="AD17">_xll.BDH(AD$2 &amp; " US Equity","PX_LAST",$B17,$B17)</f>
        <v>660.91</v>
      </c>
      <c r="AE17" t="str" cm="1">
        <f t="array" ref="AE17">_xll.BDH(AE$2 &amp; " PE Equity","PX_LAST",$B17,$B17)</f>
        <v>#N/A Connection</v>
      </c>
      <c r="AF17" cm="1">
        <f t="array" ref="AF17">_xll.BDH(AF$2 &amp; " US Equity","PX_LAST",$B17,$B17)</f>
        <v>51.348999999999997</v>
      </c>
      <c r="AG17" cm="1">
        <f t="array" ref="AG17">_xll.BDH(AG$2 &amp; " US Equity","PX_LAST",$B17,$B17)</f>
        <v>13.98</v>
      </c>
      <c r="AH17" cm="1">
        <f t="array" ref="AH17">_xll.BDH(AH$2 &amp; " US Equity","PX_LAST",$B17,$B17)</f>
        <v>591.67999999999995</v>
      </c>
      <c r="AI17" cm="1">
        <f t="array" ref="AI17">_xll.BDH(AI$2 &amp; " US Equity","PX_LAST",$B17,$B17)</f>
        <v>105.45</v>
      </c>
      <c r="AJ17" cm="1">
        <f t="array" ref="AJ17">_xll.BDH(AJ$2 &amp; " US Equity","PX_LAST",$B17,$B17)</f>
        <v>115.62</v>
      </c>
      <c r="AK17" cm="1">
        <f t="array" ref="AK17">_xll.BDH(AK$2 &amp; " US Equity","PX_LAST",$B17,$B17)</f>
        <v>120.35</v>
      </c>
      <c r="AL17" cm="1">
        <f t="array" ref="AL17">_xll.BDH(AL$2 &amp; " US Equity","PX_LAST",$B17,$B17)</f>
        <v>231.43</v>
      </c>
      <c r="AM17" cm="1">
        <f t="array" ref="AM17">_xll.BDH(AM$2 &amp; " US Equity","PX_LAST",$B17,$B17)</f>
        <v>49.615000000000002</v>
      </c>
      <c r="AN17" cm="1">
        <f t="array" ref="AN17">_xll.BDH(AN$2 &amp; " US Equity","PX_LAST",$B17,$B17)</f>
        <v>25.04</v>
      </c>
      <c r="AO17" cm="1">
        <f t="array" ref="AO17">_xll.BDH(AO$2 &amp; " US Equity","PX_LAST",$B17,$B17)</f>
        <v>55</v>
      </c>
      <c r="AP17" cm="1">
        <f t="array" ref="AP17">_xll.BDH(AP$2 &amp; " US Equity","PX_LAST",$B17,$B17)</f>
        <v>6.37</v>
      </c>
      <c r="AQ17" cm="1">
        <f t="array" ref="AQ17">_xll.BDH(AQ$2 &amp; " US Equity","PX_LAST",$B17,$B17)</f>
        <v>125.47</v>
      </c>
      <c r="AR17" cm="1">
        <f t="array" ref="AR17">_xll.BDH(AR$2 &amp; " US Equity","PX_LAST",$B17,$B17)</f>
        <v>51.79</v>
      </c>
      <c r="AS17" cm="1">
        <f t="array" ref="AS17">_xll.BDH(AS$2 &amp; " US Equity","PX_LAST",$B17,$B17)</f>
        <v>120.226</v>
      </c>
      <c r="AT17" cm="1">
        <f t="array" ref="AT17">_xll.BDH(AT$2 &amp; " US Equity","PX_LAST",$B17,$B17)</f>
        <v>6.49</v>
      </c>
      <c r="AU17" cm="1">
        <f t="array" ref="AU17">_xll.BDH(AU$2 &amp; " US Equity","PX_LAST",$B17,$B17)</f>
        <v>347.89</v>
      </c>
      <c r="AV17" cm="1">
        <f t="array" ref="AV17">_xll.BDH(AV$2 &amp; " US Equity","PX_LAST",$B17,$B17)</f>
        <v>247.25</v>
      </c>
      <c r="AW17" cm="1">
        <f t="array" ref="AW17">_xll.BDH(AW$2 &amp; " US Equity","PX_LAST",$B17,$B17)</f>
        <v>144.65</v>
      </c>
    </row>
    <row r="18" spans="2:49">
      <c r="B18" s="13">
        <v>45916</v>
      </c>
      <c r="C18" cm="1">
        <f t="array" ref="C18">_xll.BDH(C$2 &amp; " US Equity","PX_LAST",$B18,$B18)</f>
        <v>227.7</v>
      </c>
      <c r="D18" cm="1">
        <f t="array" ref="D18">_xll.BDH(D$2 &amp; " PE Equity","PX_LAST",$B18,$B18)</f>
        <v>4.01</v>
      </c>
      <c r="E18" t="str" cm="1">
        <f t="array" ref="E18">_xll.BDH(E$2 &amp; " PE Equity","PX_LAST",$B18,$B18)</f>
        <v>#N/A N/A</v>
      </c>
      <c r="F18" cm="1">
        <f t="array" ref="F18">_xll.BDH(F$2 &amp; " PE Equity","PX_LAST",$B18,$B18)</f>
        <v>2.5299999999999998</v>
      </c>
      <c r="G18" cm="1">
        <f t="array" ref="G18">_xll.BDH(G$2 &amp; " US Equity","PX_LAST",$B18,$B18)</f>
        <v>21.45</v>
      </c>
      <c r="H18" cm="1">
        <f t="array" ref="H18">_xll.BDH(H$2 &amp; " PE Equity","PX_LAST",$B18,$B18)</f>
        <v>3.36</v>
      </c>
      <c r="I18" cm="1">
        <f t="array" ref="I18">_xll.BDH(I$2 &amp; " US Equity","PX_LAST",$B18,$B18)</f>
        <v>42.67</v>
      </c>
      <c r="J18" cm="1">
        <f t="array" ref="J18">_xll.BDH(J$2 &amp; " US Equity","PX_LAST",$B18,$B18)</f>
        <v>6.9320000000000004</v>
      </c>
      <c r="K18" cm="1">
        <f t="array" ref="K18">_xll.BDH(K$2 &amp; " US Equity","PX_LAST",$B18,$B18)</f>
        <v>48.95</v>
      </c>
      <c r="L18" cm="1">
        <f t="array" ref="L18">_xll.BDH(L$2 &amp; " US Equity","PX_LAST",$B18,$B18)</f>
        <v>53.03</v>
      </c>
      <c r="M18" cm="1">
        <f t="array" ref="M18">_xll.BDH(M$2 &amp; " US Equity","PX_LAST",$B18,$B18)</f>
        <v>270.79000000000002</v>
      </c>
      <c r="N18" cm="1">
        <f t="array" ref="N18">_xll.BDH(N$2 &amp; " US Equity","PX_LAST",$B18,$B18)</f>
        <v>34.04</v>
      </c>
      <c r="O18" cm="1">
        <f t="array" ref="O18">_xll.BDH(O$2 &amp; " US Equity","PX_LAST",$B18,$B18)</f>
        <v>30.69</v>
      </c>
      <c r="P18" cm="1">
        <f t="array" ref="P18">_xll.BDH(P$2 &amp; " US Equity","PX_LAST",$B18,$B18)</f>
        <v>14.89</v>
      </c>
      <c r="Q18" cm="1">
        <f t="array" ref="Q18">_xll.BDH(Q$2 &amp; " US Equity","PX_LAST",$B18,$B18)</f>
        <v>23.9</v>
      </c>
      <c r="R18" cm="1">
        <f t="array" ref="R18">_xll.BDH(R$2 &amp; " US Equity","PX_LAST",$B18,$B18)</f>
        <v>20.11</v>
      </c>
      <c r="S18" cm="1">
        <f t="array" ref="S18">_xll.BDH(S$2 &amp; " US Equity","PX_LAST",$B18,$B18)</f>
        <v>151.83000000000001</v>
      </c>
      <c r="T18" cm="1">
        <f t="array" ref="T18">_xll.BDH(T$2 &amp; " US Equity","PX_LAST",$B18,$B18)</f>
        <v>61.01</v>
      </c>
      <c r="U18" cm="1">
        <f t="array" ref="U18">_xll.BDH(U$2 &amp; " US Equity","PX_LAST",$B18,$B18)</f>
        <v>123.79</v>
      </c>
      <c r="V18" cm="1">
        <f t="array" ref="V18">_xll.BDH(V$2 &amp; " US Equity","PX_LAST",$B18,$B18)</f>
        <v>42.07</v>
      </c>
      <c r="W18" cm="1">
        <f t="array" ref="W18">_xll.BDH(W$2 &amp; " US Equity","PX_LAST",$B18,$B18)</f>
        <v>170.26</v>
      </c>
      <c r="X18" cm="1">
        <f t="array" ref="X18">_xll.BDH(X$2 &amp; " US Equity","PX_LAST",$B18,$B18)</f>
        <v>55.48</v>
      </c>
      <c r="Y18" cm="1">
        <f t="array" ref="Y18">_xll.BDH(Y$2 &amp; " US Equity","PX_LAST",$B18,$B18)</f>
        <v>43.82</v>
      </c>
      <c r="Z18" cm="1">
        <f t="array" ref="Z18">_xll.BDH(Z$2 &amp; " US Equity","PX_LAST",$B18,$B18)</f>
        <v>307.20999999999998</v>
      </c>
      <c r="AA18" cm="1">
        <f t="array" ref="AA18">_xll.BDH(AA$2 &amp; " PE Equity","PX_LAST",$B18,$B18)</f>
        <v>0.41599999999999998</v>
      </c>
      <c r="AB18" cm="1">
        <f t="array" ref="AB18">_xll.BDH(AB$2 &amp; " PE Equity","PX_LAST",$B18,$B18)</f>
        <v>27.39</v>
      </c>
      <c r="AC18" cm="1">
        <f t="array" ref="AC18">_xll.BDH(AC$2 &amp; " US Equity","PX_LAST",$B18,$B18)</f>
        <v>68.53</v>
      </c>
      <c r="AD18" cm="1">
        <f t="array" ref="AD18">_xll.BDH(AD$2 &amp; " US Equity","PX_LAST",$B18,$B18)</f>
        <v>660</v>
      </c>
      <c r="AE18" t="str" cm="1">
        <f t="array" ref="AE18">_xll.BDH(AE$2 &amp; " PE Equity","PX_LAST",$B18,$B18)</f>
        <v>#N/A Connection</v>
      </c>
      <c r="AF18" cm="1">
        <f t="array" ref="AF18">_xll.BDH(AF$2 &amp; " US Equity","PX_LAST",$B18,$B18)</f>
        <v>51.344099999999997</v>
      </c>
      <c r="AG18" cm="1">
        <f t="array" ref="AG18">_xll.BDH(AG$2 &amp; " US Equity","PX_LAST",$B18,$B18)</f>
        <v>14.14</v>
      </c>
      <c r="AH18" cm="1">
        <f t="array" ref="AH18">_xll.BDH(AH$2 &amp; " US Equity","PX_LAST",$B18,$B18)</f>
        <v>591.17999999999995</v>
      </c>
      <c r="AI18" cm="1">
        <f t="array" ref="AI18">_xll.BDH(AI$2 &amp; " US Equity","PX_LAST",$B18,$B18)</f>
        <v>102.15</v>
      </c>
      <c r="AJ18" cm="1">
        <f t="array" ref="AJ18">_xll.BDH(AJ$2 &amp; " US Equity","PX_LAST",$B18,$B18)</f>
        <v>115.23</v>
      </c>
      <c r="AK18" cm="1">
        <f t="array" ref="AK18">_xll.BDH(AK$2 &amp; " US Equity","PX_LAST",$B18,$B18)</f>
        <v>121.09</v>
      </c>
      <c r="AL18" cm="1">
        <f t="array" ref="AL18">_xll.BDH(AL$2 &amp; " US Equity","PX_LAST",$B18,$B18)</f>
        <v>234.05</v>
      </c>
      <c r="AM18" cm="1">
        <f t="array" ref="AM18">_xll.BDH(AM$2 &amp; " US Equity","PX_LAST",$B18,$B18)</f>
        <v>49.48</v>
      </c>
      <c r="AN18" cm="1">
        <f t="array" ref="AN18">_xll.BDH(AN$2 &amp; " US Equity","PX_LAST",$B18,$B18)</f>
        <v>25.36</v>
      </c>
      <c r="AO18" cm="1">
        <f t="array" ref="AO18">_xll.BDH(AO$2 &amp; " US Equity","PX_LAST",$B18,$B18)</f>
        <v>55.96</v>
      </c>
      <c r="AP18" cm="1">
        <f t="array" ref="AP18">_xll.BDH(AP$2 &amp; " US Equity","PX_LAST",$B18,$B18)</f>
        <v>6.36</v>
      </c>
      <c r="AQ18" cm="1">
        <f t="array" ref="AQ18">_xll.BDH(AQ$2 &amp; " US Equity","PX_LAST",$B18,$B18)</f>
        <v>125.04</v>
      </c>
      <c r="AR18" cm="1">
        <f t="array" ref="AR18">_xll.BDH(AR$2 &amp; " US Equity","PX_LAST",$B18,$B18)</f>
        <v>51.72</v>
      </c>
      <c r="AS18" cm="1">
        <f t="array" ref="AS18">_xll.BDH(AS$2 &amp; " US Equity","PX_LAST",$B18,$B18)</f>
        <v>120.051</v>
      </c>
      <c r="AT18" cm="1">
        <f t="array" ref="AT18">_xll.BDH(AT$2 &amp; " US Equity","PX_LAST",$B18,$B18)</f>
        <v>7.02</v>
      </c>
      <c r="AU18" cm="1">
        <f t="array" ref="AU18">_xll.BDH(AU$2 &amp; " US Equity","PX_LAST",$B18,$B18)</f>
        <v>339.78</v>
      </c>
      <c r="AV18" cm="1">
        <f t="array" ref="AV18">_xll.BDH(AV$2 &amp; " US Equity","PX_LAST",$B18,$B18)</f>
        <v>247.73</v>
      </c>
      <c r="AW18" cm="1">
        <f t="array" ref="AW18">_xll.BDH(AW$2 &amp; " US Equity","PX_LAST",$B18,$B18)</f>
        <v>144.38</v>
      </c>
    </row>
    <row r="19" spans="2:49">
      <c r="B19" s="13">
        <v>45917</v>
      </c>
      <c r="C19" cm="1">
        <f t="array" ref="C19">_xll.BDH(C$2 &amp; " US Equity","PX_LAST",$B19,$B19)</f>
        <v>225.78</v>
      </c>
      <c r="D19" cm="1">
        <f t="array" ref="D19">_xll.BDH(D$2 &amp; " PE Equity","PX_LAST",$B19,$B19)</f>
        <v>4.03</v>
      </c>
      <c r="E19" cm="1">
        <f t="array" ref="E19">_xll.BDH(E$2 &amp; " PE Equity","PX_LAST",$B19,$B19)</f>
        <v>1.76</v>
      </c>
      <c r="F19" cm="1">
        <f t="array" ref="F19">_xll.BDH(F$2 &amp; " PE Equity","PX_LAST",$B19,$B19)</f>
        <v>2.5499999999999998</v>
      </c>
      <c r="G19" cm="1">
        <f t="array" ref="G19">_xll.BDH(G$2 &amp; " US Equity","PX_LAST",$B19,$B19)</f>
        <v>21.6</v>
      </c>
      <c r="H19" cm="1">
        <f t="array" ref="H19">_xll.BDH(H$2 &amp; " PE Equity","PX_LAST",$B19,$B19)</f>
        <v>3.36</v>
      </c>
      <c r="I19" cm="1">
        <f t="array" ref="I19">_xll.BDH(I$2 &amp; " US Equity","PX_LAST",$B19,$B19)</f>
        <v>42.86</v>
      </c>
      <c r="J19" cm="1">
        <f t="array" ref="J19">_xll.BDH(J$2 &amp; " US Equity","PX_LAST",$B19,$B19)</f>
        <v>7.0583</v>
      </c>
      <c r="K19" cm="1">
        <f t="array" ref="K19">_xll.BDH(K$2 &amp; " US Equity","PX_LAST",$B19,$B19)</f>
        <v>48.75</v>
      </c>
      <c r="L19" cm="1">
        <f t="array" ref="L19">_xll.BDH(L$2 &amp; " US Equity","PX_LAST",$B19,$B19)</f>
        <v>53.26</v>
      </c>
      <c r="M19" cm="1">
        <f t="array" ref="M19">_xll.BDH(M$2 &amp; " US Equity","PX_LAST",$B19,$B19)</f>
        <v>278.29000000000002</v>
      </c>
      <c r="N19" cm="1">
        <f t="array" ref="N19">_xll.BDH(N$2 &amp; " US Equity","PX_LAST",$B19,$B19)</f>
        <v>33.97</v>
      </c>
      <c r="O19" cm="1">
        <f t="array" ref="O19">_xll.BDH(O$2 &amp; " US Equity","PX_LAST",$B19,$B19)</f>
        <v>30.94</v>
      </c>
      <c r="P19" cm="1">
        <f t="array" ref="P19">_xll.BDH(P$2 &amp; " US Equity","PX_LAST",$B19,$B19)</f>
        <v>15.06</v>
      </c>
      <c r="Q19" cm="1">
        <f t="array" ref="Q19">_xll.BDH(Q$2 &amp; " US Equity","PX_LAST",$B19,$B19)</f>
        <v>24.05</v>
      </c>
      <c r="R19" cm="1">
        <f t="array" ref="R19">_xll.BDH(R$2 &amp; " US Equity","PX_LAST",$B19,$B19)</f>
        <v>19.82</v>
      </c>
      <c r="S19" cm="1">
        <f t="array" ref="S19">_xll.BDH(S$2 &amp; " US Equity","PX_LAST",$B19,$B19)</f>
        <v>151.13999999999999</v>
      </c>
      <c r="T19" cm="1">
        <f t="array" ref="T19">_xll.BDH(T$2 &amp; " US Equity","PX_LAST",$B19,$B19)</f>
        <v>60.69</v>
      </c>
      <c r="U19" cm="1">
        <f t="array" ref="U19">_xll.BDH(U$2 &amp; " US Equity","PX_LAST",$B19,$B19)</f>
        <v>137.83000000000001</v>
      </c>
      <c r="V19" cm="1">
        <f t="array" ref="V19">_xll.BDH(V$2 &amp; " US Equity","PX_LAST",$B19,$B19)</f>
        <v>42.174999999999997</v>
      </c>
      <c r="W19" cm="1">
        <f t="array" ref="W19">_xll.BDH(W$2 &amp; " US Equity","PX_LAST",$B19,$B19)</f>
        <v>168.33</v>
      </c>
      <c r="X19" cm="1">
        <f t="array" ref="X19">_xll.BDH(X$2 &amp; " US Equity","PX_LAST",$B19,$B19)</f>
        <v>55.29</v>
      </c>
      <c r="Y19" cm="1">
        <f t="array" ref="Y19">_xll.BDH(Y$2 &amp; " US Equity","PX_LAST",$B19,$B19)</f>
        <v>43.53</v>
      </c>
      <c r="Z19" cm="1">
        <f t="array" ref="Z19">_xll.BDH(Z$2 &amp; " US Equity","PX_LAST",$B19,$B19)</f>
        <v>305.25</v>
      </c>
      <c r="AA19" cm="1">
        <f t="array" ref="AA19">_xll.BDH(AA$2 &amp; " PE Equity","PX_LAST",$B19,$B19)</f>
        <v>0.41199999999999998</v>
      </c>
      <c r="AB19" cm="1">
        <f t="array" ref="AB19">_xll.BDH(AB$2 &amp; " PE Equity","PX_LAST",$B19,$B19)</f>
        <v>27.3</v>
      </c>
      <c r="AC19" cm="1">
        <f t="array" ref="AC19">_xll.BDH(AC$2 &amp; " US Equity","PX_LAST",$B19,$B19)</f>
        <v>68.739999999999995</v>
      </c>
      <c r="AD19" cm="1">
        <f t="array" ref="AD19">_xll.BDH(AD$2 &amp; " US Equity","PX_LAST",$B19,$B19)</f>
        <v>659.18</v>
      </c>
      <c r="AE19" t="str" cm="1">
        <f t="array" ref="AE19">_xll.BDH(AE$2 &amp; " PE Equity","PX_LAST",$B19,$B19)</f>
        <v>#N/A Connection</v>
      </c>
      <c r="AF19" cm="1">
        <f t="array" ref="AF19">_xll.BDH(AF$2 &amp; " US Equity","PX_LAST",$B19,$B19)</f>
        <v>51.370800000000003</v>
      </c>
      <c r="AG19" cm="1">
        <f t="array" ref="AG19">_xll.BDH(AG$2 &amp; " US Equity","PX_LAST",$B19,$B19)</f>
        <v>14.27</v>
      </c>
      <c r="AH19" cm="1">
        <f t="array" ref="AH19">_xll.BDH(AH$2 &amp; " US Equity","PX_LAST",$B19,$B19)</f>
        <v>590</v>
      </c>
      <c r="AI19" cm="1">
        <f t="array" ref="AI19">_xll.BDH(AI$2 &amp; " US Equity","PX_LAST",$B19,$B19)</f>
        <v>103.01</v>
      </c>
      <c r="AJ19" cm="1">
        <f t="array" ref="AJ19">_xll.BDH(AJ$2 &amp; " US Equity","PX_LAST",$B19,$B19)</f>
        <v>116.1</v>
      </c>
      <c r="AK19" cm="1">
        <f t="array" ref="AK19">_xll.BDH(AK$2 &amp; " US Equity","PX_LAST",$B19,$B19)</f>
        <v>120.785</v>
      </c>
      <c r="AL19" cm="1">
        <f t="array" ref="AL19">_xll.BDH(AL$2 &amp; " US Equity","PX_LAST",$B19,$B19)</f>
        <v>231.62</v>
      </c>
      <c r="AM19" cm="1">
        <f t="array" ref="AM19">_xll.BDH(AM$2 &amp; " US Equity","PX_LAST",$B19,$B19)</f>
        <v>49.164999999999999</v>
      </c>
      <c r="AN19" cm="1">
        <f t="array" ref="AN19">_xll.BDH(AN$2 &amp; " US Equity","PX_LAST",$B19,$B19)</f>
        <v>26.055</v>
      </c>
      <c r="AO19" cm="1">
        <f t="array" ref="AO19">_xll.BDH(AO$2 &amp; " US Equity","PX_LAST",$B19,$B19)</f>
        <v>57.67</v>
      </c>
      <c r="AP19" cm="1">
        <f t="array" ref="AP19">_xll.BDH(AP$2 &amp; " US Equity","PX_LAST",$B19,$B19)</f>
        <v>6.35</v>
      </c>
      <c r="AQ19" cm="1">
        <f t="array" ref="AQ19">_xll.BDH(AQ$2 &amp; " US Equity","PX_LAST",$B19,$B19)</f>
        <v>125.59</v>
      </c>
      <c r="AR19" cm="1">
        <f t="array" ref="AR19">_xll.BDH(AR$2 &amp; " US Equity","PX_LAST",$B19,$B19)</f>
        <v>52.03</v>
      </c>
      <c r="AS19" cm="1">
        <f t="array" ref="AS19">_xll.BDH(AS$2 &amp; " US Equity","PX_LAST",$B19,$B19)</f>
        <v>122.85</v>
      </c>
      <c r="AT19" cm="1">
        <f t="array" ref="AT19">_xll.BDH(AT$2 &amp; " US Equity","PX_LAST",$B19,$B19)</f>
        <v>7.45</v>
      </c>
      <c r="AU19" cm="1">
        <f t="array" ref="AU19">_xll.BDH(AU$2 &amp; " US Equity","PX_LAST",$B19,$B19)</f>
        <v>341.61</v>
      </c>
      <c r="AV19" cm="1">
        <f t="array" ref="AV19">_xll.BDH(AV$2 &amp; " US Equity","PX_LAST",$B19,$B19)</f>
        <v>250.52</v>
      </c>
      <c r="AW19" cm="1">
        <f t="array" ref="AW19">_xll.BDH(AW$2 &amp; " US Equity","PX_LAST",$B19,$B19)</f>
        <v>144.4</v>
      </c>
    </row>
    <row r="20" spans="2:49">
      <c r="B20" s="13">
        <v>45918</v>
      </c>
      <c r="C20" cm="1">
        <f t="array" ref="C20">_xll.BDH(C$2 &amp; " US Equity","PX_LAST",$B20,$B20)</f>
        <v>226.5</v>
      </c>
      <c r="D20" cm="1">
        <f t="array" ref="D20">_xll.BDH(D$2 &amp; " PE Equity","PX_LAST",$B20,$B20)</f>
        <v>4</v>
      </c>
      <c r="E20" t="str" cm="1">
        <f t="array" ref="E20">_xll.BDH(E$2 &amp; " PE Equity","PX_LAST",$B20,$B20)</f>
        <v>#N/A N/A</v>
      </c>
      <c r="F20" cm="1">
        <f t="array" ref="F20">_xll.BDH(F$2 &amp; " PE Equity","PX_LAST",$B20,$B20)</f>
        <v>2.5499999999999998</v>
      </c>
      <c r="G20" cm="1">
        <f t="array" ref="G20">_xll.BDH(G$2 &amp; " US Equity","PX_LAST",$B20,$B20)</f>
        <v>21.29</v>
      </c>
      <c r="H20" cm="1">
        <f t="array" ref="H20">_xll.BDH(H$2 &amp; " PE Equity","PX_LAST",$B20,$B20)</f>
        <v>3.34</v>
      </c>
      <c r="I20" cm="1">
        <f t="array" ref="I20">_xll.BDH(I$2 &amp; " US Equity","PX_LAST",$B20,$B20)</f>
        <v>42.81</v>
      </c>
      <c r="J20" cm="1">
        <f t="array" ref="J20">_xll.BDH(J$2 &amp; " US Equity","PX_LAST",$B20,$B20)</f>
        <v>7.0194000000000001</v>
      </c>
      <c r="K20" cm="1">
        <f t="array" ref="K20">_xll.BDH(K$2 &amp; " US Equity","PX_LAST",$B20,$B20)</f>
        <v>48.66</v>
      </c>
      <c r="L20" cm="1">
        <f t="array" ref="L20">_xll.BDH(L$2 &amp; " US Equity","PX_LAST",$B20,$B20)</f>
        <v>53.13</v>
      </c>
      <c r="M20" cm="1">
        <f t="array" ref="M20">_xll.BDH(M$2 &amp; " US Equity","PX_LAST",$B20,$B20)</f>
        <v>261.91000000000003</v>
      </c>
      <c r="N20" cm="1">
        <f t="array" ref="N20">_xll.BDH(N$2 &amp; " US Equity","PX_LAST",$B20,$B20)</f>
        <v>34.01</v>
      </c>
      <c r="O20" cm="1">
        <f t="array" ref="O20">_xll.BDH(O$2 &amp; " US Equity","PX_LAST",$B20,$B20)</f>
        <v>30.82</v>
      </c>
      <c r="P20" cm="1">
        <f t="array" ref="P20">_xll.BDH(P$2 &amp; " US Equity","PX_LAST",$B20,$B20)</f>
        <v>15.04</v>
      </c>
      <c r="Q20" cm="1">
        <f t="array" ref="Q20">_xll.BDH(Q$2 &amp; " US Equity","PX_LAST",$B20,$B20)</f>
        <v>24.15</v>
      </c>
      <c r="R20" cm="1">
        <f t="array" ref="R20">_xll.BDH(R$2 &amp; " US Equity","PX_LAST",$B20,$B20)</f>
        <v>20.02</v>
      </c>
      <c r="S20" cm="1">
        <f t="array" ref="S20">_xll.BDH(S$2 &amp; " US Equity","PX_LAST",$B20,$B20)</f>
        <v>152.75</v>
      </c>
      <c r="T20" cm="1">
        <f t="array" ref="T20">_xll.BDH(T$2 &amp; " US Equity","PX_LAST",$B20,$B20)</f>
        <v>61.18</v>
      </c>
      <c r="U20" cm="1">
        <f t="array" ref="U20">_xll.BDH(U$2 &amp; " US Equity","PX_LAST",$B20,$B20)</f>
        <v>135.25</v>
      </c>
      <c r="V20" cm="1">
        <f t="array" ref="V20">_xll.BDH(V$2 &amp; " US Equity","PX_LAST",$B20,$B20)</f>
        <v>42.204999999999998</v>
      </c>
      <c r="W20" cm="1">
        <f t="array" ref="W20">_xll.BDH(W$2 &amp; " US Equity","PX_LAST",$B20,$B20)</f>
        <v>176.97</v>
      </c>
      <c r="X20" cm="1">
        <f t="array" ref="X20">_xll.BDH(X$2 &amp; " US Equity","PX_LAST",$B20,$B20)</f>
        <v>55.21</v>
      </c>
      <c r="Y20" cm="1">
        <f t="array" ref="Y20">_xll.BDH(Y$2 &amp; " US Equity","PX_LAST",$B20,$B20)</f>
        <v>43.84</v>
      </c>
      <c r="Z20" cm="1">
        <f t="array" ref="Z20">_xll.BDH(Z$2 &amp; " US Equity","PX_LAST",$B20,$B20)</f>
        <v>316.97000000000003</v>
      </c>
      <c r="AA20" cm="1">
        <f t="array" ref="AA20">_xll.BDH(AA$2 &amp; " PE Equity","PX_LAST",$B20,$B20)</f>
        <v>0.40100000000000002</v>
      </c>
      <c r="AB20" cm="1">
        <f t="array" ref="AB20">_xll.BDH(AB$2 &amp; " PE Equity","PX_LAST",$B20,$B20)</f>
        <v>26.9</v>
      </c>
      <c r="AC20" cm="1">
        <f t="array" ref="AC20">_xll.BDH(AC$2 &amp; " US Equity","PX_LAST",$B20,$B20)</f>
        <v>69</v>
      </c>
      <c r="AD20" cm="1">
        <f t="array" ref="AD20">_xll.BDH(AD$2 &amp; " US Equity","PX_LAST",$B20,$B20)</f>
        <v>662.26</v>
      </c>
      <c r="AE20" t="str" cm="1">
        <f t="array" ref="AE20">_xll.BDH(AE$2 &amp; " PE Equity","PX_LAST",$B20,$B20)</f>
        <v>#N/A Connection</v>
      </c>
      <c r="AF20" cm="1">
        <f t="array" ref="AF20">_xll.BDH(AF$2 &amp; " US Equity","PX_LAST",$B20,$B20)</f>
        <v>51.572800000000001</v>
      </c>
      <c r="AG20" cm="1">
        <f t="array" ref="AG20">_xll.BDH(AG$2 &amp; " US Equity","PX_LAST",$B20,$B20)</f>
        <v>14.2</v>
      </c>
      <c r="AH20" cm="1">
        <f t="array" ref="AH20">_xll.BDH(AH$2 &amp; " US Equity","PX_LAST",$B20,$B20)</f>
        <v>595.32000000000005</v>
      </c>
      <c r="AI20" cm="1">
        <f t="array" ref="AI20">_xll.BDH(AI$2 &amp; " US Equity","PX_LAST",$B20,$B20)</f>
        <v>103.87</v>
      </c>
      <c r="AJ20" cm="1">
        <f t="array" ref="AJ20">_xll.BDH(AJ$2 &amp; " US Equity","PX_LAST",$B20,$B20)</f>
        <v>114.86</v>
      </c>
      <c r="AK20" cm="1">
        <f t="array" ref="AK20">_xll.BDH(AK$2 &amp; " US Equity","PX_LAST",$B20,$B20)</f>
        <v>120.24</v>
      </c>
      <c r="AL20" cm="1">
        <f t="array" ref="AL20">_xll.BDH(AL$2 &amp; " US Equity","PX_LAST",$B20,$B20)</f>
        <v>231.23</v>
      </c>
      <c r="AM20" cm="1">
        <f t="array" ref="AM20">_xll.BDH(AM$2 &amp; " US Equity","PX_LAST",$B20,$B20)</f>
        <v>50.49</v>
      </c>
      <c r="AN20" cm="1">
        <f t="array" ref="AN20">_xll.BDH(AN$2 &amp; " US Equity","PX_LAST",$B20,$B20)</f>
        <v>25.8</v>
      </c>
      <c r="AO20" cm="1">
        <f t="array" ref="AO20">_xll.BDH(AO$2 &amp; " US Equity","PX_LAST",$B20,$B20)</f>
        <v>57.39</v>
      </c>
      <c r="AP20" cm="1">
        <f t="array" ref="AP20">_xll.BDH(AP$2 &amp; " US Equity","PX_LAST",$B20,$B20)</f>
        <v>6.3449999999999998</v>
      </c>
      <c r="AQ20" cm="1">
        <f t="array" ref="AQ20">_xll.BDH(AQ$2 &amp; " US Equity","PX_LAST",$B20,$B20)</f>
        <v>125.51</v>
      </c>
      <c r="AR20" cm="1">
        <f t="array" ref="AR20">_xll.BDH(AR$2 &amp; " US Equity","PX_LAST",$B20,$B20)</f>
        <v>51.56</v>
      </c>
      <c r="AS20" cm="1">
        <f t="array" ref="AS20">_xll.BDH(AS$2 &amp; " US Equity","PX_LAST",$B20,$B20)</f>
        <v>120.77800000000001</v>
      </c>
      <c r="AT20" cm="1">
        <f t="array" ref="AT20">_xll.BDH(AT$2 &amp; " US Equity","PX_LAST",$B20,$B20)</f>
        <v>7.37</v>
      </c>
      <c r="AU20" cm="1">
        <f t="array" ref="AU20">_xll.BDH(AU$2 &amp; " US Equity","PX_LAST",$B20,$B20)</f>
        <v>334.82</v>
      </c>
      <c r="AV20" cm="1">
        <f t="array" ref="AV20">_xll.BDH(AV$2 &amp; " US Equity","PX_LAST",$B20,$B20)</f>
        <v>249.74</v>
      </c>
      <c r="AW20" cm="1">
        <f t="array" ref="AW20">_xll.BDH(AW$2 &amp; " US Equity","PX_LAST",$B20,$B20)</f>
        <v>149.34</v>
      </c>
    </row>
    <row r="21" spans="2:49">
      <c r="B21" s="13">
        <v>45919</v>
      </c>
      <c r="C21" cm="1">
        <f t="array" ref="C21">_xll.BDH(C$2 &amp; " US Equity","PX_LAST",$B21,$B21)</f>
        <v>231.75</v>
      </c>
      <c r="D21" cm="1">
        <f t="array" ref="D21">_xll.BDH(D$2 &amp; " PE Equity","PX_LAST",$B21,$B21)</f>
        <v>3.99</v>
      </c>
      <c r="E21" t="str" cm="1">
        <f t="array" ref="E21">_xll.BDH(E$2 &amp; " PE Equity","PX_LAST",$B21,$B21)</f>
        <v>#N/A N/A</v>
      </c>
      <c r="F21" cm="1">
        <f t="array" ref="F21">_xll.BDH(F$2 &amp; " PE Equity","PX_LAST",$B21,$B21)</f>
        <v>2.5</v>
      </c>
      <c r="G21" cm="1">
        <f t="array" ref="G21">_xll.BDH(G$2 &amp; " US Equity","PX_LAST",$B21,$B21)</f>
        <v>21.66</v>
      </c>
      <c r="H21" cm="1">
        <f t="array" ref="H21">_xll.BDH(H$2 &amp; " PE Equity","PX_LAST",$B21,$B21)</f>
        <v>3.37</v>
      </c>
      <c r="I21" cm="1">
        <f t="array" ref="I21">_xll.BDH(I$2 &amp; " US Equity","PX_LAST",$B21,$B21)</f>
        <v>43.17</v>
      </c>
      <c r="J21" cm="1">
        <f t="array" ref="J21">_xll.BDH(J$2 &amp; " US Equity","PX_LAST",$B21,$B21)</f>
        <v>7.1165000000000003</v>
      </c>
      <c r="K21" cm="1">
        <f t="array" ref="K21">_xll.BDH(K$2 &amp; " US Equity","PX_LAST",$B21,$B21)</f>
        <v>48.83</v>
      </c>
      <c r="L21" cm="1">
        <f t="array" ref="L21">_xll.BDH(L$2 &amp; " US Equity","PX_LAST",$B21,$B21)</f>
        <v>53.01</v>
      </c>
      <c r="M21" cm="1">
        <f t="array" ref="M21">_xll.BDH(M$2 &amp; " US Equity","PX_LAST",$B21,$B21)</f>
        <v>262.61</v>
      </c>
      <c r="N21" cm="1">
        <f t="array" ref="N21">_xll.BDH(N$2 &amp; " US Equity","PX_LAST",$B21,$B21)</f>
        <v>33.97</v>
      </c>
      <c r="O21" cm="1">
        <f t="array" ref="O21">_xll.BDH(O$2 &amp; " US Equity","PX_LAST",$B21,$B21)</f>
        <v>30.93</v>
      </c>
      <c r="P21" cm="1">
        <f t="array" ref="P21">_xll.BDH(P$2 &amp; " US Equity","PX_LAST",$B21,$B21)</f>
        <v>15.17</v>
      </c>
      <c r="Q21" cm="1">
        <f t="array" ref="Q21">_xll.BDH(Q$2 &amp; " US Equity","PX_LAST",$B21,$B21)</f>
        <v>24.03</v>
      </c>
      <c r="R21" cm="1">
        <f t="array" ref="R21">_xll.BDH(R$2 &amp; " US Equity","PX_LAST",$B21,$B21)</f>
        <v>20.91</v>
      </c>
      <c r="S21" cm="1">
        <f t="array" ref="S21">_xll.BDH(S$2 &amp; " US Equity","PX_LAST",$B21,$B21)</f>
        <v>153.12</v>
      </c>
      <c r="T21" cm="1">
        <f t="array" ref="T21">_xll.BDH(T$2 &amp; " US Equity","PX_LAST",$B21,$B21)</f>
        <v>61.05</v>
      </c>
      <c r="U21" cm="1">
        <f t="array" ref="U21">_xll.BDH(U$2 &amp; " US Equity","PX_LAST",$B21,$B21)</f>
        <v>135.35</v>
      </c>
      <c r="V21" cm="1">
        <f t="array" ref="V21">_xll.BDH(V$2 &amp; " US Equity","PX_LAST",$B21,$B21)</f>
        <v>42.475000000000001</v>
      </c>
      <c r="W21" cm="1">
        <f t="array" ref="W21">_xll.BDH(W$2 &amp; " US Equity","PX_LAST",$B21,$B21)</f>
        <v>182.39</v>
      </c>
      <c r="X21" cm="1">
        <f t="array" ref="X21">_xll.BDH(X$2 &amp; " US Equity","PX_LAST",$B21,$B21)</f>
        <v>55.26</v>
      </c>
      <c r="Y21" cm="1">
        <f t="array" ref="Y21">_xll.BDH(Y$2 &amp; " US Equity","PX_LAST",$B21,$B21)</f>
        <v>43.68</v>
      </c>
      <c r="Z21" cm="1">
        <f t="array" ref="Z21">_xll.BDH(Z$2 &amp; " US Equity","PX_LAST",$B21,$B21)</f>
        <v>315.70999999999998</v>
      </c>
      <c r="AA21" cm="1">
        <f t="array" ref="AA21">_xll.BDH(AA$2 &amp; " PE Equity","PX_LAST",$B21,$B21)</f>
        <v>0.41799999999999998</v>
      </c>
      <c r="AB21" cm="1">
        <f t="array" ref="AB21">_xll.BDH(AB$2 &amp; " PE Equity","PX_LAST",$B21,$B21)</f>
        <v>26.85</v>
      </c>
      <c r="AC21" cm="1">
        <f t="array" ref="AC21">_xll.BDH(AC$2 &amp; " US Equity","PX_LAST",$B21,$B21)</f>
        <v>68.81</v>
      </c>
      <c r="AD21" cm="1">
        <f t="array" ref="AD21">_xll.BDH(AD$2 &amp; " US Equity","PX_LAST",$B21,$B21)</f>
        <v>663.7</v>
      </c>
      <c r="AE21" t="str" cm="1">
        <f t="array" ref="AE21">_xll.BDH(AE$2 &amp; " PE Equity","PX_LAST",$B21,$B21)</f>
        <v>#N/A Connection</v>
      </c>
      <c r="AF21" cm="1">
        <f t="array" ref="AF21">_xll.BDH(AF$2 &amp; " US Equity","PX_LAST",$B21,$B21)</f>
        <v>51.421199999999999</v>
      </c>
      <c r="AG21" cm="1">
        <f t="array" ref="AG21">_xll.BDH(AG$2 &amp; " US Equity","PX_LAST",$B21,$B21)</f>
        <v>14.19</v>
      </c>
      <c r="AH21" cm="1">
        <f t="array" ref="AH21">_xll.BDH(AH$2 &amp; " US Equity","PX_LAST",$B21,$B21)</f>
        <v>599.35</v>
      </c>
      <c r="AI21" cm="1">
        <f t="array" ref="AI21">_xll.BDH(AI$2 &amp; " US Equity","PX_LAST",$B21,$B21)</f>
        <v>103.59</v>
      </c>
      <c r="AJ21" cm="1">
        <f t="array" ref="AJ21">_xll.BDH(AJ$2 &amp; " US Equity","PX_LAST",$B21,$B21)</f>
        <v>113.76</v>
      </c>
      <c r="AK21" cm="1">
        <f t="array" ref="AK21">_xll.BDH(AK$2 &amp; " US Equity","PX_LAST",$B21,$B21)</f>
        <v>120.69499999999999</v>
      </c>
      <c r="AL21" cm="1">
        <f t="array" ref="AL21">_xll.BDH(AL$2 &amp; " US Equity","PX_LAST",$B21,$B21)</f>
        <v>231.48</v>
      </c>
      <c r="AM21" cm="1">
        <f t="array" ref="AM21">_xll.BDH(AM$2 &amp; " US Equity","PX_LAST",$B21,$B21)</f>
        <v>51.49</v>
      </c>
      <c r="AN21" cm="1">
        <f t="array" ref="AN21">_xll.BDH(AN$2 &amp; " US Equity","PX_LAST",$B21,$B21)</f>
        <v>25.6</v>
      </c>
      <c r="AO21" cm="1">
        <f t="array" ref="AO21">_xll.BDH(AO$2 &amp; " US Equity","PX_LAST",$B21,$B21)</f>
        <v>56.86</v>
      </c>
      <c r="AP21" cm="1">
        <f t="array" ref="AP21">_xll.BDH(AP$2 &amp; " US Equity","PX_LAST",$B21,$B21)</f>
        <v>6.45</v>
      </c>
      <c r="AQ21" cm="1">
        <f t="array" ref="AQ21">_xll.BDH(AQ$2 &amp; " US Equity","PX_LAST",$B21,$B21)</f>
        <v>124.62</v>
      </c>
      <c r="AR21" cm="1">
        <f t="array" ref="AR21">_xll.BDH(AR$2 &amp; " US Equity","PX_LAST",$B21,$B21)</f>
        <v>51.88</v>
      </c>
      <c r="AS21" cm="1">
        <f t="array" ref="AS21">_xll.BDH(AS$2 &amp; " US Equity","PX_LAST",$B21,$B21)</f>
        <v>122.697</v>
      </c>
      <c r="AT21" cm="1">
        <f t="array" ref="AT21">_xll.BDH(AT$2 &amp; " US Equity","PX_LAST",$B21,$B21)</f>
        <v>7.37</v>
      </c>
      <c r="AU21" cm="1">
        <f t="array" ref="AU21">_xll.BDH(AU$2 &amp; " US Equity","PX_LAST",$B21,$B21)</f>
        <v>336.69</v>
      </c>
      <c r="AV21" cm="1">
        <f t="array" ref="AV21">_xll.BDH(AV$2 &amp; " US Equity","PX_LAST",$B21,$B21)</f>
        <v>250.85</v>
      </c>
      <c r="AW21" cm="1">
        <f t="array" ref="AW21">_xll.BDH(AW$2 &amp; " US Equity","PX_LAST",$B21,$B21)</f>
        <v>148.91999999999999</v>
      </c>
    </row>
    <row r="22" spans="2:49">
      <c r="B22" s="13">
        <v>45920</v>
      </c>
      <c r="C22" t="str" cm="1">
        <f t="array" ref="C22">_xll.BDH(C$2 &amp; " US Equity","PX_LAST",$B22,$B22)</f>
        <v>#N/A N/A</v>
      </c>
      <c r="D22" t="str" cm="1">
        <f t="array" ref="D22">_xll.BDH(D$2 &amp; " PE Equity","PX_LAST",$B22,$B22)</f>
        <v>#N/A N/A</v>
      </c>
      <c r="E22" t="str" cm="1">
        <f t="array" ref="E22">_xll.BDH(E$2 &amp; " PE Equity","PX_LAST",$B22,$B22)</f>
        <v>#N/A N/A</v>
      </c>
      <c r="F22" t="str" cm="1">
        <f t="array" ref="F22">_xll.BDH(F$2 &amp; " PE Equity","PX_LAST",$B22,$B22)</f>
        <v>#N/A N/A</v>
      </c>
      <c r="G22" t="str" cm="1">
        <f t="array" ref="G22">_xll.BDH(G$2 &amp; " US Equity","PX_LAST",$B22,$B22)</f>
        <v>#N/A N/A</v>
      </c>
      <c r="H22" t="str" cm="1">
        <f t="array" ref="H22">_xll.BDH(H$2 &amp; " PE Equity","PX_LAST",$B22,$B22)</f>
        <v>#N/A N/A</v>
      </c>
      <c r="I22" t="str" cm="1">
        <f t="array" ref="I22">_xll.BDH(I$2 &amp; " US Equity","PX_LAST",$B22,$B22)</f>
        <v>#N/A N/A</v>
      </c>
      <c r="J22" t="str" cm="1">
        <f t="array" ref="J22">_xll.BDH(J$2 &amp; " US Equity","PX_LAST",$B22,$B22)</f>
        <v>#N/A N/A</v>
      </c>
      <c r="K22" t="str" cm="1">
        <f t="array" ref="K22">_xll.BDH(K$2 &amp; " US Equity","PX_LAST",$B22,$B22)</f>
        <v>#N/A N/A</v>
      </c>
      <c r="L22" t="str" cm="1">
        <f t="array" ref="L22">_xll.BDH(L$2 &amp; " US Equity","PX_LAST",$B22,$B22)</f>
        <v>#N/A N/A</v>
      </c>
      <c r="M22" t="str" cm="1">
        <f t="array" ref="M22">_xll.BDH(M$2 &amp; " US Equity","PX_LAST",$B22,$B22)</f>
        <v>#N/A N/A</v>
      </c>
      <c r="N22" t="str" cm="1">
        <f t="array" ref="N22">_xll.BDH(N$2 &amp; " US Equity","PX_LAST",$B22,$B22)</f>
        <v>#N/A N/A</v>
      </c>
      <c r="O22" t="str" cm="1">
        <f t="array" ref="O22">_xll.BDH(O$2 &amp; " US Equity","PX_LAST",$B22,$B22)</f>
        <v>#N/A N/A</v>
      </c>
      <c r="P22" t="str" cm="1">
        <f t="array" ref="P22">_xll.BDH(P$2 &amp; " US Equity","PX_LAST",$B22,$B22)</f>
        <v>#N/A N/A</v>
      </c>
      <c r="Q22" t="str" cm="1">
        <f t="array" ref="Q22">_xll.BDH(Q$2 &amp; " US Equity","PX_LAST",$B22,$B22)</f>
        <v>#N/A N/A</v>
      </c>
      <c r="R22" t="str" cm="1">
        <f t="array" ref="R22">_xll.BDH(R$2 &amp; " US Equity","PX_LAST",$B22,$B22)</f>
        <v>#N/A N/A</v>
      </c>
      <c r="S22" t="str" cm="1">
        <f t="array" ref="S22">_xll.BDH(S$2 &amp; " US Equity","PX_LAST",$B22,$B22)</f>
        <v>#N/A N/A</v>
      </c>
      <c r="T22" t="str" cm="1">
        <f t="array" ref="T22">_xll.BDH(T$2 &amp; " US Equity","PX_LAST",$B22,$B22)</f>
        <v>#N/A N/A</v>
      </c>
      <c r="U22" t="str" cm="1">
        <f t="array" ref="U22">_xll.BDH(U$2 &amp; " US Equity","PX_LAST",$B22,$B22)</f>
        <v>#N/A N/A</v>
      </c>
      <c r="V22" t="str" cm="1">
        <f t="array" ref="V22">_xll.BDH(V$2 &amp; " US Equity","PX_LAST",$B22,$B22)</f>
        <v>#N/A N/A</v>
      </c>
      <c r="W22" t="str" cm="1">
        <f t="array" ref="W22">_xll.BDH(W$2 &amp; " US Equity","PX_LAST",$B22,$B22)</f>
        <v>#N/A N/A</v>
      </c>
      <c r="X22" t="str" cm="1">
        <f t="array" ref="X22">_xll.BDH(X$2 &amp; " US Equity","PX_LAST",$B22,$B22)</f>
        <v>#N/A N/A</v>
      </c>
      <c r="Y22" t="str" cm="1">
        <f t="array" ref="Y22">_xll.BDH(Y$2 &amp; " US Equity","PX_LAST",$B22,$B22)</f>
        <v>#N/A N/A</v>
      </c>
      <c r="Z22" t="str" cm="1">
        <f t="array" ref="Z22">_xll.BDH(Z$2 &amp; " US Equity","PX_LAST",$B22,$B22)</f>
        <v>#N/A N/A</v>
      </c>
      <c r="AA22" t="str" cm="1">
        <f t="array" ref="AA22">_xll.BDH(AA$2 &amp; " PE Equity","PX_LAST",$B22,$B22)</f>
        <v>#N/A N/A</v>
      </c>
      <c r="AB22" t="str" cm="1">
        <f t="array" ref="AB22">_xll.BDH(AB$2 &amp; " PE Equity","PX_LAST",$B22,$B22)</f>
        <v>#N/A N/A</v>
      </c>
      <c r="AC22" t="str" cm="1">
        <f t="array" ref="AC22">_xll.BDH(AC$2 &amp; " US Equity","PX_LAST",$B22,$B22)</f>
        <v>#N/A N/A</v>
      </c>
      <c r="AD22" t="str" cm="1">
        <f t="array" ref="AD22">_xll.BDH(AD$2 &amp; " US Equity","PX_LAST",$B22,$B22)</f>
        <v>#N/A N/A</v>
      </c>
      <c r="AE22" t="str" cm="1">
        <f t="array" ref="AE22">_xll.BDH(AE$2 &amp; " PE Equity","PX_LAST",$B22,$B22)</f>
        <v>#N/A Connection</v>
      </c>
      <c r="AF22" t="str" cm="1">
        <f t="array" ref="AF22">_xll.BDH(AF$2 &amp; " US Equity","PX_LAST",$B22,$B22)</f>
        <v>#N/A N/A</v>
      </c>
      <c r="AG22" t="str" cm="1">
        <f t="array" ref="AG22">_xll.BDH(AG$2 &amp; " US Equity","PX_LAST",$B22,$B22)</f>
        <v>#N/A N/A</v>
      </c>
      <c r="AH22" t="str" cm="1">
        <f t="array" ref="AH22">_xll.BDH(AH$2 &amp; " US Equity","PX_LAST",$B22,$B22)</f>
        <v>#N/A N/A</v>
      </c>
      <c r="AI22" t="str" cm="1">
        <f t="array" ref="AI22">_xll.BDH(AI$2 &amp; " US Equity","PX_LAST",$B22,$B22)</f>
        <v>#N/A N/A</v>
      </c>
      <c r="AJ22" t="str" cm="1">
        <f t="array" ref="AJ22">_xll.BDH(AJ$2 &amp; " US Equity","PX_LAST",$B22,$B22)</f>
        <v>#N/A N/A</v>
      </c>
      <c r="AK22" t="str" cm="1">
        <f t="array" ref="AK22">_xll.BDH(AK$2 &amp; " US Equity","PX_LAST",$B22,$B22)</f>
        <v>#N/A N/A</v>
      </c>
      <c r="AL22" t="str" cm="1">
        <f t="array" ref="AL22">_xll.BDH(AL$2 &amp; " US Equity","PX_LAST",$B22,$B22)</f>
        <v>#N/A N/A</v>
      </c>
      <c r="AM22" t="str" cm="1">
        <f t="array" ref="AM22">_xll.BDH(AM$2 &amp; " US Equity","PX_LAST",$B22,$B22)</f>
        <v>#N/A N/A</v>
      </c>
      <c r="AN22" t="str" cm="1">
        <f t="array" ref="AN22">_xll.BDH(AN$2 &amp; " US Equity","PX_LAST",$B22,$B22)</f>
        <v>#N/A N/A</v>
      </c>
      <c r="AO22" t="str" cm="1">
        <f t="array" ref="AO22">_xll.BDH(AO$2 &amp; " US Equity","PX_LAST",$B22,$B22)</f>
        <v>#N/A N/A</v>
      </c>
      <c r="AP22" t="str" cm="1">
        <f t="array" ref="AP22">_xll.BDH(AP$2 &amp; " US Equity","PX_LAST",$B22,$B22)</f>
        <v>#N/A N/A</v>
      </c>
      <c r="AQ22" t="str" cm="1">
        <f t="array" ref="AQ22">_xll.BDH(AQ$2 &amp; " US Equity","PX_LAST",$B22,$B22)</f>
        <v>#N/A N/A</v>
      </c>
      <c r="AR22" t="str" cm="1">
        <f t="array" ref="AR22">_xll.BDH(AR$2 &amp; " US Equity","PX_LAST",$B22,$B22)</f>
        <v>#N/A N/A</v>
      </c>
      <c r="AS22" t="str" cm="1">
        <f t="array" ref="AS22">_xll.BDH(AS$2 &amp; " US Equity","PX_LAST",$B22,$B22)</f>
        <v>#N/A N/A</v>
      </c>
      <c r="AT22" t="str" cm="1">
        <f t="array" ref="AT22">_xll.BDH(AT$2 &amp; " US Equity","PX_LAST",$B22,$B22)</f>
        <v>#N/A N/A</v>
      </c>
      <c r="AU22" t="str" cm="1">
        <f t="array" ref="AU22">_xll.BDH(AU$2 &amp; " US Equity","PX_LAST",$B22,$B22)</f>
        <v>#N/A N/A</v>
      </c>
      <c r="AV22" t="str" cm="1">
        <f t="array" ref="AV22">_xll.BDH(AV$2 &amp; " US Equity","PX_LAST",$B22,$B22)</f>
        <v>#N/A N/A</v>
      </c>
      <c r="AW22" t="str" cm="1">
        <f t="array" ref="AW22">_xll.BDH(AW$2 &amp; " US Equity","PX_LAST",$B22,$B22)</f>
        <v>#N/A N/A</v>
      </c>
    </row>
    <row r="23" spans="2:49">
      <c r="B23" s="13">
        <v>45921</v>
      </c>
      <c r="C23" t="str" cm="1">
        <f t="array" ref="C23">_xll.BDH(C$2 &amp; " US Equity","PX_LAST",$B23,$B23)</f>
        <v>#N/A N/A</v>
      </c>
      <c r="D23" t="str" cm="1">
        <f t="array" ref="D23">_xll.BDH(D$2 &amp; " PE Equity","PX_LAST",$B23,$B23)</f>
        <v>#N/A N/A</v>
      </c>
      <c r="E23" t="str" cm="1">
        <f t="array" ref="E23">_xll.BDH(E$2 &amp; " PE Equity","PX_LAST",$B23,$B23)</f>
        <v>#N/A N/A</v>
      </c>
      <c r="F23" t="str" cm="1">
        <f t="array" ref="F23">_xll.BDH(F$2 &amp; " PE Equity","PX_LAST",$B23,$B23)</f>
        <v>#N/A N/A</v>
      </c>
      <c r="G23" t="str" cm="1">
        <f t="array" ref="G23">_xll.BDH(G$2 &amp; " US Equity","PX_LAST",$B23,$B23)</f>
        <v>#N/A N/A</v>
      </c>
      <c r="H23" t="str" cm="1">
        <f t="array" ref="H23">_xll.BDH(H$2 &amp; " PE Equity","PX_LAST",$B23,$B23)</f>
        <v>#N/A N/A</v>
      </c>
      <c r="I23" t="str" cm="1">
        <f t="array" ref="I23">_xll.BDH(I$2 &amp; " US Equity","PX_LAST",$B23,$B23)</f>
        <v>#N/A N/A</v>
      </c>
      <c r="J23" t="str" cm="1">
        <f t="array" ref="J23">_xll.BDH(J$2 &amp; " US Equity","PX_LAST",$B23,$B23)</f>
        <v>#N/A N/A</v>
      </c>
      <c r="K23" t="str" cm="1">
        <f t="array" ref="K23">_xll.BDH(K$2 &amp; " US Equity","PX_LAST",$B23,$B23)</f>
        <v>#N/A N/A</v>
      </c>
      <c r="L23" t="str" cm="1">
        <f t="array" ref="L23">_xll.BDH(L$2 &amp; " US Equity","PX_LAST",$B23,$B23)</f>
        <v>#N/A N/A</v>
      </c>
      <c r="M23" t="str" cm="1">
        <f t="array" ref="M23">_xll.BDH(M$2 &amp; " US Equity","PX_LAST",$B23,$B23)</f>
        <v>#N/A N/A</v>
      </c>
      <c r="N23" t="str" cm="1">
        <f t="array" ref="N23">_xll.BDH(N$2 &amp; " US Equity","PX_LAST",$B23,$B23)</f>
        <v>#N/A N/A</v>
      </c>
      <c r="O23" t="str" cm="1">
        <f t="array" ref="O23">_xll.BDH(O$2 &amp; " US Equity","PX_LAST",$B23,$B23)</f>
        <v>#N/A N/A</v>
      </c>
      <c r="P23" t="str" cm="1">
        <f t="array" ref="P23">_xll.BDH(P$2 &amp; " US Equity","PX_LAST",$B23,$B23)</f>
        <v>#N/A N/A</v>
      </c>
      <c r="Q23" t="str" cm="1">
        <f t="array" ref="Q23">_xll.BDH(Q$2 &amp; " US Equity","PX_LAST",$B23,$B23)</f>
        <v>#N/A N/A</v>
      </c>
      <c r="R23" t="str" cm="1">
        <f t="array" ref="R23">_xll.BDH(R$2 &amp; " US Equity","PX_LAST",$B23,$B23)</f>
        <v>#N/A N/A</v>
      </c>
      <c r="S23" t="str" cm="1">
        <f t="array" ref="S23">_xll.BDH(S$2 &amp; " US Equity","PX_LAST",$B23,$B23)</f>
        <v>#N/A N/A</v>
      </c>
      <c r="T23" t="str" cm="1">
        <f t="array" ref="T23">_xll.BDH(T$2 &amp; " US Equity","PX_LAST",$B23,$B23)</f>
        <v>#N/A N/A</v>
      </c>
      <c r="U23" t="str" cm="1">
        <f t="array" ref="U23">_xll.BDH(U$2 &amp; " US Equity","PX_LAST",$B23,$B23)</f>
        <v>#N/A N/A</v>
      </c>
      <c r="V23" t="str" cm="1">
        <f t="array" ref="V23">_xll.BDH(V$2 &amp; " US Equity","PX_LAST",$B23,$B23)</f>
        <v>#N/A N/A</v>
      </c>
      <c r="W23" t="str" cm="1">
        <f t="array" ref="W23">_xll.BDH(W$2 &amp; " US Equity","PX_LAST",$B23,$B23)</f>
        <v>#N/A N/A</v>
      </c>
      <c r="X23" t="str" cm="1">
        <f t="array" ref="X23">_xll.BDH(X$2 &amp; " US Equity","PX_LAST",$B23,$B23)</f>
        <v>#N/A N/A</v>
      </c>
      <c r="Y23" t="str" cm="1">
        <f t="array" ref="Y23">_xll.BDH(Y$2 &amp; " US Equity","PX_LAST",$B23,$B23)</f>
        <v>#N/A N/A</v>
      </c>
      <c r="Z23" t="str" cm="1">
        <f t="array" ref="Z23">_xll.BDH(Z$2 &amp; " US Equity","PX_LAST",$B23,$B23)</f>
        <v>#N/A N/A</v>
      </c>
      <c r="AA23" t="str" cm="1">
        <f t="array" ref="AA23">_xll.BDH(AA$2 &amp; " PE Equity","PX_LAST",$B23,$B23)</f>
        <v>#N/A N/A</v>
      </c>
      <c r="AB23" t="str" cm="1">
        <f t="array" ref="AB23">_xll.BDH(AB$2 &amp; " PE Equity","PX_LAST",$B23,$B23)</f>
        <v>#N/A N/A</v>
      </c>
      <c r="AC23" t="str" cm="1">
        <f t="array" ref="AC23">_xll.BDH(AC$2 &amp; " US Equity","PX_LAST",$B23,$B23)</f>
        <v>#N/A N/A</v>
      </c>
      <c r="AD23" t="str" cm="1">
        <f t="array" ref="AD23">_xll.BDH(AD$2 &amp; " US Equity","PX_LAST",$B23,$B23)</f>
        <v>#N/A N/A</v>
      </c>
      <c r="AE23" t="str" cm="1">
        <f t="array" ref="AE23">_xll.BDH(AE$2 &amp; " PE Equity","PX_LAST",$B23,$B23)</f>
        <v>#N/A Connection</v>
      </c>
      <c r="AF23" t="str" cm="1">
        <f t="array" ref="AF23">_xll.BDH(AF$2 &amp; " US Equity","PX_LAST",$B23,$B23)</f>
        <v>#N/A N/A</v>
      </c>
      <c r="AG23" t="str" cm="1">
        <f t="array" ref="AG23">_xll.BDH(AG$2 &amp; " US Equity","PX_LAST",$B23,$B23)</f>
        <v>#N/A N/A</v>
      </c>
      <c r="AH23" t="str" cm="1">
        <f t="array" ref="AH23">_xll.BDH(AH$2 &amp; " US Equity","PX_LAST",$B23,$B23)</f>
        <v>#N/A N/A</v>
      </c>
      <c r="AI23" t="str" cm="1">
        <f t="array" ref="AI23">_xll.BDH(AI$2 &amp; " US Equity","PX_LAST",$B23,$B23)</f>
        <v>#N/A N/A</v>
      </c>
      <c r="AJ23" t="str" cm="1">
        <f t="array" ref="AJ23">_xll.BDH(AJ$2 &amp; " US Equity","PX_LAST",$B23,$B23)</f>
        <v>#N/A N/A</v>
      </c>
      <c r="AK23" t="str" cm="1">
        <f t="array" ref="AK23">_xll.BDH(AK$2 &amp; " US Equity","PX_LAST",$B23,$B23)</f>
        <v>#N/A N/A</v>
      </c>
      <c r="AL23" t="str" cm="1">
        <f t="array" ref="AL23">_xll.BDH(AL$2 &amp; " US Equity","PX_LAST",$B23,$B23)</f>
        <v>#N/A N/A</v>
      </c>
      <c r="AM23" t="str" cm="1">
        <f t="array" ref="AM23">_xll.BDH(AM$2 &amp; " US Equity","PX_LAST",$B23,$B23)</f>
        <v>#N/A N/A</v>
      </c>
      <c r="AN23" t="str" cm="1">
        <f t="array" ref="AN23">_xll.BDH(AN$2 &amp; " US Equity","PX_LAST",$B23,$B23)</f>
        <v>#N/A N/A</v>
      </c>
      <c r="AO23" t="str" cm="1">
        <f t="array" ref="AO23">_xll.BDH(AO$2 &amp; " US Equity","PX_LAST",$B23,$B23)</f>
        <v>#N/A N/A</v>
      </c>
      <c r="AP23" t="str" cm="1">
        <f t="array" ref="AP23">_xll.BDH(AP$2 &amp; " US Equity","PX_LAST",$B23,$B23)</f>
        <v>#N/A N/A</v>
      </c>
      <c r="AQ23" t="str" cm="1">
        <f t="array" ref="AQ23">_xll.BDH(AQ$2 &amp; " US Equity","PX_LAST",$B23,$B23)</f>
        <v>#N/A N/A</v>
      </c>
      <c r="AR23" t="str" cm="1">
        <f t="array" ref="AR23">_xll.BDH(AR$2 &amp; " US Equity","PX_LAST",$B23,$B23)</f>
        <v>#N/A N/A</v>
      </c>
      <c r="AS23" t="str" cm="1">
        <f t="array" ref="AS23">_xll.BDH(AS$2 &amp; " US Equity","PX_LAST",$B23,$B23)</f>
        <v>#N/A N/A</v>
      </c>
      <c r="AT23" t="str" cm="1">
        <f t="array" ref="AT23">_xll.BDH(AT$2 &amp; " US Equity","PX_LAST",$B23,$B23)</f>
        <v>#N/A N/A</v>
      </c>
      <c r="AU23" t="str" cm="1">
        <f t="array" ref="AU23">_xll.BDH(AU$2 &amp; " US Equity","PX_LAST",$B23,$B23)</f>
        <v>#N/A N/A</v>
      </c>
      <c r="AV23" t="str" cm="1">
        <f t="array" ref="AV23">_xll.BDH(AV$2 &amp; " US Equity","PX_LAST",$B23,$B23)</f>
        <v>#N/A N/A</v>
      </c>
      <c r="AW23" t="str" cm="1">
        <f t="array" ref="AW23">_xll.BDH(AW$2 &amp; " US Equity","PX_LAST",$B23,$B23)</f>
        <v>#N/A N/A</v>
      </c>
    </row>
    <row r="24" spans="2:49">
      <c r="B24" s="13">
        <v>45922</v>
      </c>
      <c r="C24" cm="1">
        <f t="array" ref="C24">_xll.BDH(C$2 &amp; " US Equity","PX_LAST",$B24,$B24)</f>
        <v>230.12</v>
      </c>
      <c r="D24" cm="1">
        <f t="array" ref="D24">_xll.BDH(D$2 &amp; " PE Equity","PX_LAST",$B24,$B24)</f>
        <v>4</v>
      </c>
      <c r="E24" t="str" cm="1">
        <f t="array" ref="E24">_xll.BDH(E$2 &amp; " PE Equity","PX_LAST",$B24,$B24)</f>
        <v>#N/A N/A</v>
      </c>
      <c r="F24" cm="1">
        <f t="array" ref="F24">_xll.BDH(F$2 &amp; " PE Equity","PX_LAST",$B24,$B24)</f>
        <v>2.5</v>
      </c>
      <c r="G24" cm="1">
        <f t="array" ref="G24">_xll.BDH(G$2 &amp; " US Equity","PX_LAST",$B24,$B24)</f>
        <v>21.36</v>
      </c>
      <c r="H24" cm="1">
        <f t="array" ref="H24">_xll.BDH(H$2 &amp; " PE Equity","PX_LAST",$B24,$B24)</f>
        <v>3.37</v>
      </c>
      <c r="I24" cm="1">
        <f t="array" ref="I24">_xll.BDH(I$2 &amp; " US Equity","PX_LAST",$B24,$B24)</f>
        <v>43.89</v>
      </c>
      <c r="J24" cm="1">
        <f t="array" ref="J24">_xll.BDH(J$2 &amp; " US Equity","PX_LAST",$B24,$B24)</f>
        <v>7.0290999999999997</v>
      </c>
      <c r="K24" cm="1">
        <f t="array" ref="K24">_xll.BDH(K$2 &amp; " US Equity","PX_LAST",$B24,$B24)</f>
        <v>48.43</v>
      </c>
      <c r="L24" cm="1">
        <f t="array" ref="L24">_xll.BDH(L$2 &amp; " US Equity","PX_LAST",$B24,$B24)</f>
        <v>53.27</v>
      </c>
      <c r="M24" cm="1">
        <f t="array" ref="M24">_xll.BDH(M$2 &amp; " US Equity","PX_LAST",$B24,$B24)</f>
        <v>266.77</v>
      </c>
      <c r="N24" cm="1">
        <f t="array" ref="N24">_xll.BDH(N$2 &amp; " US Equity","PX_LAST",$B24,$B24)</f>
        <v>34.04</v>
      </c>
      <c r="O24" cm="1">
        <f t="array" ref="O24">_xll.BDH(O$2 &amp; " US Equity","PX_LAST",$B24,$B24)</f>
        <v>30.79</v>
      </c>
      <c r="P24" cm="1">
        <f t="array" ref="P24">_xll.BDH(P$2 &amp; " US Equity","PX_LAST",$B24,$B24)</f>
        <v>15.36</v>
      </c>
      <c r="Q24" cm="1">
        <f t="array" ref="Q24">_xll.BDH(Q$2 &amp; " US Equity","PX_LAST",$B24,$B24)</f>
        <v>24.04</v>
      </c>
      <c r="R24" cm="1">
        <f t="array" ref="R24">_xll.BDH(R$2 &amp; " US Equity","PX_LAST",$B24,$B24)</f>
        <v>21.53</v>
      </c>
      <c r="S24" cm="1">
        <f t="array" ref="S24">_xll.BDH(S$2 &amp; " US Equity","PX_LAST",$B24,$B24)</f>
        <v>153</v>
      </c>
      <c r="T24" cm="1">
        <f t="array" ref="T24">_xll.BDH(T$2 &amp; " US Equity","PX_LAST",$B24,$B24)</f>
        <v>61.18</v>
      </c>
      <c r="U24" cm="1">
        <f t="array" ref="U24">_xll.BDH(U$2 &amp; " US Equity","PX_LAST",$B24,$B24)</f>
        <v>136.63</v>
      </c>
      <c r="V24" cm="1">
        <f t="array" ref="V24">_xll.BDH(V$2 &amp; " US Equity","PX_LAST",$B24,$B24)</f>
        <v>42.6</v>
      </c>
      <c r="W24" cm="1">
        <f t="array" ref="W24">_xll.BDH(W$2 &amp; " US Equity","PX_LAST",$B24,$B24)</f>
        <v>179.33</v>
      </c>
      <c r="X24" cm="1">
        <f t="array" ref="X24">_xll.BDH(X$2 &amp; " US Equity","PX_LAST",$B24,$B24)</f>
        <v>55.57</v>
      </c>
      <c r="Y24" cm="1">
        <f t="array" ref="Y24">_xll.BDH(Y$2 &amp; " US Equity","PX_LAST",$B24,$B24)</f>
        <v>43.78</v>
      </c>
      <c r="Z24" cm="1">
        <f t="array" ref="Z24">_xll.BDH(Z$2 &amp; " US Equity","PX_LAST",$B24,$B24)</f>
        <v>322.17</v>
      </c>
      <c r="AA24" cm="1">
        <f t="array" ref="AA24">_xll.BDH(AA$2 &amp; " PE Equity","PX_LAST",$B24,$B24)</f>
        <v>0.44</v>
      </c>
      <c r="AB24" cm="1">
        <f t="array" ref="AB24">_xll.BDH(AB$2 &amp; " PE Equity","PX_LAST",$B24,$B24)</f>
        <v>26.8</v>
      </c>
      <c r="AC24" cm="1">
        <f t="array" ref="AC24">_xll.BDH(AC$2 &amp; " US Equity","PX_LAST",$B24,$B24)</f>
        <v>68.83</v>
      </c>
      <c r="AD24" cm="1">
        <f t="array" ref="AD24">_xll.BDH(AD$2 &amp; " US Equity","PX_LAST",$B24,$B24)</f>
        <v>666.84</v>
      </c>
      <c r="AE24" t="str" cm="1">
        <f t="array" ref="AE24">_xll.BDH(AE$2 &amp; " PE Equity","PX_LAST",$B24,$B24)</f>
        <v>#N/A Connection</v>
      </c>
      <c r="AF24" cm="1">
        <f t="array" ref="AF24">_xll.BDH(AF$2 &amp; " US Equity","PX_LAST",$B24,$B24)</f>
        <v>51.608800000000002</v>
      </c>
      <c r="AG24" cm="1">
        <f t="array" ref="AG24">_xll.BDH(AG$2 &amp; " US Equity","PX_LAST",$B24,$B24)</f>
        <v>13.96</v>
      </c>
      <c r="AH24" cm="1">
        <f t="array" ref="AH24">_xll.BDH(AH$2 &amp; " US Equity","PX_LAST",$B24,$B24)</f>
        <v>602.20000000000005</v>
      </c>
      <c r="AI24" cm="1">
        <f t="array" ref="AI24">_xll.BDH(AI$2 &amp; " US Equity","PX_LAST",$B24,$B24)</f>
        <v>102.85</v>
      </c>
      <c r="AJ24" cm="1">
        <f t="array" ref="AJ24">_xll.BDH(AJ$2 &amp; " US Equity","PX_LAST",$B24,$B24)</f>
        <v>112.56</v>
      </c>
      <c r="AK24" cm="1">
        <f t="array" ref="AK24">_xll.BDH(AK$2 &amp; " US Equity","PX_LAST",$B24,$B24)</f>
        <v>120.09</v>
      </c>
      <c r="AL24" cm="1">
        <f t="array" ref="AL24">_xll.BDH(AL$2 &amp; " US Equity","PX_LAST",$B24,$B24)</f>
        <v>227.63</v>
      </c>
      <c r="AM24" cm="1">
        <f t="array" ref="AM24">_xll.BDH(AM$2 &amp; " US Equity","PX_LAST",$B24,$B24)</f>
        <v>52.36</v>
      </c>
      <c r="AN24" cm="1">
        <f t="array" ref="AN24">_xll.BDH(AN$2 &amp; " US Equity","PX_LAST",$B24,$B24)</f>
        <v>25.97</v>
      </c>
      <c r="AO24" cm="1">
        <f t="array" ref="AO24">_xll.BDH(AO$2 &amp; " US Equity","PX_LAST",$B24,$B24)</f>
        <v>57.84</v>
      </c>
      <c r="AP24" cm="1">
        <f t="array" ref="AP24">_xll.BDH(AP$2 &amp; " US Equity","PX_LAST",$B24,$B24)</f>
        <v>6.39</v>
      </c>
      <c r="AQ24" cm="1">
        <f t="array" ref="AQ24">_xll.BDH(AQ$2 &amp; " US Equity","PX_LAST",$B24,$B24)</f>
        <v>124.07</v>
      </c>
      <c r="AR24" cm="1">
        <f t="array" ref="AR24">_xll.BDH(AR$2 &amp; " US Equity","PX_LAST",$B24,$B24)</f>
        <v>52.51</v>
      </c>
      <c r="AS24" cm="1">
        <f t="array" ref="AS24">_xll.BDH(AS$2 &amp; " US Equity","PX_LAST",$B24,$B24)</f>
        <v>122.73699999999999</v>
      </c>
      <c r="AT24" cm="1">
        <f t="array" ref="AT24">_xll.BDH(AT$2 &amp; " US Equity","PX_LAST",$B24,$B24)</f>
        <v>6.91</v>
      </c>
      <c r="AU24" cm="1">
        <f t="array" ref="AU24">_xll.BDH(AU$2 &amp; " US Equity","PX_LAST",$B24,$B24)</f>
        <v>341.3</v>
      </c>
      <c r="AV24" cm="1">
        <f t="array" ref="AV24">_xll.BDH(AV$2 &amp; " US Equity","PX_LAST",$B24,$B24)</f>
        <v>251.64</v>
      </c>
      <c r="AW24" cm="1">
        <f t="array" ref="AW24">_xll.BDH(AW$2 &amp; " US Equity","PX_LAST",$B24,$B24)</f>
        <v>146.94999999999999</v>
      </c>
    </row>
    <row r="25" spans="2:49">
      <c r="B25" s="13">
        <v>45923</v>
      </c>
      <c r="C25" cm="1">
        <f t="array" ref="C25">_xll.BDH(C$2 &amp; " US Equity","PX_LAST",$B25,$B25)</f>
        <v>233.7</v>
      </c>
      <c r="D25" cm="1">
        <f t="array" ref="D25">_xll.BDH(D$2 &amp; " PE Equity","PX_LAST",$B25,$B25)</f>
        <v>4</v>
      </c>
      <c r="E25" cm="1">
        <f t="array" ref="E25">_xll.BDH(E$2 &amp; " PE Equity","PX_LAST",$B25,$B25)</f>
        <v>1.77</v>
      </c>
      <c r="F25" cm="1">
        <f t="array" ref="F25">_xll.BDH(F$2 &amp; " PE Equity","PX_LAST",$B25,$B25)</f>
        <v>2.4900000000000002</v>
      </c>
      <c r="G25" cm="1">
        <f t="array" ref="G25">_xll.BDH(G$2 &amp; " US Equity","PX_LAST",$B25,$B25)</f>
        <v>21.19</v>
      </c>
      <c r="H25" cm="1">
        <f t="array" ref="H25">_xll.BDH(H$2 &amp; " PE Equity","PX_LAST",$B25,$B25)</f>
        <v>3.36</v>
      </c>
      <c r="I25" cm="1">
        <f t="array" ref="I25">_xll.BDH(I$2 &amp; " US Equity","PX_LAST",$B25,$B25)</f>
        <v>42.37</v>
      </c>
      <c r="J25" cm="1">
        <f t="array" ref="J25">_xll.BDH(J$2 &amp; " US Equity","PX_LAST",$B25,$B25)</f>
        <v>7.1942000000000004</v>
      </c>
      <c r="K25" cm="1">
        <f t="array" ref="K25">_xll.BDH(K$2 &amp; " US Equity","PX_LAST",$B25,$B25)</f>
        <v>48.55</v>
      </c>
      <c r="L25" cm="1">
        <f t="array" ref="L25">_xll.BDH(L$2 &amp; " US Equity","PX_LAST",$B25,$B25)</f>
        <v>53.3</v>
      </c>
      <c r="M25" cm="1">
        <f t="array" ref="M25">_xll.BDH(M$2 &amp; " US Equity","PX_LAST",$B25,$B25)</f>
        <v>265.55</v>
      </c>
      <c r="N25" cm="1">
        <f t="array" ref="N25">_xll.BDH(N$2 &amp; " US Equity","PX_LAST",$B25,$B25)</f>
        <v>34.01</v>
      </c>
      <c r="O25" cm="1">
        <f t="array" ref="O25">_xll.BDH(O$2 &amp; " US Equity","PX_LAST",$B25,$B25)</f>
        <v>31.32</v>
      </c>
      <c r="P25" cm="1">
        <f t="array" ref="P25">_xll.BDH(P$2 &amp; " US Equity","PX_LAST",$B25,$B25)</f>
        <v>15.19</v>
      </c>
      <c r="Q25" cm="1">
        <f t="array" ref="Q25">_xll.BDH(Q$2 &amp; " US Equity","PX_LAST",$B25,$B25)</f>
        <v>24.13</v>
      </c>
      <c r="R25" cm="1">
        <f t="array" ref="R25">_xll.BDH(R$2 &amp; " US Equity","PX_LAST",$B25,$B25)</f>
        <v>22.05</v>
      </c>
      <c r="S25" cm="1">
        <f t="array" ref="S25">_xll.BDH(S$2 &amp; " US Equity","PX_LAST",$B25,$B25)</f>
        <v>153.04</v>
      </c>
      <c r="T25" cm="1">
        <f t="array" ref="T25">_xll.BDH(T$2 &amp; " US Equity","PX_LAST",$B25,$B25)</f>
        <v>61.33</v>
      </c>
      <c r="U25" cm="1">
        <f t="array" ref="U25">_xll.BDH(U$2 &amp; " US Equity","PX_LAST",$B25,$B25)</f>
        <v>125.57</v>
      </c>
      <c r="V25" cm="1">
        <f t="array" ref="V25">_xll.BDH(V$2 &amp; " US Equity","PX_LAST",$B25,$B25)</f>
        <v>42.82</v>
      </c>
      <c r="W25" cm="1">
        <f t="array" ref="W25">_xll.BDH(W$2 &amp; " US Equity","PX_LAST",$B25,$B25)</f>
        <v>182.55</v>
      </c>
      <c r="X25" cm="1">
        <f t="array" ref="X25">_xll.BDH(X$2 &amp; " US Equity","PX_LAST",$B25,$B25)</f>
        <v>55.24</v>
      </c>
      <c r="Y25" cm="1">
        <f t="array" ref="Y25">_xll.BDH(Y$2 &amp; " US Equity","PX_LAST",$B25,$B25)</f>
        <v>43.89</v>
      </c>
      <c r="Z25" cm="1">
        <f t="array" ref="Z25">_xll.BDH(Z$2 &amp; " US Equity","PX_LAST",$B25,$B25)</f>
        <v>321.7</v>
      </c>
      <c r="AA25" cm="1">
        <f t="array" ref="AA25">_xll.BDH(AA$2 &amp; " PE Equity","PX_LAST",$B25,$B25)</f>
        <v>0.45500000000000002</v>
      </c>
      <c r="AB25" cm="1">
        <f t="array" ref="AB25">_xll.BDH(AB$2 &amp; " PE Equity","PX_LAST",$B25,$B25)</f>
        <v>26.71</v>
      </c>
      <c r="AC25" cm="1">
        <f t="array" ref="AC25">_xll.BDH(AC$2 &amp; " US Equity","PX_LAST",$B25,$B25)</f>
        <v>68.62</v>
      </c>
      <c r="AD25" cm="1">
        <f t="array" ref="AD25">_xll.BDH(AD$2 &amp; " US Equity","PX_LAST",$B25,$B25)</f>
        <v>663.21</v>
      </c>
      <c r="AE25" t="str" cm="1">
        <f t="array" ref="AE25">_xll.BDH(AE$2 &amp; " PE Equity","PX_LAST",$B25,$B25)</f>
        <v>#N/A Connection</v>
      </c>
      <c r="AF25" cm="1">
        <f t="array" ref="AF25">_xll.BDH(AF$2 &amp; " US Equity","PX_LAST",$B25,$B25)</f>
        <v>51.484099999999998</v>
      </c>
      <c r="AG25" cm="1">
        <f t="array" ref="AG25">_xll.BDH(AG$2 &amp; " US Equity","PX_LAST",$B25,$B25)</f>
        <v>14.18</v>
      </c>
      <c r="AH25" cm="1">
        <f t="array" ref="AH25">_xll.BDH(AH$2 &amp; " US Equity","PX_LAST",$B25,$B25)</f>
        <v>598.20000000000005</v>
      </c>
      <c r="AI25" cm="1">
        <f t="array" ref="AI25">_xll.BDH(AI$2 &amp; " US Equity","PX_LAST",$B25,$B25)</f>
        <v>103.13</v>
      </c>
      <c r="AJ25" cm="1">
        <f t="array" ref="AJ25">_xll.BDH(AJ$2 &amp; " US Equity","PX_LAST",$B25,$B25)</f>
        <v>112.25</v>
      </c>
      <c r="AK25" cm="1">
        <f t="array" ref="AK25">_xll.BDH(AK$2 &amp; " US Equity","PX_LAST",$B25,$B25)</f>
        <v>118.96</v>
      </c>
      <c r="AL25" cm="1">
        <f t="array" ref="AL25">_xll.BDH(AL$2 &amp; " US Equity","PX_LAST",$B25,$B25)</f>
        <v>220.71</v>
      </c>
      <c r="AM25" cm="1">
        <f t="array" ref="AM25">_xll.BDH(AM$2 &amp; " US Equity","PX_LAST",$B25,$B25)</f>
        <v>51.305</v>
      </c>
      <c r="AN25" cm="1">
        <f t="array" ref="AN25">_xll.BDH(AN$2 &amp; " US Equity","PX_LAST",$B25,$B25)</f>
        <v>25.5</v>
      </c>
      <c r="AO25" cm="1">
        <f t="array" ref="AO25">_xll.BDH(AO$2 &amp; " US Equity","PX_LAST",$B25,$B25)</f>
        <v>56.28</v>
      </c>
      <c r="AP25" cm="1">
        <f t="array" ref="AP25">_xll.BDH(AP$2 &amp; " US Equity","PX_LAST",$B25,$B25)</f>
        <v>6.46</v>
      </c>
      <c r="AQ25" cm="1">
        <f t="array" ref="AQ25">_xll.BDH(AQ$2 &amp; " US Equity","PX_LAST",$B25,$B25)</f>
        <v>123.82</v>
      </c>
      <c r="AR25" cm="1">
        <f t="array" ref="AR25">_xll.BDH(AR$2 &amp; " US Equity","PX_LAST",$B25,$B25)</f>
        <v>52.58</v>
      </c>
      <c r="AS25" cm="1">
        <f t="array" ref="AS25">_xll.BDH(AS$2 &amp; " US Equity","PX_LAST",$B25,$B25)</f>
        <v>121.84699999999999</v>
      </c>
      <c r="AT25" cm="1">
        <f t="array" ref="AT25">_xll.BDH(AT$2 &amp; " US Equity","PX_LAST",$B25,$B25)</f>
        <v>6.93</v>
      </c>
      <c r="AU25" cm="1">
        <f t="array" ref="AU25">_xll.BDH(AU$2 &amp; " US Equity","PX_LAST",$B25,$B25)</f>
        <v>347.69</v>
      </c>
      <c r="AV25" cm="1">
        <f t="array" ref="AV25">_xll.BDH(AV$2 &amp; " US Equity","PX_LAST",$B25,$B25)</f>
        <v>251.28</v>
      </c>
      <c r="AW25" cm="1">
        <f t="array" ref="AW25">_xll.BDH(AW$2 &amp; " US Equity","PX_LAST",$B25,$B25)</f>
        <v>147.25</v>
      </c>
    </row>
    <row r="26" spans="2:49">
      <c r="B26" s="13">
        <v>45924</v>
      </c>
      <c r="C26" cm="1">
        <f t="array" ref="C26">_xll.BDH(C$2 &amp; " US Equity","PX_LAST",$B26,$B26)</f>
        <v>233.75</v>
      </c>
      <c r="D26" cm="1">
        <f t="array" ref="D26">_xll.BDH(D$2 &amp; " PE Equity","PX_LAST",$B26,$B26)</f>
        <v>4.01</v>
      </c>
      <c r="E26" t="str" cm="1">
        <f t="array" ref="E26">_xll.BDH(E$2 &amp; " PE Equity","PX_LAST",$B26,$B26)</f>
        <v>#N/A N/A</v>
      </c>
      <c r="F26" cm="1">
        <f t="array" ref="F26">_xll.BDH(F$2 &amp; " PE Equity","PX_LAST",$B26,$B26)</f>
        <v>2.5</v>
      </c>
      <c r="G26" cm="1">
        <f t="array" ref="G26">_xll.BDH(G$2 &amp; " US Equity","PX_LAST",$B26,$B26)</f>
        <v>21.27</v>
      </c>
      <c r="H26" cm="1">
        <f t="array" ref="H26">_xll.BDH(H$2 &amp; " PE Equity","PX_LAST",$B26,$B26)</f>
        <v>3.37</v>
      </c>
      <c r="I26" cm="1">
        <f t="array" ref="I26">_xll.BDH(I$2 &amp; " US Equity","PX_LAST",$B26,$B26)</f>
        <v>43.35</v>
      </c>
      <c r="J26" cm="1">
        <f t="array" ref="J26">_xll.BDH(J$2 &amp; " US Equity","PX_LAST",$B26,$B26)</f>
        <v>7.0777000000000001</v>
      </c>
      <c r="K26" cm="1">
        <f t="array" ref="K26">_xll.BDH(K$2 &amp; " US Equity","PX_LAST",$B26,$B26)</f>
        <v>48.57</v>
      </c>
      <c r="L26" cm="1">
        <f t="array" ref="L26">_xll.BDH(L$2 &amp; " US Equity","PX_LAST",$B26,$B26)</f>
        <v>53.12</v>
      </c>
      <c r="M26" cm="1">
        <f t="array" ref="M26">_xll.BDH(M$2 &amp; " US Equity","PX_LAST",$B26,$B26)</f>
        <v>266.11</v>
      </c>
      <c r="N26" cm="1">
        <f t="array" ref="N26">_xll.BDH(N$2 &amp; " US Equity","PX_LAST",$B26,$B26)</f>
        <v>33.83</v>
      </c>
      <c r="O26" cm="1">
        <f t="array" ref="O26">_xll.BDH(O$2 &amp; " US Equity","PX_LAST",$B26,$B26)</f>
        <v>31.05</v>
      </c>
      <c r="P26" cm="1">
        <f t="array" ref="P26">_xll.BDH(P$2 &amp; " US Equity","PX_LAST",$B26,$B26)</f>
        <v>15.14</v>
      </c>
      <c r="Q26" cm="1">
        <f t="array" ref="Q26">_xll.BDH(Q$2 &amp; " US Equity","PX_LAST",$B26,$B26)</f>
        <v>24.09</v>
      </c>
      <c r="R26" cm="1">
        <f t="array" ref="R26">_xll.BDH(R$2 &amp; " US Equity","PX_LAST",$B26,$B26)</f>
        <v>22.86</v>
      </c>
      <c r="S26" cm="1">
        <f t="array" ref="S26">_xll.BDH(S$2 &amp; " US Equity","PX_LAST",$B26,$B26)</f>
        <v>152.25</v>
      </c>
      <c r="T26" cm="1">
        <f t="array" ref="T26">_xll.BDH(T$2 &amp; " US Equity","PX_LAST",$B26,$B26)</f>
        <v>61.02</v>
      </c>
      <c r="U26" cm="1">
        <f t="array" ref="U26">_xll.BDH(U$2 &amp; " US Equity","PX_LAST",$B26,$B26)</f>
        <v>132.91999999999999</v>
      </c>
      <c r="V26" cm="1">
        <f t="array" ref="V26">_xll.BDH(V$2 &amp; " US Equity","PX_LAST",$B26,$B26)</f>
        <v>43.125</v>
      </c>
      <c r="W26" cm="1">
        <f t="array" ref="W26">_xll.BDH(W$2 &amp; " US Equity","PX_LAST",$B26,$B26)</f>
        <v>179.56</v>
      </c>
      <c r="X26" cm="1">
        <f t="array" ref="X26">_xll.BDH(X$2 &amp; " US Equity","PX_LAST",$B26,$B26)</f>
        <v>54.51</v>
      </c>
      <c r="Y26" cm="1">
        <f t="array" ref="Y26">_xll.BDH(Y$2 &amp; " US Equity","PX_LAST",$B26,$B26)</f>
        <v>43.41</v>
      </c>
      <c r="Z26" cm="1">
        <f t="array" ref="Z26">_xll.BDH(Z$2 &amp; " US Equity","PX_LAST",$B26,$B26)</f>
        <v>321.11</v>
      </c>
      <c r="AA26" cm="1">
        <f t="array" ref="AA26">_xll.BDH(AA$2 &amp; " PE Equity","PX_LAST",$B26,$B26)</f>
        <v>0.45</v>
      </c>
      <c r="AB26" cm="1">
        <f t="array" ref="AB26">_xll.BDH(AB$2 &amp; " PE Equity","PX_LAST",$B26,$B26)</f>
        <v>26.5</v>
      </c>
      <c r="AC26" cm="1">
        <f t="array" ref="AC26">_xll.BDH(AC$2 &amp; " US Equity","PX_LAST",$B26,$B26)</f>
        <v>68.42</v>
      </c>
      <c r="AD26" cm="1">
        <f t="array" ref="AD26">_xll.BDH(AD$2 &amp; " US Equity","PX_LAST",$B26,$B26)</f>
        <v>661.1</v>
      </c>
      <c r="AE26" t="str" cm="1">
        <f t="array" ref="AE26">_xll.BDH(AE$2 &amp; " PE Equity","PX_LAST",$B26,$B26)</f>
        <v>#N/A Connection</v>
      </c>
      <c r="AF26" cm="1">
        <f t="array" ref="AF26">_xll.BDH(AF$2 &amp; " US Equity","PX_LAST",$B26,$B26)</f>
        <v>51.263800000000003</v>
      </c>
      <c r="AG26" cm="1">
        <f t="array" ref="AG26">_xll.BDH(AG$2 &amp; " US Equity","PX_LAST",$B26,$B26)</f>
        <v>14.04</v>
      </c>
      <c r="AH26" cm="1">
        <f t="array" ref="AH26">_xll.BDH(AH$2 &amp; " US Equity","PX_LAST",$B26,$B26)</f>
        <v>596.1</v>
      </c>
      <c r="AI26" cm="1">
        <f t="array" ref="AI26">_xll.BDH(AI$2 &amp; " US Equity","PX_LAST",$B26,$B26)</f>
        <v>103.32</v>
      </c>
      <c r="AJ26" cm="1">
        <f t="array" ref="AJ26">_xll.BDH(AJ$2 &amp; " US Equity","PX_LAST",$B26,$B26)</f>
        <v>113.43</v>
      </c>
      <c r="AK26" cm="1">
        <f t="array" ref="AK26">_xll.BDH(AK$2 &amp; " US Equity","PX_LAST",$B26,$B26)</f>
        <v>119.8</v>
      </c>
      <c r="AL26" cm="1">
        <f t="array" ref="AL26">_xll.BDH(AL$2 &amp; " US Equity","PX_LAST",$B26,$B26)</f>
        <v>220.21</v>
      </c>
      <c r="AM26" cm="1">
        <f t="array" ref="AM26">_xll.BDH(AM$2 &amp; " US Equity","PX_LAST",$B26,$B26)</f>
        <v>50.704999999999998</v>
      </c>
      <c r="AN26" cm="1">
        <f t="array" ref="AN26">_xll.BDH(AN$2 &amp; " US Equity","PX_LAST",$B26,$B26)</f>
        <v>26.08</v>
      </c>
      <c r="AO26" cm="1">
        <f t="array" ref="AO26">_xll.BDH(AO$2 &amp; " US Equity","PX_LAST",$B26,$B26)</f>
        <v>57.63</v>
      </c>
      <c r="AP26" cm="1">
        <f t="array" ref="AP26">_xll.BDH(AP$2 &amp; " US Equity","PX_LAST",$B26,$B26)</f>
        <v>6.63</v>
      </c>
      <c r="AQ26" cm="1">
        <f t="array" ref="AQ26">_xll.BDH(AQ$2 &amp; " US Equity","PX_LAST",$B26,$B26)</f>
        <v>123.93</v>
      </c>
      <c r="AR26" cm="1">
        <f t="array" ref="AR26">_xll.BDH(AR$2 &amp; " US Equity","PX_LAST",$B26,$B26)</f>
        <v>52.46</v>
      </c>
      <c r="AS26" cm="1">
        <f t="array" ref="AS26">_xll.BDH(AS$2 &amp; " US Equity","PX_LAST",$B26,$B26)</f>
        <v>120.395</v>
      </c>
      <c r="AT26" cm="1">
        <f t="array" ref="AT26">_xll.BDH(AT$2 &amp; " US Equity","PX_LAST",$B26,$B26)</f>
        <v>7.12</v>
      </c>
      <c r="AU26" cm="1">
        <f t="array" ref="AU26">_xll.BDH(AU$2 &amp; " US Equity","PX_LAST",$B26,$B26)</f>
        <v>351.81</v>
      </c>
      <c r="AV26" cm="1">
        <f t="array" ref="AV26">_xll.BDH(AV$2 &amp; " US Equity","PX_LAST",$B26,$B26)</f>
        <v>244.12</v>
      </c>
      <c r="AW26" cm="1">
        <f t="array" ref="AW26">_xll.BDH(AW$2 &amp; " US Equity","PX_LAST",$B26,$B26)</f>
        <v>137.94</v>
      </c>
    </row>
    <row r="27" spans="2:49">
      <c r="B27" s="13">
        <v>45925</v>
      </c>
      <c r="C27" cm="1">
        <f t="array" ref="C27">_xll.BDH(C$2 &amp; " US Equity","PX_LAST",$B27,$B27)</f>
        <v>236.42</v>
      </c>
      <c r="D27" cm="1">
        <f t="array" ref="D27">_xll.BDH(D$2 &amp; " PE Equity","PX_LAST",$B27,$B27)</f>
        <v>4.0199999999999996</v>
      </c>
      <c r="E27" cm="1">
        <f t="array" ref="E27">_xll.BDH(E$2 &amp; " PE Equity","PX_LAST",$B27,$B27)</f>
        <v>1.75</v>
      </c>
      <c r="F27" cm="1">
        <f t="array" ref="F27">_xll.BDH(F$2 &amp; " PE Equity","PX_LAST",$B27,$B27)</f>
        <v>2.5</v>
      </c>
      <c r="G27" cm="1">
        <f t="array" ref="G27">_xll.BDH(G$2 &amp; " US Equity","PX_LAST",$B27,$B27)</f>
        <v>22.25</v>
      </c>
      <c r="H27" cm="1">
        <f t="array" ref="H27">_xll.BDH(H$2 &amp; " PE Equity","PX_LAST",$B27,$B27)</f>
        <v>3.35</v>
      </c>
      <c r="I27" cm="1">
        <f t="array" ref="I27">_xll.BDH(I$2 &amp; " US Equity","PX_LAST",$B27,$B27)</f>
        <v>43.71</v>
      </c>
      <c r="J27" cm="1">
        <f t="array" ref="J27">_xll.BDH(J$2 &amp; " US Equity","PX_LAST",$B27,$B27)</f>
        <v>6.9903000000000004</v>
      </c>
      <c r="K27" cm="1">
        <f t="array" ref="K27">_xll.BDH(K$2 &amp; " US Equity","PX_LAST",$B27,$B27)</f>
        <v>48.25</v>
      </c>
      <c r="L27" cm="1">
        <f t="array" ref="L27">_xll.BDH(L$2 &amp; " US Equity","PX_LAST",$B27,$B27)</f>
        <v>52.81</v>
      </c>
      <c r="M27" cm="1">
        <f t="array" ref="M27">_xll.BDH(M$2 &amp; " US Equity","PX_LAST",$B27,$B27)</f>
        <v>262.74</v>
      </c>
      <c r="N27" cm="1">
        <f t="array" ref="N27">_xll.BDH(N$2 &amp; " US Equity","PX_LAST",$B27,$B27)</f>
        <v>33.56</v>
      </c>
      <c r="O27" cm="1">
        <f t="array" ref="O27">_xll.BDH(O$2 &amp; " US Equity","PX_LAST",$B27,$B27)</f>
        <v>30.58</v>
      </c>
      <c r="P27" cm="1">
        <f t="array" ref="P27">_xll.BDH(P$2 &amp; " US Equity","PX_LAST",$B27,$B27)</f>
        <v>15.16</v>
      </c>
      <c r="Q27" cm="1">
        <f t="array" ref="Q27">_xll.BDH(Q$2 &amp; " US Equity","PX_LAST",$B27,$B27)</f>
        <v>23.6</v>
      </c>
      <c r="R27" cm="1">
        <f t="array" ref="R27">_xll.BDH(R$2 &amp; " US Equity","PX_LAST",$B27,$B27)</f>
        <v>22.92</v>
      </c>
      <c r="S27" cm="1">
        <f t="array" ref="S27">_xll.BDH(S$2 &amp; " US Equity","PX_LAST",$B27,$B27)</f>
        <v>151.22</v>
      </c>
      <c r="T27" cm="1">
        <f t="array" ref="T27">_xll.BDH(T$2 &amp; " US Equity","PX_LAST",$B27,$B27)</f>
        <v>60.54</v>
      </c>
      <c r="U27" cm="1">
        <f t="array" ref="U27">_xll.BDH(U$2 &amp; " US Equity","PX_LAST",$B27,$B27)</f>
        <v>135.4</v>
      </c>
      <c r="V27" cm="1">
        <f t="array" ref="V27">_xll.BDH(V$2 &amp; " US Equity","PX_LAST",$B27,$B27)</f>
        <v>42.71</v>
      </c>
      <c r="W27" cm="1">
        <f t="array" ref="W27">_xll.BDH(W$2 &amp; " US Equity","PX_LAST",$B27,$B27)</f>
        <v>179.12</v>
      </c>
      <c r="X27" cm="1">
        <f t="array" ref="X27">_xll.BDH(X$2 &amp; " US Equity","PX_LAST",$B27,$B27)</f>
        <v>53.86</v>
      </c>
      <c r="Y27" cm="1">
        <f t="array" ref="Y27">_xll.BDH(Y$2 &amp; " US Equity","PX_LAST",$B27,$B27)</f>
        <v>43.05</v>
      </c>
      <c r="Z27" cm="1">
        <f t="array" ref="Z27">_xll.BDH(Z$2 &amp; " US Equity","PX_LAST",$B27,$B27)</f>
        <v>321.06</v>
      </c>
      <c r="AA27" cm="1">
        <f t="array" ref="AA27">_xll.BDH(AA$2 &amp; " PE Equity","PX_LAST",$B27,$B27)</f>
        <v>0.438</v>
      </c>
      <c r="AB27" cm="1">
        <f t="array" ref="AB27">_xll.BDH(AB$2 &amp; " PE Equity","PX_LAST",$B27,$B27)</f>
        <v>26.44</v>
      </c>
      <c r="AC27" cm="1">
        <f t="array" ref="AC27">_xll.BDH(AC$2 &amp; " US Equity","PX_LAST",$B27,$B27)</f>
        <v>68.069999999999993</v>
      </c>
      <c r="AD27" cm="1">
        <f t="array" ref="AD27">_xll.BDH(AD$2 &amp; " US Equity","PX_LAST",$B27,$B27)</f>
        <v>658.05</v>
      </c>
      <c r="AE27" t="str" cm="1">
        <f t="array" ref="AE27">_xll.BDH(AE$2 &amp; " PE Equity","PX_LAST",$B27,$B27)</f>
        <v>#N/A Connection</v>
      </c>
      <c r="AF27" cm="1">
        <f t="array" ref="AF27">_xll.BDH(AF$2 &amp; " US Equity","PX_LAST",$B27,$B27)</f>
        <v>50.397199999999998</v>
      </c>
      <c r="AG27" cm="1">
        <f t="array" ref="AG27">_xll.BDH(AG$2 &amp; " US Equity","PX_LAST",$B27,$B27)</f>
        <v>13.744999999999999</v>
      </c>
      <c r="AH27" cm="1">
        <f t="array" ref="AH27">_xll.BDH(AH$2 &amp; " US Equity","PX_LAST",$B27,$B27)</f>
        <v>593.53</v>
      </c>
      <c r="AI27" cm="1">
        <f t="array" ref="AI27">_xll.BDH(AI$2 &amp; " US Equity","PX_LAST",$B27,$B27)</f>
        <v>102.62</v>
      </c>
      <c r="AJ27" cm="1">
        <f t="array" ref="AJ27">_xll.BDH(AJ$2 &amp; " US Equity","PX_LAST",$B27,$B27)</f>
        <v>112.99</v>
      </c>
      <c r="AK27" cm="1">
        <f t="array" ref="AK27">_xll.BDH(AK$2 &amp; " US Equity","PX_LAST",$B27,$B27)</f>
        <v>118.11</v>
      </c>
      <c r="AL27" cm="1">
        <f t="array" ref="AL27">_xll.BDH(AL$2 &amp; " US Equity","PX_LAST",$B27,$B27)</f>
        <v>218.15</v>
      </c>
      <c r="AM27" cm="1">
        <f t="array" ref="AM27">_xll.BDH(AM$2 &amp; " US Equity","PX_LAST",$B27,$B27)</f>
        <v>50.024999999999999</v>
      </c>
      <c r="AN27" cm="1">
        <f t="array" ref="AN27">_xll.BDH(AN$2 &amp; " US Equity","PX_LAST",$B27,$B27)</f>
        <v>26.35</v>
      </c>
      <c r="AO27" cm="1">
        <f t="array" ref="AO27">_xll.BDH(AO$2 &amp; " US Equity","PX_LAST",$B27,$B27)</f>
        <v>58.24</v>
      </c>
      <c r="AP27" cm="1">
        <f t="array" ref="AP27">_xll.BDH(AP$2 &amp; " US Equity","PX_LAST",$B27,$B27)</f>
        <v>6.71</v>
      </c>
      <c r="AQ27" cm="1">
        <f t="array" ref="AQ27">_xll.BDH(AQ$2 &amp; " US Equity","PX_LAST",$B27,$B27)</f>
        <v>121.72</v>
      </c>
      <c r="AR27" cm="1">
        <f t="array" ref="AR27">_xll.BDH(AR$2 &amp; " US Equity","PX_LAST",$B27,$B27)</f>
        <v>52.44</v>
      </c>
      <c r="AS27" cm="1">
        <f t="array" ref="AS27">_xll.BDH(AS$2 &amp; " US Equity","PX_LAST",$B27,$B27)</f>
        <v>120.824</v>
      </c>
      <c r="AT27" cm="1">
        <f t="array" ref="AT27">_xll.BDH(AT$2 &amp; " US Equity","PX_LAST",$B27,$B27)</f>
        <v>7.47</v>
      </c>
      <c r="AU27" cm="1">
        <f t="array" ref="AU27">_xll.BDH(AU$2 &amp; " US Equity","PX_LAST",$B27,$B27)</f>
        <v>345.56</v>
      </c>
      <c r="AV27" cm="1">
        <f t="array" ref="AV27">_xll.BDH(AV$2 &amp; " US Equity","PX_LAST",$B27,$B27)</f>
        <v>245.11</v>
      </c>
      <c r="AW27" cm="1">
        <f t="array" ref="AW27">_xll.BDH(AW$2 &amp; " US Equity","PX_LAST",$B27,$B27)</f>
        <v>135.66</v>
      </c>
    </row>
    <row r="28" spans="2:49">
      <c r="B28" s="13">
        <v>45926</v>
      </c>
      <c r="C28" cm="1">
        <f t="array" ref="C28">_xll.BDH(C$2 &amp; " US Equity","PX_LAST",$B28,$B28)</f>
        <v>237.82</v>
      </c>
      <c r="D28" cm="1">
        <f t="array" ref="D28">_xll.BDH(D$2 &amp; " PE Equity","PX_LAST",$B28,$B28)</f>
        <v>4.01</v>
      </c>
      <c r="E28" cm="1">
        <f t="array" ref="E28">_xll.BDH(E$2 &amp; " PE Equity","PX_LAST",$B28,$B28)</f>
        <v>1.77</v>
      </c>
      <c r="F28" cm="1">
        <f t="array" ref="F28">_xll.BDH(F$2 &amp; " PE Equity","PX_LAST",$B28,$B28)</f>
        <v>2.48</v>
      </c>
      <c r="G28" cm="1">
        <f t="array" ref="G28">_xll.BDH(G$2 &amp; " US Equity","PX_LAST",$B28,$B28)</f>
        <v>22.79</v>
      </c>
      <c r="H28" cm="1">
        <f t="array" ref="H28">_xll.BDH(H$2 &amp; " PE Equity","PX_LAST",$B28,$B28)</f>
        <v>3.32</v>
      </c>
      <c r="I28" cm="1">
        <f t="array" ref="I28">_xll.BDH(I$2 &amp; " US Equity","PX_LAST",$B28,$B28)</f>
        <v>43.42</v>
      </c>
      <c r="J28" cm="1">
        <f t="array" ref="J28">_xll.BDH(J$2 &amp; " US Equity","PX_LAST",$B28,$B28)</f>
        <v>7.0290999999999997</v>
      </c>
      <c r="K28" cm="1">
        <f t="array" ref="K28">_xll.BDH(K$2 &amp; " US Equity","PX_LAST",$B28,$B28)</f>
        <v>49.04</v>
      </c>
      <c r="L28" cm="1">
        <f t="array" ref="L28">_xll.BDH(L$2 &amp; " US Equity","PX_LAST",$B28,$B28)</f>
        <v>52.71</v>
      </c>
      <c r="M28" cm="1">
        <f t="array" ref="M28">_xll.BDH(M$2 &amp; " US Equity","PX_LAST",$B28,$B28)</f>
        <v>263.66000000000003</v>
      </c>
      <c r="N28" cm="1">
        <f t="array" ref="N28">_xll.BDH(N$2 &amp; " US Equity","PX_LAST",$B28,$B28)</f>
        <v>34.14</v>
      </c>
      <c r="O28" cm="1">
        <f t="array" ref="O28">_xll.BDH(O$2 &amp; " US Equity","PX_LAST",$B28,$B28)</f>
        <v>30.73</v>
      </c>
      <c r="P28" cm="1">
        <f t="array" ref="P28">_xll.BDH(P$2 &amp; " US Equity","PX_LAST",$B28,$B28)</f>
        <v>15.21</v>
      </c>
      <c r="Q28" cm="1">
        <f t="array" ref="Q28">_xll.BDH(Q$2 &amp; " US Equity","PX_LAST",$B28,$B28)</f>
        <v>23.76</v>
      </c>
      <c r="R28" cm="1">
        <f t="array" ref="R28">_xll.BDH(R$2 &amp; " US Equity","PX_LAST",$B28,$B28)</f>
        <v>23.24</v>
      </c>
      <c r="S28" cm="1">
        <f t="array" ref="S28">_xll.BDH(S$2 &amp; " US Equity","PX_LAST",$B28,$B28)</f>
        <v>152.58000000000001</v>
      </c>
      <c r="T28" cm="1">
        <f t="array" ref="T28">_xll.BDH(T$2 &amp; " US Equity","PX_LAST",$B28,$B28)</f>
        <v>61.28</v>
      </c>
      <c r="U28" cm="1">
        <f t="array" ref="U28">_xll.BDH(U$2 &amp; " US Equity","PX_LAST",$B28,$B28)</f>
        <v>131.34</v>
      </c>
      <c r="V28" cm="1">
        <f t="array" ref="V28">_xll.BDH(V$2 &amp; " US Equity","PX_LAST",$B28,$B28)</f>
        <v>43.405000000000001</v>
      </c>
      <c r="W28" cm="1">
        <f t="array" ref="W28">_xll.BDH(W$2 &amp; " US Equity","PX_LAST",$B28,$B28)</f>
        <v>177.57</v>
      </c>
      <c r="X28" cm="1">
        <f t="array" ref="X28">_xll.BDH(X$2 &amp; " US Equity","PX_LAST",$B28,$B28)</f>
        <v>54.26</v>
      </c>
      <c r="Y28" cm="1">
        <f t="array" ref="Y28">_xll.BDH(Y$2 &amp; " US Equity","PX_LAST",$B28,$B28)</f>
        <v>43.59</v>
      </c>
      <c r="Z28" cm="1">
        <f t="array" ref="Z28">_xll.BDH(Z$2 &amp; " US Equity","PX_LAST",$B28,$B28)</f>
        <v>321.82</v>
      </c>
      <c r="AA28" cm="1">
        <f t="array" ref="AA28">_xll.BDH(AA$2 &amp; " PE Equity","PX_LAST",$B28,$B28)</f>
        <v>0.45700000000000002</v>
      </c>
      <c r="AB28" cm="1">
        <f t="array" ref="AB28">_xll.BDH(AB$2 &amp; " PE Equity","PX_LAST",$B28,$B28)</f>
        <v>26.27</v>
      </c>
      <c r="AC28" cm="1">
        <f t="array" ref="AC28">_xll.BDH(AC$2 &amp; " US Equity","PX_LAST",$B28,$B28)</f>
        <v>68.56</v>
      </c>
      <c r="AD28" cm="1">
        <f t="array" ref="AD28">_xll.BDH(AD$2 &amp; " US Equity","PX_LAST",$B28,$B28)</f>
        <v>661.82</v>
      </c>
      <c r="AE28" t="str" cm="1">
        <f t="array" ref="AE28">_xll.BDH(AE$2 &amp; " PE Equity","PX_LAST",$B28,$B28)</f>
        <v>#N/A Connection</v>
      </c>
      <c r="AF28" cm="1">
        <f t="array" ref="AF28">_xll.BDH(AF$2 &amp; " US Equity","PX_LAST",$B28,$B28)</f>
        <v>50.938400000000001</v>
      </c>
      <c r="AG28" cm="1">
        <f t="array" ref="AG28">_xll.BDH(AG$2 &amp; " US Equity","PX_LAST",$B28,$B28)</f>
        <v>13.865399999999999</v>
      </c>
      <c r="AH28" cm="1">
        <f t="array" ref="AH28">_xll.BDH(AH$2 &amp; " US Equity","PX_LAST",$B28,$B28)</f>
        <v>595.97</v>
      </c>
      <c r="AI28" cm="1">
        <f t="array" ref="AI28">_xll.BDH(AI$2 &amp; " US Equity","PX_LAST",$B28,$B28)</f>
        <v>104.41</v>
      </c>
      <c r="AJ28" cm="1">
        <f t="array" ref="AJ28">_xll.BDH(AJ$2 &amp; " US Equity","PX_LAST",$B28,$B28)</f>
        <v>113.47</v>
      </c>
      <c r="AK28" cm="1">
        <f t="array" ref="AK28">_xll.BDH(AK$2 &amp; " US Equity","PX_LAST",$B28,$B28)</f>
        <v>119.855</v>
      </c>
      <c r="AL28" cm="1">
        <f t="array" ref="AL28">_xll.BDH(AL$2 &amp; " US Equity","PX_LAST",$B28,$B28)</f>
        <v>219.78</v>
      </c>
      <c r="AM28" cm="1">
        <f t="array" ref="AM28">_xll.BDH(AM$2 &amp; " US Equity","PX_LAST",$B28,$B28)</f>
        <v>50.625</v>
      </c>
      <c r="AN28" cm="1">
        <f t="array" ref="AN28">_xll.BDH(AN$2 &amp; " US Equity","PX_LAST",$B28,$B28)</f>
        <v>25.7407</v>
      </c>
      <c r="AO28" cm="1">
        <f t="array" ref="AO28">_xll.BDH(AO$2 &amp; " US Equity","PX_LAST",$B28,$B28)</f>
        <v>57.1</v>
      </c>
      <c r="AP28" cm="1">
        <f t="array" ref="AP28">_xll.BDH(AP$2 &amp; " US Equity","PX_LAST",$B28,$B28)</f>
        <v>6.66</v>
      </c>
      <c r="AQ28" cm="1">
        <f t="array" ref="AQ28">_xll.BDH(AQ$2 &amp; " US Equity","PX_LAST",$B28,$B28)</f>
        <v>122.23</v>
      </c>
      <c r="AR28" cm="1">
        <f t="array" ref="AR28">_xll.BDH(AR$2 &amp; " US Equity","PX_LAST",$B28,$B28)</f>
        <v>51.93</v>
      </c>
      <c r="AS28" cm="1">
        <f t="array" ref="AS28">_xll.BDH(AS$2 &amp; " US Equity","PX_LAST",$B28,$B28)</f>
        <v>121.06100000000001</v>
      </c>
      <c r="AT28" cm="1">
        <f t="array" ref="AT28">_xll.BDH(AT$2 &amp; " US Equity","PX_LAST",$B28,$B28)</f>
        <v>7.04</v>
      </c>
      <c r="AU28" cm="1">
        <f t="array" ref="AU28">_xll.BDH(AU$2 &amp; " US Equity","PX_LAST",$B28,$B28)</f>
        <v>344.08</v>
      </c>
      <c r="AV28" cm="1">
        <f t="array" ref="AV28">_xll.BDH(AV$2 &amp; " US Equity","PX_LAST",$B28,$B28)</f>
        <v>256.12</v>
      </c>
      <c r="AW28" cm="1">
        <f t="array" ref="AW28">_xll.BDH(AW$2 &amp; " US Equity","PX_LAST",$B28,$B28)</f>
        <v>134.01</v>
      </c>
    </row>
    <row r="29" spans="2:49">
      <c r="B29" s="13">
        <v>45927</v>
      </c>
      <c r="C29" t="str" cm="1">
        <f t="array" ref="C29">_xll.BDH(C$2 &amp; " US Equity","PX_LAST",$B29,$B29)</f>
        <v>#N/A N/A</v>
      </c>
      <c r="D29" t="str" cm="1">
        <f t="array" ref="D29">_xll.BDH(D$2 &amp; " PE Equity","PX_LAST",$B29,$B29)</f>
        <v>#N/A N/A</v>
      </c>
      <c r="E29" t="str" cm="1">
        <f t="array" ref="E29">_xll.BDH(E$2 &amp; " PE Equity","PX_LAST",$B29,$B29)</f>
        <v>#N/A N/A</v>
      </c>
      <c r="F29" t="str" cm="1">
        <f t="array" ref="F29">_xll.BDH(F$2 &amp; " PE Equity","PX_LAST",$B29,$B29)</f>
        <v>#N/A N/A</v>
      </c>
      <c r="G29" t="str" cm="1">
        <f t="array" ref="G29">_xll.BDH(G$2 &amp; " US Equity","PX_LAST",$B29,$B29)</f>
        <v>#N/A N/A</v>
      </c>
      <c r="H29" t="str" cm="1">
        <f t="array" ref="H29">_xll.BDH(H$2 &amp; " PE Equity","PX_LAST",$B29,$B29)</f>
        <v>#N/A N/A</v>
      </c>
      <c r="I29" t="str" cm="1">
        <f t="array" ref="I29">_xll.BDH(I$2 &amp; " US Equity","PX_LAST",$B29,$B29)</f>
        <v>#N/A N/A</v>
      </c>
      <c r="J29" t="str" cm="1">
        <f t="array" ref="J29">_xll.BDH(J$2 &amp; " US Equity","PX_LAST",$B29,$B29)</f>
        <v>#N/A N/A</v>
      </c>
      <c r="K29" t="str" cm="1">
        <f t="array" ref="K29">_xll.BDH(K$2 &amp; " US Equity","PX_LAST",$B29,$B29)</f>
        <v>#N/A N/A</v>
      </c>
      <c r="L29" t="str" cm="1">
        <f t="array" ref="L29">_xll.BDH(L$2 &amp; " US Equity","PX_LAST",$B29,$B29)</f>
        <v>#N/A N/A</v>
      </c>
      <c r="M29" t="str" cm="1">
        <f t="array" ref="M29">_xll.BDH(M$2 &amp; " US Equity","PX_LAST",$B29,$B29)</f>
        <v>#N/A N/A</v>
      </c>
      <c r="N29" t="str" cm="1">
        <f t="array" ref="N29">_xll.BDH(N$2 &amp; " US Equity","PX_LAST",$B29,$B29)</f>
        <v>#N/A N/A</v>
      </c>
      <c r="O29" t="str" cm="1">
        <f t="array" ref="O29">_xll.BDH(O$2 &amp; " US Equity","PX_LAST",$B29,$B29)</f>
        <v>#N/A N/A</v>
      </c>
      <c r="P29" t="str" cm="1">
        <f t="array" ref="P29">_xll.BDH(P$2 &amp; " US Equity","PX_LAST",$B29,$B29)</f>
        <v>#N/A N/A</v>
      </c>
      <c r="Q29" t="str" cm="1">
        <f t="array" ref="Q29">_xll.BDH(Q$2 &amp; " US Equity","PX_LAST",$B29,$B29)</f>
        <v>#N/A N/A</v>
      </c>
      <c r="R29" t="str" cm="1">
        <f t="array" ref="R29">_xll.BDH(R$2 &amp; " US Equity","PX_LAST",$B29,$B29)</f>
        <v>#N/A N/A</v>
      </c>
      <c r="S29" t="str" cm="1">
        <f t="array" ref="S29">_xll.BDH(S$2 &amp; " US Equity","PX_LAST",$B29,$B29)</f>
        <v>#N/A N/A</v>
      </c>
      <c r="T29" t="str" cm="1">
        <f t="array" ref="T29">_xll.BDH(T$2 &amp; " US Equity","PX_LAST",$B29,$B29)</f>
        <v>#N/A N/A</v>
      </c>
      <c r="U29" t="str" cm="1">
        <f t="array" ref="U29">_xll.BDH(U$2 &amp; " US Equity","PX_LAST",$B29,$B29)</f>
        <v>#N/A N/A</v>
      </c>
      <c r="V29" t="str" cm="1">
        <f t="array" ref="V29">_xll.BDH(V$2 &amp; " US Equity","PX_LAST",$B29,$B29)</f>
        <v>#N/A N/A</v>
      </c>
      <c r="W29" t="str" cm="1">
        <f t="array" ref="W29">_xll.BDH(W$2 &amp; " US Equity","PX_LAST",$B29,$B29)</f>
        <v>#N/A N/A</v>
      </c>
      <c r="X29" t="str" cm="1">
        <f t="array" ref="X29">_xll.BDH(X$2 &amp; " US Equity","PX_LAST",$B29,$B29)</f>
        <v>#N/A N/A</v>
      </c>
      <c r="Y29" t="str" cm="1">
        <f t="array" ref="Y29">_xll.BDH(Y$2 &amp; " US Equity","PX_LAST",$B29,$B29)</f>
        <v>#N/A N/A</v>
      </c>
      <c r="Z29" t="str" cm="1">
        <f t="array" ref="Z29">_xll.BDH(Z$2 &amp; " US Equity","PX_LAST",$B29,$B29)</f>
        <v>#N/A N/A</v>
      </c>
      <c r="AA29" t="str" cm="1">
        <f t="array" ref="AA29">_xll.BDH(AA$2 &amp; " PE Equity","PX_LAST",$B29,$B29)</f>
        <v>#N/A N/A</v>
      </c>
      <c r="AB29" t="str" cm="1">
        <f t="array" ref="AB29">_xll.BDH(AB$2 &amp; " PE Equity","PX_LAST",$B29,$B29)</f>
        <v>#N/A N/A</v>
      </c>
      <c r="AC29" t="str" cm="1">
        <f t="array" ref="AC29">_xll.BDH(AC$2 &amp; " US Equity","PX_LAST",$B29,$B29)</f>
        <v>#N/A N/A</v>
      </c>
      <c r="AD29" t="str" cm="1">
        <f t="array" ref="AD29">_xll.BDH(AD$2 &amp; " US Equity","PX_LAST",$B29,$B29)</f>
        <v>#N/A N/A</v>
      </c>
      <c r="AE29" t="str" cm="1">
        <f t="array" ref="AE29">_xll.BDH(AE$2 &amp; " PE Equity","PX_LAST",$B29,$B29)</f>
        <v>#N/A Connection</v>
      </c>
      <c r="AF29" t="str" cm="1">
        <f t="array" ref="AF29">_xll.BDH(AF$2 &amp; " US Equity","PX_LAST",$B29,$B29)</f>
        <v>#N/A N/A</v>
      </c>
      <c r="AG29" t="str" cm="1">
        <f t="array" ref="AG29">_xll.BDH(AG$2 &amp; " US Equity","PX_LAST",$B29,$B29)</f>
        <v>#N/A N/A</v>
      </c>
      <c r="AH29" t="str" cm="1">
        <f t="array" ref="AH29">_xll.BDH(AH$2 &amp; " US Equity","PX_LAST",$B29,$B29)</f>
        <v>#N/A N/A</v>
      </c>
      <c r="AI29" t="str" cm="1">
        <f t="array" ref="AI29">_xll.BDH(AI$2 &amp; " US Equity","PX_LAST",$B29,$B29)</f>
        <v>#N/A N/A</v>
      </c>
      <c r="AJ29" t="str" cm="1">
        <f t="array" ref="AJ29">_xll.BDH(AJ$2 &amp; " US Equity","PX_LAST",$B29,$B29)</f>
        <v>#N/A N/A</v>
      </c>
      <c r="AK29" t="str" cm="1">
        <f t="array" ref="AK29">_xll.BDH(AK$2 &amp; " US Equity","PX_LAST",$B29,$B29)</f>
        <v>#N/A N/A</v>
      </c>
      <c r="AL29" t="str" cm="1">
        <f t="array" ref="AL29">_xll.BDH(AL$2 &amp; " US Equity","PX_LAST",$B29,$B29)</f>
        <v>#N/A N/A</v>
      </c>
      <c r="AM29" t="str" cm="1">
        <f t="array" ref="AM29">_xll.BDH(AM$2 &amp; " US Equity","PX_LAST",$B29,$B29)</f>
        <v>#N/A N/A</v>
      </c>
      <c r="AN29" t="str" cm="1">
        <f t="array" ref="AN29">_xll.BDH(AN$2 &amp; " US Equity","PX_LAST",$B29,$B29)</f>
        <v>#N/A N/A</v>
      </c>
      <c r="AO29" t="str" cm="1">
        <f t="array" ref="AO29">_xll.BDH(AO$2 &amp; " US Equity","PX_LAST",$B29,$B29)</f>
        <v>#N/A N/A</v>
      </c>
      <c r="AP29" t="str" cm="1">
        <f t="array" ref="AP29">_xll.BDH(AP$2 &amp; " US Equity","PX_LAST",$B29,$B29)</f>
        <v>#N/A N/A</v>
      </c>
      <c r="AQ29" t="str" cm="1">
        <f t="array" ref="AQ29">_xll.BDH(AQ$2 &amp; " US Equity","PX_LAST",$B29,$B29)</f>
        <v>#N/A N/A</v>
      </c>
      <c r="AR29" t="str" cm="1">
        <f t="array" ref="AR29">_xll.BDH(AR$2 &amp; " US Equity","PX_LAST",$B29,$B29)</f>
        <v>#N/A N/A</v>
      </c>
      <c r="AS29" t="str" cm="1">
        <f t="array" ref="AS29">_xll.BDH(AS$2 &amp; " US Equity","PX_LAST",$B29,$B29)</f>
        <v>#N/A N/A</v>
      </c>
      <c r="AT29" t="str" cm="1">
        <f t="array" ref="AT29">_xll.BDH(AT$2 &amp; " US Equity","PX_LAST",$B29,$B29)</f>
        <v>#N/A N/A</v>
      </c>
      <c r="AU29" t="str" cm="1">
        <f t="array" ref="AU29">_xll.BDH(AU$2 &amp; " US Equity","PX_LAST",$B29,$B29)</f>
        <v>#N/A N/A</v>
      </c>
      <c r="AV29" t="str" cm="1">
        <f t="array" ref="AV29">_xll.BDH(AV$2 &amp; " US Equity","PX_LAST",$B29,$B29)</f>
        <v>#N/A N/A</v>
      </c>
      <c r="AW29" t="str" cm="1">
        <f t="array" ref="AW29">_xll.BDH(AW$2 &amp; " US Equity","PX_LAST",$B29,$B29)</f>
        <v>#N/A N/A</v>
      </c>
    </row>
    <row r="30" spans="2:49">
      <c r="B30" s="13">
        <v>45928</v>
      </c>
      <c r="C30" t="str" cm="1">
        <f t="array" ref="C30">_xll.BDH(C$2 &amp; " US Equity","PX_LAST",$B30,$B30)</f>
        <v>#N/A N/A</v>
      </c>
      <c r="D30" t="str" cm="1">
        <f t="array" ref="D30">_xll.BDH(D$2 &amp; " PE Equity","PX_LAST",$B30,$B30)</f>
        <v>#N/A N/A</v>
      </c>
      <c r="E30" t="str" cm="1">
        <f t="array" ref="E30">_xll.BDH(E$2 &amp; " PE Equity","PX_LAST",$B30,$B30)</f>
        <v>#N/A N/A</v>
      </c>
      <c r="F30" t="str" cm="1">
        <f t="array" ref="F30">_xll.BDH(F$2 &amp; " PE Equity","PX_LAST",$B30,$B30)</f>
        <v>#N/A N/A</v>
      </c>
      <c r="G30" t="str" cm="1">
        <f t="array" ref="G30">_xll.BDH(G$2 &amp; " US Equity","PX_LAST",$B30,$B30)</f>
        <v>#N/A N/A</v>
      </c>
      <c r="H30" t="str" cm="1">
        <f t="array" ref="H30">_xll.BDH(H$2 &amp; " PE Equity","PX_LAST",$B30,$B30)</f>
        <v>#N/A N/A</v>
      </c>
      <c r="I30" t="str" cm="1">
        <f t="array" ref="I30">_xll.BDH(I$2 &amp; " US Equity","PX_LAST",$B30,$B30)</f>
        <v>#N/A N/A</v>
      </c>
      <c r="J30" t="str" cm="1">
        <f t="array" ref="J30">_xll.BDH(J$2 &amp; " US Equity","PX_LAST",$B30,$B30)</f>
        <v>#N/A N/A</v>
      </c>
      <c r="K30" t="str" cm="1">
        <f t="array" ref="K30">_xll.BDH(K$2 &amp; " US Equity","PX_LAST",$B30,$B30)</f>
        <v>#N/A N/A</v>
      </c>
      <c r="L30" t="str" cm="1">
        <f t="array" ref="L30">_xll.BDH(L$2 &amp; " US Equity","PX_LAST",$B30,$B30)</f>
        <v>#N/A N/A</v>
      </c>
      <c r="M30" t="str" cm="1">
        <f t="array" ref="M30">_xll.BDH(M$2 &amp; " US Equity","PX_LAST",$B30,$B30)</f>
        <v>#N/A N/A</v>
      </c>
      <c r="N30" t="str" cm="1">
        <f t="array" ref="N30">_xll.BDH(N$2 &amp; " US Equity","PX_LAST",$B30,$B30)</f>
        <v>#N/A N/A</v>
      </c>
      <c r="O30" t="str" cm="1">
        <f t="array" ref="O30">_xll.BDH(O$2 &amp; " US Equity","PX_LAST",$B30,$B30)</f>
        <v>#N/A N/A</v>
      </c>
      <c r="P30" t="str" cm="1">
        <f t="array" ref="P30">_xll.BDH(P$2 &amp; " US Equity","PX_LAST",$B30,$B30)</f>
        <v>#N/A N/A</v>
      </c>
      <c r="Q30" t="str" cm="1">
        <f t="array" ref="Q30">_xll.BDH(Q$2 &amp; " US Equity","PX_LAST",$B30,$B30)</f>
        <v>#N/A N/A</v>
      </c>
      <c r="R30" t="str" cm="1">
        <f t="array" ref="R30">_xll.BDH(R$2 &amp; " US Equity","PX_LAST",$B30,$B30)</f>
        <v>#N/A N/A</v>
      </c>
      <c r="S30" t="str" cm="1">
        <f t="array" ref="S30">_xll.BDH(S$2 &amp; " US Equity","PX_LAST",$B30,$B30)</f>
        <v>#N/A N/A</v>
      </c>
      <c r="T30" t="str" cm="1">
        <f t="array" ref="T30">_xll.BDH(T$2 &amp; " US Equity","PX_LAST",$B30,$B30)</f>
        <v>#N/A N/A</v>
      </c>
      <c r="U30" t="str" cm="1">
        <f t="array" ref="U30">_xll.BDH(U$2 &amp; " US Equity","PX_LAST",$B30,$B30)</f>
        <v>#N/A N/A</v>
      </c>
      <c r="V30" t="str" cm="1">
        <f t="array" ref="V30">_xll.BDH(V$2 &amp; " US Equity","PX_LAST",$B30,$B30)</f>
        <v>#N/A N/A</v>
      </c>
      <c r="W30" t="str" cm="1">
        <f t="array" ref="W30">_xll.BDH(W$2 &amp; " US Equity","PX_LAST",$B30,$B30)</f>
        <v>#N/A N/A</v>
      </c>
      <c r="X30" t="str" cm="1">
        <f t="array" ref="X30">_xll.BDH(X$2 &amp; " US Equity","PX_LAST",$B30,$B30)</f>
        <v>#N/A N/A</v>
      </c>
      <c r="Y30" t="str" cm="1">
        <f t="array" ref="Y30">_xll.BDH(Y$2 &amp; " US Equity","PX_LAST",$B30,$B30)</f>
        <v>#N/A N/A</v>
      </c>
      <c r="Z30" t="str" cm="1">
        <f t="array" ref="Z30">_xll.BDH(Z$2 &amp; " US Equity","PX_LAST",$B30,$B30)</f>
        <v>#N/A N/A</v>
      </c>
      <c r="AA30" t="str" cm="1">
        <f t="array" ref="AA30">_xll.BDH(AA$2 &amp; " PE Equity","PX_LAST",$B30,$B30)</f>
        <v>#N/A N/A</v>
      </c>
      <c r="AB30" t="str" cm="1">
        <f t="array" ref="AB30">_xll.BDH(AB$2 &amp; " PE Equity","PX_LAST",$B30,$B30)</f>
        <v>#N/A N/A</v>
      </c>
      <c r="AC30" t="str" cm="1">
        <f t="array" ref="AC30">_xll.BDH(AC$2 &amp; " US Equity","PX_LAST",$B30,$B30)</f>
        <v>#N/A N/A</v>
      </c>
      <c r="AD30" t="str" cm="1">
        <f t="array" ref="AD30">_xll.BDH(AD$2 &amp; " US Equity","PX_LAST",$B30,$B30)</f>
        <v>#N/A N/A</v>
      </c>
      <c r="AE30" t="str" cm="1">
        <f t="array" ref="AE30">_xll.BDH(AE$2 &amp; " PE Equity","PX_LAST",$B30,$B30)</f>
        <v>#N/A Connection</v>
      </c>
      <c r="AF30" t="str" cm="1">
        <f t="array" ref="AF30">_xll.BDH(AF$2 &amp; " US Equity","PX_LAST",$B30,$B30)</f>
        <v>#N/A N/A</v>
      </c>
      <c r="AG30" t="str" cm="1">
        <f t="array" ref="AG30">_xll.BDH(AG$2 &amp; " US Equity","PX_LAST",$B30,$B30)</f>
        <v>#N/A N/A</v>
      </c>
      <c r="AH30" t="str" cm="1">
        <f t="array" ref="AH30">_xll.BDH(AH$2 &amp; " US Equity","PX_LAST",$B30,$B30)</f>
        <v>#N/A N/A</v>
      </c>
      <c r="AI30" t="str" cm="1">
        <f t="array" ref="AI30">_xll.BDH(AI$2 &amp; " US Equity","PX_LAST",$B30,$B30)</f>
        <v>#N/A N/A</v>
      </c>
      <c r="AJ30" t="str" cm="1">
        <f t="array" ref="AJ30">_xll.BDH(AJ$2 &amp; " US Equity","PX_LAST",$B30,$B30)</f>
        <v>#N/A N/A</v>
      </c>
      <c r="AK30" t="str" cm="1">
        <f t="array" ref="AK30">_xll.BDH(AK$2 &amp; " US Equity","PX_LAST",$B30,$B30)</f>
        <v>#N/A N/A</v>
      </c>
      <c r="AL30" t="str" cm="1">
        <f t="array" ref="AL30">_xll.BDH(AL$2 &amp; " US Equity","PX_LAST",$B30,$B30)</f>
        <v>#N/A N/A</v>
      </c>
      <c r="AM30" t="str" cm="1">
        <f t="array" ref="AM30">_xll.BDH(AM$2 &amp; " US Equity","PX_LAST",$B30,$B30)</f>
        <v>#N/A N/A</v>
      </c>
      <c r="AN30" t="str" cm="1">
        <f t="array" ref="AN30">_xll.BDH(AN$2 &amp; " US Equity","PX_LAST",$B30,$B30)</f>
        <v>#N/A N/A</v>
      </c>
      <c r="AO30" t="str" cm="1">
        <f t="array" ref="AO30">_xll.BDH(AO$2 &amp; " US Equity","PX_LAST",$B30,$B30)</f>
        <v>#N/A N/A</v>
      </c>
      <c r="AP30" t="str" cm="1">
        <f t="array" ref="AP30">_xll.BDH(AP$2 &amp; " US Equity","PX_LAST",$B30,$B30)</f>
        <v>#N/A N/A</v>
      </c>
      <c r="AQ30" t="str" cm="1">
        <f t="array" ref="AQ30">_xll.BDH(AQ$2 &amp; " US Equity","PX_LAST",$B30,$B30)</f>
        <v>#N/A N/A</v>
      </c>
      <c r="AR30" t="str" cm="1">
        <f t="array" ref="AR30">_xll.BDH(AR$2 &amp; " US Equity","PX_LAST",$B30,$B30)</f>
        <v>#N/A N/A</v>
      </c>
      <c r="AS30" t="str" cm="1">
        <f t="array" ref="AS30">_xll.BDH(AS$2 &amp; " US Equity","PX_LAST",$B30,$B30)</f>
        <v>#N/A N/A</v>
      </c>
      <c r="AT30" t="str" cm="1">
        <f t="array" ref="AT30">_xll.BDH(AT$2 &amp; " US Equity","PX_LAST",$B30,$B30)</f>
        <v>#N/A N/A</v>
      </c>
      <c r="AU30" t="str" cm="1">
        <f t="array" ref="AU30">_xll.BDH(AU$2 &amp; " US Equity","PX_LAST",$B30,$B30)</f>
        <v>#N/A N/A</v>
      </c>
      <c r="AV30" t="str" cm="1">
        <f t="array" ref="AV30">_xll.BDH(AV$2 &amp; " US Equity","PX_LAST",$B30,$B30)</f>
        <v>#N/A N/A</v>
      </c>
      <c r="AW30" t="str" cm="1">
        <f t="array" ref="AW30">_xll.BDH(AW$2 &amp; " US Equity","PX_LAST",$B30,$B30)</f>
        <v>#N/A N/A</v>
      </c>
    </row>
    <row r="31" spans="2:49">
      <c r="B31" s="13">
        <v>45929</v>
      </c>
      <c r="C31" cm="1">
        <f t="array" ref="C31">_xll.BDH(C$2 &amp; " US Equity","PX_LAST",$B31,$B31)</f>
        <v>236.58</v>
      </c>
      <c r="D31" cm="1">
        <f t="array" ref="D31">_xll.BDH(D$2 &amp; " PE Equity","PX_LAST",$B31,$B31)</f>
        <v>4.0199999999999996</v>
      </c>
      <c r="E31" cm="1">
        <f t="array" ref="E31">_xll.BDH(E$2 &amp; " PE Equity","PX_LAST",$B31,$B31)</f>
        <v>1.77</v>
      </c>
      <c r="F31" cm="1">
        <f t="array" ref="F31">_xll.BDH(F$2 &amp; " PE Equity","PX_LAST",$B31,$B31)</f>
        <v>2.5</v>
      </c>
      <c r="G31" cm="1">
        <f t="array" ref="G31">_xll.BDH(G$2 &amp; " US Equity","PX_LAST",$B31,$B31)</f>
        <v>23.19</v>
      </c>
      <c r="H31" cm="1">
        <f t="array" ref="H31">_xll.BDH(H$2 &amp; " PE Equity","PX_LAST",$B31,$B31)</f>
        <v>3.35</v>
      </c>
      <c r="I31" cm="1">
        <f t="array" ref="I31">_xll.BDH(I$2 &amp; " US Equity","PX_LAST",$B31,$B31)</f>
        <v>43.82</v>
      </c>
      <c r="J31" cm="1">
        <f t="array" ref="J31">_xll.BDH(J$2 &amp; " US Equity","PX_LAST",$B31,$B31)</f>
        <v>7.1165000000000003</v>
      </c>
      <c r="K31" cm="1">
        <f t="array" ref="K31">_xll.BDH(K$2 &amp; " US Equity","PX_LAST",$B31,$B31)</f>
        <v>48.92</v>
      </c>
      <c r="L31" cm="1">
        <f t="array" ref="L31">_xll.BDH(L$2 &amp; " US Equity","PX_LAST",$B31,$B31)</f>
        <v>53.19</v>
      </c>
      <c r="M31" cm="1">
        <f t="array" ref="M31">_xll.BDH(M$2 &amp; " US Equity","PX_LAST",$B31,$B31)</f>
        <v>267.47000000000003</v>
      </c>
      <c r="N31" cm="1">
        <f t="array" ref="N31">_xll.BDH(N$2 &amp; " US Equity","PX_LAST",$B31,$B31)</f>
        <v>34.159999999999997</v>
      </c>
      <c r="O31" cm="1">
        <f t="array" ref="O31">_xll.BDH(O$2 &amp; " US Equity","PX_LAST",$B31,$B31)</f>
        <v>30.99</v>
      </c>
      <c r="P31" cm="1">
        <f t="array" ref="P31">_xll.BDH(P$2 &amp; " US Equity","PX_LAST",$B31,$B31)</f>
        <v>15.41</v>
      </c>
      <c r="Q31" cm="1">
        <f t="array" ref="Q31">_xll.BDH(Q$2 &amp; " US Equity","PX_LAST",$B31,$B31)</f>
        <v>23.85</v>
      </c>
      <c r="R31" cm="1">
        <f t="array" ref="R31">_xll.BDH(R$2 &amp; " US Equity","PX_LAST",$B31,$B31)</f>
        <v>24.33</v>
      </c>
      <c r="S31" cm="1">
        <f t="array" ref="S31">_xll.BDH(S$2 &amp; " US Equity","PX_LAST",$B31,$B31)</f>
        <v>153.05000000000001</v>
      </c>
      <c r="T31" cm="1">
        <f t="array" ref="T31">_xll.BDH(T$2 &amp; " US Equity","PX_LAST",$B31,$B31)</f>
        <v>61.52</v>
      </c>
      <c r="U31" cm="1">
        <f t="array" ref="U31">_xll.BDH(U$2 &amp; " US Equity","PX_LAST",$B31,$B31)</f>
        <v>134.86000000000001</v>
      </c>
      <c r="V31" cm="1">
        <f t="array" ref="V31">_xll.BDH(V$2 &amp; " US Equity","PX_LAST",$B31,$B31)</f>
        <v>43.53</v>
      </c>
      <c r="W31" cm="1">
        <f t="array" ref="W31">_xll.BDH(W$2 &amp; " US Equity","PX_LAST",$B31,$B31)</f>
        <v>178.86</v>
      </c>
      <c r="X31" cm="1">
        <f t="array" ref="X31">_xll.BDH(X$2 &amp; " US Equity","PX_LAST",$B31,$B31)</f>
        <v>54.57</v>
      </c>
      <c r="Y31" cm="1">
        <f t="array" ref="Y31">_xll.BDH(Y$2 &amp; " US Equity","PX_LAST",$B31,$B31)</f>
        <v>43.78</v>
      </c>
      <c r="Z31" cm="1">
        <f t="array" ref="Z31">_xll.BDH(Z$2 &amp; " US Equity","PX_LAST",$B31,$B31)</f>
        <v>322.66000000000003</v>
      </c>
      <c r="AA31" cm="1">
        <f t="array" ref="AA31">_xll.BDH(AA$2 &amp; " PE Equity","PX_LAST",$B31,$B31)</f>
        <v>0.47199999999999998</v>
      </c>
      <c r="AB31" cm="1">
        <f t="array" ref="AB31">_xll.BDH(AB$2 &amp; " PE Equity","PX_LAST",$B31,$B31)</f>
        <v>26</v>
      </c>
      <c r="AC31" cm="1">
        <f t="array" ref="AC31">_xll.BDH(AC$2 &amp; " US Equity","PX_LAST",$B31,$B31)</f>
        <v>68.760000000000005</v>
      </c>
      <c r="AD31" cm="1">
        <f t="array" ref="AD31">_xll.BDH(AD$2 &amp; " US Equity","PX_LAST",$B31,$B31)</f>
        <v>663.68</v>
      </c>
      <c r="AE31" t="str" cm="1">
        <f t="array" ref="AE31">_xll.BDH(AE$2 &amp; " PE Equity","PX_LAST",$B31,$B31)</f>
        <v>#N/A Connection</v>
      </c>
      <c r="AF31" cm="1">
        <f t="array" ref="AF31">_xll.BDH(AF$2 &amp; " US Equity","PX_LAST",$B31,$B31)</f>
        <v>51.252200000000002</v>
      </c>
      <c r="AG31" cm="1">
        <f t="array" ref="AG31">_xll.BDH(AG$2 &amp; " US Equity","PX_LAST",$B31,$B31)</f>
        <v>13.984999999999999</v>
      </c>
      <c r="AH31" cm="1">
        <f t="array" ref="AH31">_xll.BDH(AH$2 &amp; " US Equity","PX_LAST",$B31,$B31)</f>
        <v>598.73</v>
      </c>
      <c r="AI31" cm="1">
        <f t="array" ref="AI31">_xll.BDH(AI$2 &amp; " US Equity","PX_LAST",$B31,$B31)</f>
        <v>103.83</v>
      </c>
      <c r="AJ31" cm="1">
        <f t="array" ref="AJ31">_xll.BDH(AJ$2 &amp; " US Equity","PX_LAST",$B31,$B31)</f>
        <v>114.78</v>
      </c>
      <c r="AK31" cm="1">
        <f t="array" ref="AK31">_xll.BDH(AK$2 &amp; " US Equity","PX_LAST",$B31,$B31)</f>
        <v>120.38</v>
      </c>
      <c r="AL31" cm="1">
        <f t="array" ref="AL31">_xll.BDH(AL$2 &amp; " US Equity","PX_LAST",$B31,$B31)</f>
        <v>222.17</v>
      </c>
      <c r="AM31" cm="1">
        <f t="array" ref="AM31">_xll.BDH(AM$2 &amp; " US Equity","PX_LAST",$B31,$B31)</f>
        <v>51.3</v>
      </c>
      <c r="AN31" cm="1">
        <f t="array" ref="AN31">_xll.BDH(AN$2 &amp; " US Equity","PX_LAST",$B31,$B31)</f>
        <v>26.34</v>
      </c>
      <c r="AO31" cm="1">
        <f t="array" ref="AO31">_xll.BDH(AO$2 &amp; " US Equity","PX_LAST",$B31,$B31)</f>
        <v>58.2</v>
      </c>
      <c r="AP31" cm="1">
        <f t="array" ref="AP31">_xll.BDH(AP$2 &amp; " US Equity","PX_LAST",$B31,$B31)</f>
        <v>6.7</v>
      </c>
      <c r="AQ31" cm="1">
        <f t="array" ref="AQ31">_xll.BDH(AQ$2 &amp; " US Equity","PX_LAST",$B31,$B31)</f>
        <v>122.66</v>
      </c>
      <c r="AR31" cm="1">
        <f t="array" ref="AR31">_xll.BDH(AR$2 &amp; " US Equity","PX_LAST",$B31,$B31)</f>
        <v>51.56</v>
      </c>
      <c r="AS31" cm="1">
        <f t="array" ref="AS31">_xll.BDH(AS$2 &amp; " US Equity","PX_LAST",$B31,$B31)</f>
        <v>120.64100000000001</v>
      </c>
      <c r="AT31" cm="1">
        <f t="array" ref="AT31">_xll.BDH(AT$2 &amp; " US Equity","PX_LAST",$B31,$B31)</f>
        <v>7.21</v>
      </c>
      <c r="AU31" cm="1">
        <f t="array" ref="AU31">_xll.BDH(AU$2 &amp; " US Equity","PX_LAST",$B31,$B31)</f>
        <v>345.18</v>
      </c>
      <c r="AV31" cm="1">
        <f t="array" ref="AV31">_xll.BDH(AV$2 &amp; " US Equity","PX_LAST",$B31,$B31)</f>
        <v>259.95999999999998</v>
      </c>
      <c r="AW31" cm="1">
        <f t="array" ref="AW31">_xll.BDH(AW$2 &amp; " US Equity","PX_LAST",$B31,$B31)</f>
        <v>134.47999999999999</v>
      </c>
    </row>
    <row r="32" spans="2:49">
      <c r="B32" s="13">
        <v>45930</v>
      </c>
      <c r="C32" cm="1">
        <f t="array" ref="C32">_xll.BDH(C$2 &amp; " US Equity","PX_LAST",$B32,$B32)</f>
        <v>235.81</v>
      </c>
      <c r="D32" cm="1">
        <f t="array" ref="D32">_xll.BDH(D$2 &amp; " PE Equity","PX_LAST",$B32,$B32)</f>
        <v>4.01</v>
      </c>
      <c r="E32" cm="1">
        <f t="array" ref="E32">_xll.BDH(E$2 &amp; " PE Equity","PX_LAST",$B32,$B32)</f>
        <v>1.77</v>
      </c>
      <c r="F32" cm="1">
        <f t="array" ref="F32">_xll.BDH(F$2 &amp; " PE Equity","PX_LAST",$B32,$B32)</f>
        <v>2.4900000000000002</v>
      </c>
      <c r="G32" cm="1">
        <f t="array" ref="G32">_xll.BDH(G$2 &amp; " US Equity","PX_LAST",$B32,$B32)</f>
        <v>23.42</v>
      </c>
      <c r="H32" cm="1">
        <f t="array" ref="H32">_xll.BDH(H$2 &amp; " PE Equity","PX_LAST",$B32,$B32)</f>
        <v>3.31</v>
      </c>
      <c r="I32" cm="1">
        <f t="array" ref="I32">_xll.BDH(I$2 &amp; " US Equity","PX_LAST",$B32,$B32)</f>
        <v>43.63</v>
      </c>
      <c r="J32" cm="1">
        <f t="array" ref="J32">_xll.BDH(J$2 &amp; " US Equity","PX_LAST",$B32,$B32)</f>
        <v>7.1261999999999999</v>
      </c>
      <c r="K32" cm="1">
        <f t="array" ref="K32">_xll.BDH(K$2 &amp; " US Equity","PX_LAST",$B32,$B32)</f>
        <v>49.5</v>
      </c>
      <c r="L32" cm="1">
        <f t="array" ref="L32">_xll.BDH(L$2 &amp; " US Equity","PX_LAST",$B32,$B32)</f>
        <v>53.4</v>
      </c>
      <c r="M32" cm="1">
        <f t="array" ref="M32">_xll.BDH(M$2 &amp; " US Equity","PX_LAST",$B32,$B32)</f>
        <v>266.27999999999997</v>
      </c>
      <c r="N32" cm="1">
        <f t="array" ref="N32">_xll.BDH(N$2 &amp; " US Equity","PX_LAST",$B32,$B32)</f>
        <v>34.340000000000003</v>
      </c>
      <c r="O32" cm="1">
        <f t="array" ref="O32">_xll.BDH(O$2 &amp; " US Equity","PX_LAST",$B32,$B32)</f>
        <v>31</v>
      </c>
      <c r="P32" cm="1">
        <f t="array" ref="P32">_xll.BDH(P$2 &amp; " US Equity","PX_LAST",$B32,$B32)</f>
        <v>15.48</v>
      </c>
      <c r="Q32" cm="1">
        <f t="array" ref="Q32">_xll.BDH(Q$2 &amp; " US Equity","PX_LAST",$B32,$B32)</f>
        <v>25.48</v>
      </c>
      <c r="R32" cm="1">
        <f t="array" ref="R32">_xll.BDH(R$2 &amp; " US Equity","PX_LAST",$B32,$B32)</f>
        <v>24.33</v>
      </c>
      <c r="S32" cm="1">
        <f t="array" ref="S32">_xll.BDH(S$2 &amp; " US Equity","PX_LAST",$B32,$B32)</f>
        <v>154.22999999999999</v>
      </c>
      <c r="T32" cm="1">
        <f t="array" ref="T32">_xll.BDH(T$2 &amp; " US Equity","PX_LAST",$B32,$B32)</f>
        <v>61.94</v>
      </c>
      <c r="U32" cm="1">
        <f t="array" ref="U32">_xll.BDH(U$2 &amp; " US Equity","PX_LAST",$B32,$B32)</f>
        <v>131.77000000000001</v>
      </c>
      <c r="V32" cm="1">
        <f t="array" ref="V32">_xll.BDH(V$2 &amp; " US Equity","PX_LAST",$B32,$B32)</f>
        <v>43.604999999999997</v>
      </c>
      <c r="W32" cm="1">
        <f t="array" ref="W32">_xll.BDH(W$2 &amp; " US Equity","PX_LAST",$B32,$B32)</f>
        <v>182.42</v>
      </c>
      <c r="X32" cm="1">
        <f t="array" ref="X32">_xll.BDH(X$2 &amp; " US Equity","PX_LAST",$B32,$B32)</f>
        <v>55.24</v>
      </c>
      <c r="Y32" cm="1">
        <f t="array" ref="Y32">_xll.BDH(Y$2 &amp; " US Equity","PX_LAST",$B32,$B32)</f>
        <v>43.93</v>
      </c>
      <c r="Z32" cm="1">
        <f t="array" ref="Z32">_xll.BDH(Z$2 &amp; " US Equity","PX_LAST",$B32,$B32)</f>
        <v>326.36</v>
      </c>
      <c r="AA32" cm="1">
        <f t="array" ref="AA32">_xll.BDH(AA$2 &amp; " PE Equity","PX_LAST",$B32,$B32)</f>
        <v>0.48</v>
      </c>
      <c r="AB32" cm="1">
        <f t="array" ref="AB32">_xll.BDH(AB$2 &amp; " PE Equity","PX_LAST",$B32,$B32)</f>
        <v>26</v>
      </c>
      <c r="AC32" cm="1">
        <f t="array" ref="AC32">_xll.BDH(AC$2 &amp; " US Equity","PX_LAST",$B32,$B32)</f>
        <v>68.959999999999994</v>
      </c>
      <c r="AD32" cm="1">
        <f t="array" ref="AD32">_xll.BDH(AD$2 &amp; " US Equity","PX_LAST",$B32,$B32)</f>
        <v>666.18</v>
      </c>
      <c r="AE32" t="str" cm="1">
        <f t="array" ref="AE32">_xll.BDH(AE$2 &amp; " PE Equity","PX_LAST",$B32,$B32)</f>
        <v>#N/A Connection</v>
      </c>
      <c r="AF32" cm="1">
        <f t="array" ref="AF32">_xll.BDH(AF$2 &amp; " US Equity","PX_LAST",$B32,$B32)</f>
        <v>52.414700000000003</v>
      </c>
      <c r="AG32" cm="1">
        <f t="array" ref="AG32">_xll.BDH(AG$2 &amp; " US Equity","PX_LAST",$B32,$B32)</f>
        <v>13.9</v>
      </c>
      <c r="AH32" cm="1">
        <f t="array" ref="AH32">_xll.BDH(AH$2 &amp; " US Equity","PX_LAST",$B32,$B32)</f>
        <v>600.37</v>
      </c>
      <c r="AI32" cm="1">
        <f t="array" ref="AI32">_xll.BDH(AI$2 &amp; " US Equity","PX_LAST",$B32,$B32)</f>
        <v>103.74</v>
      </c>
      <c r="AJ32" cm="1">
        <f t="array" ref="AJ32">_xll.BDH(AJ$2 &amp; " US Equity","PX_LAST",$B32,$B32)</f>
        <v>114.5</v>
      </c>
      <c r="AK32" cm="1">
        <f t="array" ref="AK32">_xll.BDH(AK$2 &amp; " US Equity","PX_LAST",$B32,$B32)</f>
        <v>119.82</v>
      </c>
      <c r="AL32" cm="1">
        <f t="array" ref="AL32">_xll.BDH(AL$2 &amp; " US Equity","PX_LAST",$B32,$B32)</f>
        <v>219.57</v>
      </c>
      <c r="AM32" cm="1">
        <f t="array" ref="AM32">_xll.BDH(AM$2 &amp; " US Equity","PX_LAST",$B32,$B32)</f>
        <v>51.7</v>
      </c>
      <c r="AN32" cm="1">
        <f t="array" ref="AN32">_xll.BDH(AN$2 &amp; " US Equity","PX_LAST",$B32,$B32)</f>
        <v>26.551200000000001</v>
      </c>
      <c r="AO32" cm="1">
        <f t="array" ref="AO32">_xll.BDH(AO$2 &amp; " US Equity","PX_LAST",$B32,$B32)</f>
        <v>59.01</v>
      </c>
      <c r="AP32" cm="1">
        <f t="array" ref="AP32">_xll.BDH(AP$2 &amp; " US Equity","PX_LAST",$B32,$B32)</f>
        <v>6.72</v>
      </c>
      <c r="AQ32" cm="1">
        <f t="array" ref="AQ32">_xll.BDH(AQ$2 &amp; " US Equity","PX_LAST",$B32,$B32)</f>
        <v>124.34</v>
      </c>
      <c r="AR32" cm="1">
        <f t="array" ref="AR32">_xll.BDH(AR$2 &amp; " US Equity","PX_LAST",$B32,$B32)</f>
        <v>51.94</v>
      </c>
      <c r="AS32" cm="1">
        <f t="array" ref="AS32">_xll.BDH(AS$2 &amp; " US Equity","PX_LAST",$B32,$B32)</f>
        <v>119.892</v>
      </c>
      <c r="AT32" cm="1">
        <f t="array" ref="AT32">_xll.BDH(AT$2 &amp; " US Equity","PX_LAST",$B32,$B32)</f>
        <v>7.62</v>
      </c>
      <c r="AU32" cm="1">
        <f t="array" ref="AU32">_xll.BDH(AU$2 &amp; " US Equity","PX_LAST",$B32,$B32)</f>
        <v>345.3</v>
      </c>
      <c r="AV32" cm="1">
        <f t="array" ref="AV32">_xll.BDH(AV$2 &amp; " US Equity","PX_LAST",$B32,$B32)</f>
        <v>258.36</v>
      </c>
      <c r="AW32" cm="1">
        <f t="array" ref="AW32">_xll.BDH(AW$2 &amp; " US Equity","PX_LAST",$B32,$B32)</f>
        <v>129.94999999999999</v>
      </c>
    </row>
    <row r="33" spans="2:49">
      <c r="B33" s="13">
        <v>45931</v>
      </c>
      <c r="C33" cm="1">
        <f t="array" ref="C33">_xll.BDH(C$2 &amp; " US Equity","PX_LAST",$B33,$B33)</f>
        <v>239.55</v>
      </c>
      <c r="D33" cm="1">
        <f t="array" ref="D33">_xll.BDH(D$2 &amp; " PE Equity","PX_LAST",$B33,$B33)</f>
        <v>4.03</v>
      </c>
      <c r="E33" cm="1">
        <f t="array" ref="E33">_xll.BDH(E$2 &amp; " PE Equity","PX_LAST",$B33,$B33)</f>
        <v>1.8</v>
      </c>
      <c r="F33" cm="1">
        <f t="array" ref="F33">_xll.BDH(F$2 &amp; " PE Equity","PX_LAST",$B33,$B33)</f>
        <v>2.4900000000000002</v>
      </c>
      <c r="G33" cm="1">
        <f t="array" ref="G33">_xll.BDH(G$2 &amp; " US Equity","PX_LAST",$B33,$B33)</f>
        <v>23.7</v>
      </c>
      <c r="H33" cm="1">
        <f t="array" ref="H33">_xll.BDH(H$2 &amp; " PE Equity","PX_LAST",$B33,$B33)</f>
        <v>3.33</v>
      </c>
      <c r="I33" cm="1">
        <f t="array" ref="I33">_xll.BDH(I$2 &amp; " US Equity","PX_LAST",$B33,$B33)</f>
        <v>45.08</v>
      </c>
      <c r="J33" cm="1">
        <f t="array" ref="J33">_xll.BDH(J$2 &amp; " US Equity","PX_LAST",$B33,$B33)</f>
        <v>6.9805999999999999</v>
      </c>
      <c r="K33" cm="1">
        <f t="array" ref="K33">_xll.BDH(K$2 &amp; " US Equity","PX_LAST",$B33,$B33)</f>
        <v>49.64</v>
      </c>
      <c r="L33" cm="1">
        <f t="array" ref="L33">_xll.BDH(L$2 &amp; " US Equity","PX_LAST",$B33,$B33)</f>
        <v>53.82</v>
      </c>
      <c r="M33" cm="1">
        <f t="array" ref="M33">_xll.BDH(M$2 &amp; " US Equity","PX_LAST",$B33,$B33)</f>
        <v>262.2</v>
      </c>
      <c r="N33" cm="1">
        <f t="array" ref="N33">_xll.BDH(N$2 &amp; " US Equity","PX_LAST",$B33,$B33)</f>
        <v>34.44</v>
      </c>
      <c r="O33" cm="1">
        <f t="array" ref="O33">_xll.BDH(O$2 &amp; " US Equity","PX_LAST",$B33,$B33)</f>
        <v>30.58</v>
      </c>
      <c r="P33" cm="1">
        <f t="array" ref="P33">_xll.BDH(P$2 &amp; " US Equity","PX_LAST",$B33,$B33)</f>
        <v>15.88</v>
      </c>
      <c r="Q33" cm="1">
        <f t="array" ref="Q33">_xll.BDH(Q$2 &amp; " US Equity","PX_LAST",$B33,$B33)</f>
        <v>27.21</v>
      </c>
      <c r="R33" cm="1">
        <f t="array" ref="R33">_xll.BDH(R$2 &amp; " US Equity","PX_LAST",$B33,$B33)</f>
        <v>24.65</v>
      </c>
      <c r="S33" cm="1">
        <f t="array" ref="S33">_xll.BDH(S$2 &amp; " US Equity","PX_LAST",$B33,$B33)</f>
        <v>153.80000000000001</v>
      </c>
      <c r="T33" cm="1">
        <f t="array" ref="T33">_xll.BDH(T$2 &amp; " US Equity","PX_LAST",$B33,$B33)</f>
        <v>62.63</v>
      </c>
      <c r="U33" cm="1">
        <f t="array" ref="U33">_xll.BDH(U$2 &amp; " US Equity","PX_LAST",$B33,$B33)</f>
        <v>137.44</v>
      </c>
      <c r="V33" cm="1">
        <f t="array" ref="V33">_xll.BDH(V$2 &amp; " US Equity","PX_LAST",$B33,$B33)</f>
        <v>44.024999999999999</v>
      </c>
      <c r="W33" cm="1">
        <f t="array" ref="W33">_xll.BDH(W$2 &amp; " US Equity","PX_LAST",$B33,$B33)</f>
        <v>184.95</v>
      </c>
      <c r="X33" cm="1">
        <f t="array" ref="X33">_xll.BDH(X$2 &amp; " US Equity","PX_LAST",$B33,$B33)</f>
        <v>55.94</v>
      </c>
      <c r="Y33" cm="1">
        <f t="array" ref="Y33">_xll.BDH(Y$2 &amp; " US Equity","PX_LAST",$B33,$B33)</f>
        <v>44.49</v>
      </c>
      <c r="Z33" cm="1">
        <f t="array" ref="Z33">_xll.BDH(Z$2 &amp; " US Equity","PX_LAST",$B33,$B33)</f>
        <v>333.69</v>
      </c>
      <c r="AA33" cm="1">
        <f t="array" ref="AA33">_xll.BDH(AA$2 &amp; " PE Equity","PX_LAST",$B33,$B33)</f>
        <v>0.5</v>
      </c>
      <c r="AB33" cm="1">
        <f t="array" ref="AB33">_xll.BDH(AB$2 &amp; " PE Equity","PX_LAST",$B33,$B33)</f>
        <v>25.6</v>
      </c>
      <c r="AC33" cm="1">
        <f t="array" ref="AC33">_xll.BDH(AC$2 &amp; " US Equity","PX_LAST",$B33,$B33)</f>
        <v>69.14</v>
      </c>
      <c r="AD33" cm="1">
        <f t="array" ref="AD33">_xll.BDH(AD$2 &amp; " US Equity","PX_LAST",$B33,$B33)</f>
        <v>668.45</v>
      </c>
      <c r="AE33" t="str" cm="1">
        <f t="array" ref="AE33">_xll.BDH(AE$2 &amp; " PE Equity","PX_LAST",$B33,$B33)</f>
        <v>#N/A Connection</v>
      </c>
      <c r="AF33" cm="1">
        <f t="array" ref="AF33">_xll.BDH(AF$2 &amp; " US Equity","PX_LAST",$B33,$B33)</f>
        <v>53.984999999999999</v>
      </c>
      <c r="AG33" cm="1">
        <f t="array" ref="AG33">_xll.BDH(AG$2 &amp; " US Equity","PX_LAST",$B33,$B33)</f>
        <v>13.7849</v>
      </c>
      <c r="AH33" cm="1">
        <f t="array" ref="AH33">_xll.BDH(AH$2 &amp; " US Equity","PX_LAST",$B33,$B33)</f>
        <v>603.25</v>
      </c>
      <c r="AI33" cm="1">
        <f t="array" ref="AI33">_xll.BDH(AI$2 &amp; " US Equity","PX_LAST",$B33,$B33)</f>
        <v>102.99</v>
      </c>
      <c r="AJ33" cm="1">
        <f t="array" ref="AJ33">_xll.BDH(AJ$2 &amp; " US Equity","PX_LAST",$B33,$B33)</f>
        <v>112.95</v>
      </c>
      <c r="AK33" cm="1">
        <f t="array" ref="AK33">_xll.BDH(AK$2 &amp; " US Equity","PX_LAST",$B33,$B33)</f>
        <v>120.57</v>
      </c>
      <c r="AL33" cm="1">
        <f t="array" ref="AL33">_xll.BDH(AL$2 &amp; " US Equity","PX_LAST",$B33,$B33)</f>
        <v>220.63</v>
      </c>
      <c r="AM33" cm="1">
        <f t="array" ref="AM33">_xll.BDH(AM$2 &amp; " US Equity","PX_LAST",$B33,$B33)</f>
        <v>52.43</v>
      </c>
      <c r="AN33" cm="1">
        <f t="array" ref="AN33">_xll.BDH(AN$2 &amp; " US Equity","PX_LAST",$B33,$B33)</f>
        <v>26.756499999999999</v>
      </c>
      <c r="AO33" cm="1">
        <f t="array" ref="AO33">_xll.BDH(AO$2 &amp; " US Equity","PX_LAST",$B33,$B33)</f>
        <v>59.71</v>
      </c>
      <c r="AP33" cm="1">
        <f t="array" ref="AP33">_xll.BDH(AP$2 &amp; " US Equity","PX_LAST",$B33,$B33)</f>
        <v>6.75</v>
      </c>
      <c r="AQ33" cm="1">
        <f t="array" ref="AQ33">_xll.BDH(AQ$2 &amp; " US Equity","PX_LAST",$B33,$B33)</f>
        <v>123.23</v>
      </c>
      <c r="AR33" cm="1">
        <f t="array" ref="AR33">_xll.BDH(AR$2 &amp; " US Equity","PX_LAST",$B33,$B33)</f>
        <v>52.02</v>
      </c>
      <c r="AS33" cm="1">
        <f t="array" ref="AS33">_xll.BDH(AS$2 &amp; " US Equity","PX_LAST",$B33,$B33)</f>
        <v>117.09</v>
      </c>
      <c r="AT33" cm="1">
        <f t="array" ref="AT33">_xll.BDH(AT$2 &amp; " US Equity","PX_LAST",$B33,$B33)</f>
        <v>7.65</v>
      </c>
      <c r="AU33" cm="1">
        <f t="array" ref="AU33">_xll.BDH(AU$2 &amp; " US Equity","PX_LAST",$B33,$B33)</f>
        <v>348.3</v>
      </c>
      <c r="AV33" cm="1">
        <f t="array" ref="AV33">_xll.BDH(AV$2 &amp; " US Equity","PX_LAST",$B33,$B33)</f>
        <v>255.4</v>
      </c>
      <c r="AW33" cm="1">
        <f t="array" ref="AW33">_xll.BDH(AW$2 &amp; " US Equity","PX_LAST",$B33,$B33)</f>
        <v>127.47</v>
      </c>
    </row>
    <row r="34" spans="2:49">
      <c r="B34" s="13">
        <v>45932</v>
      </c>
      <c r="C34" cm="1">
        <f t="array" ref="C34">_xll.BDH(C$2 &amp; " US Equity","PX_LAST",$B34,$B34)</f>
        <v>242.32</v>
      </c>
      <c r="D34" cm="1">
        <f t="array" ref="D34">_xll.BDH(D$2 &amp; " PE Equity","PX_LAST",$B34,$B34)</f>
        <v>4</v>
      </c>
      <c r="E34" cm="1">
        <f t="array" ref="E34">_xll.BDH(E$2 &amp; " PE Equity","PX_LAST",$B34,$B34)</f>
        <v>1.78</v>
      </c>
      <c r="F34" cm="1">
        <f t="array" ref="F34">_xll.BDH(F$2 &amp; " PE Equity","PX_LAST",$B34,$B34)</f>
        <v>2.4900000000000002</v>
      </c>
      <c r="G34" cm="1">
        <f t="array" ref="G34">_xll.BDH(G$2 &amp; " US Equity","PX_LAST",$B34,$B34)</f>
        <v>23.81</v>
      </c>
      <c r="H34" cm="1">
        <f t="array" ref="H34">_xll.BDH(H$2 &amp; " PE Equity","PX_LAST",$B34,$B34)</f>
        <v>3.33</v>
      </c>
      <c r="I34" cm="1">
        <f t="array" ref="I34">_xll.BDH(I$2 &amp; " US Equity","PX_LAST",$B34,$B34)</f>
        <v>46.18</v>
      </c>
      <c r="J34" cm="1">
        <f t="array" ref="J34">_xll.BDH(J$2 &amp; " US Equity","PX_LAST",$B34,$B34)</f>
        <v>6.9126000000000003</v>
      </c>
      <c r="K34" cm="1">
        <f t="array" ref="K34">_xll.BDH(K$2 &amp; " US Equity","PX_LAST",$B34,$B34)</f>
        <v>49.36</v>
      </c>
      <c r="L34" cm="1">
        <f t="array" ref="L34">_xll.BDH(L$2 &amp; " US Equity","PX_LAST",$B34,$B34)</f>
        <v>54.07</v>
      </c>
      <c r="M34" cm="1">
        <f t="array" ref="M34">_xll.BDH(M$2 &amp; " US Equity","PX_LAST",$B34,$B34)</f>
        <v>259.08999999999997</v>
      </c>
      <c r="N34" cm="1">
        <f t="array" ref="N34">_xll.BDH(N$2 &amp; " US Equity","PX_LAST",$B34,$B34)</f>
        <v>34.31</v>
      </c>
      <c r="O34" cm="1">
        <f t="array" ref="O34">_xll.BDH(O$2 &amp; " US Equity","PX_LAST",$B34,$B34)</f>
        <v>30.24</v>
      </c>
      <c r="P34" cm="1">
        <f t="array" ref="P34">_xll.BDH(P$2 &amp; " US Equity","PX_LAST",$B34,$B34)</f>
        <v>15.89</v>
      </c>
      <c r="Q34" cm="1">
        <f t="array" ref="Q34">_xll.BDH(Q$2 &amp; " US Equity","PX_LAST",$B34,$B34)</f>
        <v>27.08</v>
      </c>
      <c r="R34" cm="1">
        <f t="array" ref="R34">_xll.BDH(R$2 &amp; " US Equity","PX_LAST",$B34,$B34)</f>
        <v>24.93</v>
      </c>
      <c r="S34" cm="1">
        <f t="array" ref="S34">_xll.BDH(S$2 &amp; " US Equity","PX_LAST",$B34,$B34)</f>
        <v>154.19999999999999</v>
      </c>
      <c r="T34" cm="1">
        <f t="array" ref="T34">_xll.BDH(T$2 &amp; " US Equity","PX_LAST",$B34,$B34)</f>
        <v>63</v>
      </c>
      <c r="U34" cm="1">
        <f t="array" ref="U34">_xll.BDH(U$2 &amp; " US Equity","PX_LAST",$B34,$B34)</f>
        <v>140.22999999999999</v>
      </c>
      <c r="V34" cm="1">
        <f t="array" ref="V34">_xll.BDH(V$2 &amp; " US Equity","PX_LAST",$B34,$B34)</f>
        <v>43.945</v>
      </c>
      <c r="W34" cm="1">
        <f t="array" ref="W34">_xll.BDH(W$2 &amp; " US Equity","PX_LAST",$B34,$B34)</f>
        <v>187.05</v>
      </c>
      <c r="X34" cm="1">
        <f t="array" ref="X34">_xll.BDH(X$2 &amp; " US Equity","PX_LAST",$B34,$B34)</f>
        <v>56.25</v>
      </c>
      <c r="Y34" cm="1">
        <f t="array" ref="Y34">_xll.BDH(Y$2 &amp; " US Equity","PX_LAST",$B34,$B34)</f>
        <v>44.77</v>
      </c>
      <c r="Z34" cm="1">
        <f t="array" ref="Z34">_xll.BDH(Z$2 &amp; " US Equity","PX_LAST",$B34,$B34)</f>
        <v>338.24</v>
      </c>
      <c r="AA34" cm="1">
        <f t="array" ref="AA34">_xll.BDH(AA$2 &amp; " PE Equity","PX_LAST",$B34,$B34)</f>
        <v>0.498</v>
      </c>
      <c r="AB34" cm="1">
        <f t="array" ref="AB34">_xll.BDH(AB$2 &amp; " PE Equity","PX_LAST",$B34,$B34)</f>
        <v>25.5</v>
      </c>
      <c r="AC34" cm="1">
        <f t="array" ref="AC34">_xll.BDH(AC$2 &amp; " US Equity","PX_LAST",$B34,$B34)</f>
        <v>69.09</v>
      </c>
      <c r="AD34" cm="1">
        <f t="array" ref="AD34">_xll.BDH(AD$2 &amp; " US Equity","PX_LAST",$B34,$B34)</f>
        <v>669.22</v>
      </c>
      <c r="AE34" t="str" cm="1">
        <f t="array" ref="AE34">_xll.BDH(AE$2 &amp; " PE Equity","PX_LAST",$B34,$B34)</f>
        <v>#N/A Connection</v>
      </c>
      <c r="AF34" cm="1">
        <f t="array" ref="AF34">_xll.BDH(AF$2 &amp; " US Equity","PX_LAST",$B34,$B34)</f>
        <v>53.838799999999999</v>
      </c>
      <c r="AG34" cm="1">
        <f t="array" ref="AG34">_xll.BDH(AG$2 &amp; " US Equity","PX_LAST",$B34,$B34)</f>
        <v>13.625</v>
      </c>
      <c r="AH34" cm="1">
        <f t="array" ref="AH34">_xll.BDH(AH$2 &amp; " US Equity","PX_LAST",$B34,$B34)</f>
        <v>605.73</v>
      </c>
      <c r="AI34" cm="1">
        <f t="array" ref="AI34">_xll.BDH(AI$2 &amp; " US Equity","PX_LAST",$B34,$B34)</f>
        <v>101.94</v>
      </c>
      <c r="AJ34" cm="1">
        <f t="array" ref="AJ34">_xll.BDH(AJ$2 &amp; " US Equity","PX_LAST",$B34,$B34)</f>
        <v>112.14</v>
      </c>
      <c r="AK34" cm="1">
        <f t="array" ref="AK34">_xll.BDH(AK$2 &amp; " US Equity","PX_LAST",$B34,$B34)</f>
        <v>119.7</v>
      </c>
      <c r="AL34" cm="1">
        <f t="array" ref="AL34">_xll.BDH(AL$2 &amp; " US Equity","PX_LAST",$B34,$B34)</f>
        <v>222.41</v>
      </c>
      <c r="AM34" cm="1">
        <f t="array" ref="AM34">_xll.BDH(AM$2 &amp; " US Equity","PX_LAST",$B34,$B34)</f>
        <v>53.07</v>
      </c>
      <c r="AN34" cm="1">
        <f t="array" ref="AN34">_xll.BDH(AN$2 &amp; " US Equity","PX_LAST",$B34,$B34)</f>
        <v>27.27</v>
      </c>
      <c r="AO34" cm="1">
        <f t="array" ref="AO34">_xll.BDH(AO$2 &amp; " US Equity","PX_LAST",$B34,$B34)</f>
        <v>60.41</v>
      </c>
      <c r="AP34" cm="1">
        <f t="array" ref="AP34">_xll.BDH(AP$2 &amp; " US Equity","PX_LAST",$B34,$B34)</f>
        <v>6.75</v>
      </c>
      <c r="AQ34" cm="1">
        <f t="array" ref="AQ34">_xll.BDH(AQ$2 &amp; " US Equity","PX_LAST",$B34,$B34)</f>
        <v>122.62</v>
      </c>
      <c r="AR34" cm="1">
        <f t="array" ref="AR34">_xll.BDH(AR$2 &amp; " US Equity","PX_LAST",$B34,$B34)</f>
        <v>51.36</v>
      </c>
      <c r="AS34" cm="1">
        <f t="array" ref="AS34">_xll.BDH(AS$2 &amp; " US Equity","PX_LAST",$B34,$B34)</f>
        <v>116.253</v>
      </c>
      <c r="AT34" cm="1">
        <f t="array" ref="AT34">_xll.BDH(AT$2 &amp; " US Equity","PX_LAST",$B34,$B34)</f>
        <v>7.89</v>
      </c>
      <c r="AU34" cm="1">
        <f t="array" ref="AU34">_xll.BDH(AU$2 &amp; " US Equity","PX_LAST",$B34,$B34)</f>
        <v>353.72</v>
      </c>
      <c r="AV34" cm="1">
        <f t="array" ref="AV34">_xll.BDH(AV$2 &amp; " US Equity","PX_LAST",$B34,$B34)</f>
        <v>256.94</v>
      </c>
      <c r="AW34" cm="1">
        <f t="array" ref="AW34">_xll.BDH(AW$2 &amp; " US Equity","PX_LAST",$B34,$B34)</f>
        <v>124.63</v>
      </c>
    </row>
    <row r="35" spans="2:49">
      <c r="B35" s="13">
        <v>45933</v>
      </c>
      <c r="C35" cm="1">
        <f t="array" ref="C35">_xll.BDH(C$2 &amp; " US Equity","PX_LAST",$B35,$B35)</f>
        <v>244.61</v>
      </c>
      <c r="D35" cm="1">
        <f t="array" ref="D35">_xll.BDH(D$2 &amp; " PE Equity","PX_LAST",$B35,$B35)</f>
        <v>3.99</v>
      </c>
      <c r="E35" cm="1">
        <f t="array" ref="E35">_xll.BDH(E$2 &amp; " PE Equity","PX_LAST",$B35,$B35)</f>
        <v>1.8</v>
      </c>
      <c r="F35" cm="1">
        <f t="array" ref="F35">_xll.BDH(F$2 &amp; " PE Equity","PX_LAST",$B35,$B35)</f>
        <v>2.48</v>
      </c>
      <c r="G35" cm="1">
        <f t="array" ref="G35">_xll.BDH(G$2 &amp; " US Equity","PX_LAST",$B35,$B35)</f>
        <v>23.07</v>
      </c>
      <c r="H35" cm="1">
        <f t="array" ref="H35">_xll.BDH(H$2 &amp; " PE Equity","PX_LAST",$B35,$B35)</f>
        <v>3.34</v>
      </c>
      <c r="I35" cm="1">
        <f t="array" ref="I35">_xll.BDH(I$2 &amp; " US Equity","PX_LAST",$B35,$B35)</f>
        <v>45.98</v>
      </c>
      <c r="J35" cm="1">
        <f t="array" ref="J35">_xll.BDH(J$2 &amp; " US Equity","PX_LAST",$B35,$B35)</f>
        <v>6.9611999999999998</v>
      </c>
      <c r="K35" cm="1">
        <f t="array" ref="K35">_xll.BDH(K$2 &amp; " US Equity","PX_LAST",$B35,$B35)</f>
        <v>49.65</v>
      </c>
      <c r="L35" cm="1">
        <f t="array" ref="L35">_xll.BDH(L$2 &amp; " US Equity","PX_LAST",$B35,$B35)</f>
        <v>54.23</v>
      </c>
      <c r="M35" cm="1">
        <f t="array" ref="M35">_xll.BDH(M$2 &amp; " US Equity","PX_LAST",$B35,$B35)</f>
        <v>266.19</v>
      </c>
      <c r="N35" cm="1">
        <f t="array" ref="N35">_xll.BDH(N$2 &amp; " US Equity","PX_LAST",$B35,$B35)</f>
        <v>34.54</v>
      </c>
      <c r="O35" cm="1">
        <f t="array" ref="O35">_xll.BDH(O$2 &amp; " US Equity","PX_LAST",$B35,$B35)</f>
        <v>30.33</v>
      </c>
      <c r="P35" cm="1">
        <f t="array" ref="P35">_xll.BDH(P$2 &amp; " US Equity","PX_LAST",$B35,$B35)</f>
        <v>15.98</v>
      </c>
      <c r="Q35" cm="1">
        <f t="array" ref="Q35">_xll.BDH(Q$2 &amp; " US Equity","PX_LAST",$B35,$B35)</f>
        <v>27.37</v>
      </c>
      <c r="R35" cm="1">
        <f t="array" ref="R35">_xll.BDH(R$2 &amp; " US Equity","PX_LAST",$B35,$B35)</f>
        <v>24.49</v>
      </c>
      <c r="S35" cm="1">
        <f t="array" ref="S35">_xll.BDH(S$2 &amp; " US Equity","PX_LAST",$B35,$B35)</f>
        <v>154.41</v>
      </c>
      <c r="T35" cm="1">
        <f t="array" ref="T35">_xll.BDH(T$2 &amp; " US Equity","PX_LAST",$B35,$B35)</f>
        <v>63.11</v>
      </c>
      <c r="U35" cm="1">
        <f t="array" ref="U35">_xll.BDH(U$2 &amp; " US Equity","PX_LAST",$B35,$B35)</f>
        <v>142</v>
      </c>
      <c r="V35" cm="1">
        <f t="array" ref="V35">_xll.BDH(V$2 &amp; " US Equity","PX_LAST",$B35,$B35)</f>
        <v>44.454999999999998</v>
      </c>
      <c r="W35" cm="1">
        <f t="array" ref="W35">_xll.BDH(W$2 &amp; " US Equity","PX_LAST",$B35,$B35)</f>
        <v>173.07</v>
      </c>
      <c r="X35" cm="1">
        <f t="array" ref="X35">_xll.BDH(X$2 &amp; " US Equity","PX_LAST",$B35,$B35)</f>
        <v>56.66</v>
      </c>
      <c r="Y35" cm="1">
        <f t="array" ref="Y35">_xll.BDH(Y$2 &amp; " US Equity","PX_LAST",$B35,$B35)</f>
        <v>44.91</v>
      </c>
      <c r="Z35" cm="1">
        <f t="array" ref="Z35">_xll.BDH(Z$2 &amp; " US Equity","PX_LAST",$B35,$B35)</f>
        <v>336.68</v>
      </c>
      <c r="AA35" cm="1">
        <f t="array" ref="AA35">_xll.BDH(AA$2 &amp; " PE Equity","PX_LAST",$B35,$B35)</f>
        <v>0.51</v>
      </c>
      <c r="AB35" cm="1">
        <f t="array" ref="AB35">_xll.BDH(AB$2 &amp; " PE Equity","PX_LAST",$B35,$B35)</f>
        <v>25.5</v>
      </c>
      <c r="AC35" cm="1">
        <f t="array" ref="AC35">_xll.BDH(AC$2 &amp; " US Equity","PX_LAST",$B35,$B35)</f>
        <v>69.459999999999994</v>
      </c>
      <c r="AD35" cm="1">
        <f t="array" ref="AD35">_xll.BDH(AD$2 &amp; " US Equity","PX_LAST",$B35,$B35)</f>
        <v>669.21</v>
      </c>
      <c r="AE35" t="str" cm="1">
        <f t="array" ref="AE35">_xll.BDH(AE$2 &amp; " PE Equity","PX_LAST",$B35,$B35)</f>
        <v>#N/A Connection</v>
      </c>
      <c r="AF35" cm="1">
        <f t="array" ref="AF35">_xll.BDH(AF$2 &amp; " US Equity","PX_LAST",$B35,$B35)</f>
        <v>54.445300000000003</v>
      </c>
      <c r="AG35" cm="1">
        <f t="array" ref="AG35">_xll.BDH(AG$2 &amp; " US Equity","PX_LAST",$B35,$B35)</f>
        <v>13.654999999999999</v>
      </c>
      <c r="AH35" cm="1">
        <f t="array" ref="AH35">_xll.BDH(AH$2 &amp; " US Equity","PX_LAST",$B35,$B35)</f>
        <v>603.17999999999995</v>
      </c>
      <c r="AI35" cm="1">
        <f t="array" ref="AI35">_xll.BDH(AI$2 &amp; " US Equity","PX_LAST",$B35,$B35)</f>
        <v>104.02</v>
      </c>
      <c r="AJ35" cm="1">
        <f t="array" ref="AJ35">_xll.BDH(AJ$2 &amp; " US Equity","PX_LAST",$B35,$B35)</f>
        <v>112.47</v>
      </c>
      <c r="AK35" cm="1">
        <f t="array" ref="AK35">_xll.BDH(AK$2 &amp; " US Equity","PX_LAST",$B35,$B35)</f>
        <v>118.93</v>
      </c>
      <c r="AL35" cm="1">
        <f t="array" ref="AL35">_xll.BDH(AL$2 &amp; " US Equity","PX_LAST",$B35,$B35)</f>
        <v>219.51</v>
      </c>
      <c r="AM35" cm="1">
        <f t="array" ref="AM35">_xll.BDH(AM$2 &amp; " US Equity","PX_LAST",$B35,$B35)</f>
        <v>52.35</v>
      </c>
      <c r="AN35" cm="1">
        <f t="array" ref="AN35">_xll.BDH(AN$2 &amp; " US Equity","PX_LAST",$B35,$B35)</f>
        <v>27.061299999999999</v>
      </c>
      <c r="AO35" cm="1">
        <f t="array" ref="AO35">_xll.BDH(AO$2 &amp; " US Equity","PX_LAST",$B35,$B35)</f>
        <v>60.24</v>
      </c>
      <c r="AP35" cm="1">
        <f t="array" ref="AP35">_xll.BDH(AP$2 &amp; " US Equity","PX_LAST",$B35,$B35)</f>
        <v>6.77</v>
      </c>
      <c r="AQ35" cm="1">
        <f t="array" ref="AQ35">_xll.BDH(AQ$2 &amp; " US Equity","PX_LAST",$B35,$B35)</f>
        <v>122.58</v>
      </c>
      <c r="AR35" cm="1">
        <f t="array" ref="AR35">_xll.BDH(AR$2 &amp; " US Equity","PX_LAST",$B35,$B35)</f>
        <v>52.17</v>
      </c>
      <c r="AS35" cm="1">
        <f t="array" ref="AS35">_xll.BDH(AS$2 &amp; " US Equity","PX_LAST",$B35,$B35)</f>
        <v>115.33199999999999</v>
      </c>
      <c r="AT35" cm="1">
        <f t="array" ref="AT35">_xll.BDH(AT$2 &amp; " US Equity","PX_LAST",$B35,$B35)</f>
        <v>7.7</v>
      </c>
      <c r="AU35" cm="1">
        <f t="array" ref="AU35">_xll.BDH(AU$2 &amp; " US Equity","PX_LAST",$B35,$B35)</f>
        <v>360.2</v>
      </c>
      <c r="AV35" cm="1">
        <f t="array" ref="AV35">_xll.BDH(AV$2 &amp; " US Equity","PX_LAST",$B35,$B35)</f>
        <v>257.68</v>
      </c>
      <c r="AW35" cm="1">
        <f t="array" ref="AW35">_xll.BDH(AW$2 &amp; " US Equity","PX_LAST",$B35,$B35)</f>
        <v>127.65</v>
      </c>
    </row>
    <row r="36" spans="2:49">
      <c r="B36" s="13">
        <v>45934</v>
      </c>
      <c r="C36" t="str" cm="1">
        <f t="array" ref="C36">_xll.BDH(C$2 &amp; " US Equity","PX_LAST",$B36,$B36)</f>
        <v>#N/A N/A</v>
      </c>
      <c r="D36" t="str" cm="1">
        <f t="array" ref="D36">_xll.BDH(D$2 &amp; " PE Equity","PX_LAST",$B36,$B36)</f>
        <v>#N/A N/A</v>
      </c>
      <c r="E36" t="str" cm="1">
        <f t="array" ref="E36">_xll.BDH(E$2 &amp; " PE Equity","PX_LAST",$B36,$B36)</f>
        <v>#N/A N/A</v>
      </c>
      <c r="F36" t="str" cm="1">
        <f t="array" ref="F36">_xll.BDH(F$2 &amp; " PE Equity","PX_LAST",$B36,$B36)</f>
        <v>#N/A N/A</v>
      </c>
      <c r="G36" t="str" cm="1">
        <f t="array" ref="G36">_xll.BDH(G$2 &amp; " US Equity","PX_LAST",$B36,$B36)</f>
        <v>#N/A N/A</v>
      </c>
      <c r="H36" t="str" cm="1">
        <f t="array" ref="H36">_xll.BDH(H$2 &amp; " PE Equity","PX_LAST",$B36,$B36)</f>
        <v>#N/A N/A</v>
      </c>
      <c r="I36" t="str" cm="1">
        <f t="array" ref="I36">_xll.BDH(I$2 &amp; " US Equity","PX_LAST",$B36,$B36)</f>
        <v>#N/A N/A</v>
      </c>
      <c r="J36" t="str" cm="1">
        <f t="array" ref="J36">_xll.BDH(J$2 &amp; " US Equity","PX_LAST",$B36,$B36)</f>
        <v>#N/A N/A</v>
      </c>
      <c r="K36" t="str" cm="1">
        <f t="array" ref="K36">_xll.BDH(K$2 &amp; " US Equity","PX_LAST",$B36,$B36)</f>
        <v>#N/A N/A</v>
      </c>
      <c r="L36" t="str" cm="1">
        <f t="array" ref="L36">_xll.BDH(L$2 &amp; " US Equity","PX_LAST",$B36,$B36)</f>
        <v>#N/A N/A</v>
      </c>
      <c r="M36" t="str" cm="1">
        <f t="array" ref="M36">_xll.BDH(M$2 &amp; " US Equity","PX_LAST",$B36,$B36)</f>
        <v>#N/A N/A</v>
      </c>
      <c r="N36" t="str" cm="1">
        <f t="array" ref="N36">_xll.BDH(N$2 &amp; " US Equity","PX_LAST",$B36,$B36)</f>
        <v>#N/A N/A</v>
      </c>
      <c r="O36" t="str" cm="1">
        <f t="array" ref="O36">_xll.BDH(O$2 &amp; " US Equity","PX_LAST",$B36,$B36)</f>
        <v>#N/A N/A</v>
      </c>
      <c r="P36" t="str" cm="1">
        <f t="array" ref="P36">_xll.BDH(P$2 &amp; " US Equity","PX_LAST",$B36,$B36)</f>
        <v>#N/A N/A</v>
      </c>
      <c r="Q36" t="str" cm="1">
        <f t="array" ref="Q36">_xll.BDH(Q$2 &amp; " US Equity","PX_LAST",$B36,$B36)</f>
        <v>#N/A N/A</v>
      </c>
      <c r="R36" t="str" cm="1">
        <f t="array" ref="R36">_xll.BDH(R$2 &amp; " US Equity","PX_LAST",$B36,$B36)</f>
        <v>#N/A N/A</v>
      </c>
      <c r="S36" t="str" cm="1">
        <f t="array" ref="S36">_xll.BDH(S$2 &amp; " US Equity","PX_LAST",$B36,$B36)</f>
        <v>#N/A N/A</v>
      </c>
      <c r="T36" t="str" cm="1">
        <f t="array" ref="T36">_xll.BDH(T$2 &amp; " US Equity","PX_LAST",$B36,$B36)</f>
        <v>#N/A N/A</v>
      </c>
      <c r="U36" t="str" cm="1">
        <f t="array" ref="U36">_xll.BDH(U$2 &amp; " US Equity","PX_LAST",$B36,$B36)</f>
        <v>#N/A N/A</v>
      </c>
      <c r="V36" t="str" cm="1">
        <f t="array" ref="V36">_xll.BDH(V$2 &amp; " US Equity","PX_LAST",$B36,$B36)</f>
        <v>#N/A N/A</v>
      </c>
      <c r="W36" t="str" cm="1">
        <f t="array" ref="W36">_xll.BDH(W$2 &amp; " US Equity","PX_LAST",$B36,$B36)</f>
        <v>#N/A N/A</v>
      </c>
      <c r="X36" t="str" cm="1">
        <f t="array" ref="X36">_xll.BDH(X$2 &amp; " US Equity","PX_LAST",$B36,$B36)</f>
        <v>#N/A N/A</v>
      </c>
      <c r="Y36" t="str" cm="1">
        <f t="array" ref="Y36">_xll.BDH(Y$2 &amp; " US Equity","PX_LAST",$B36,$B36)</f>
        <v>#N/A N/A</v>
      </c>
      <c r="Z36" t="str" cm="1">
        <f t="array" ref="Z36">_xll.BDH(Z$2 &amp; " US Equity","PX_LAST",$B36,$B36)</f>
        <v>#N/A N/A</v>
      </c>
      <c r="AA36" t="str" cm="1">
        <f t="array" ref="AA36">_xll.BDH(AA$2 &amp; " PE Equity","PX_LAST",$B36,$B36)</f>
        <v>#N/A N/A</v>
      </c>
      <c r="AB36" t="str" cm="1">
        <f t="array" ref="AB36">_xll.BDH(AB$2 &amp; " PE Equity","PX_LAST",$B36,$B36)</f>
        <v>#N/A N/A</v>
      </c>
      <c r="AC36" t="str" cm="1">
        <f t="array" ref="AC36">_xll.BDH(AC$2 &amp; " US Equity","PX_LAST",$B36,$B36)</f>
        <v>#N/A N/A</v>
      </c>
      <c r="AD36" t="str" cm="1">
        <f t="array" ref="AD36">_xll.BDH(AD$2 &amp; " US Equity","PX_LAST",$B36,$B36)</f>
        <v>#N/A N/A</v>
      </c>
      <c r="AE36" t="str" cm="1">
        <f t="array" ref="AE36">_xll.BDH(AE$2 &amp; " PE Equity","PX_LAST",$B36,$B36)</f>
        <v>#N/A Connection</v>
      </c>
      <c r="AF36" t="str" cm="1">
        <f t="array" ref="AF36">_xll.BDH(AF$2 &amp; " US Equity","PX_LAST",$B36,$B36)</f>
        <v>#N/A N/A</v>
      </c>
      <c r="AG36" t="str" cm="1">
        <f t="array" ref="AG36">_xll.BDH(AG$2 &amp; " US Equity","PX_LAST",$B36,$B36)</f>
        <v>#N/A N/A</v>
      </c>
      <c r="AH36" t="str" cm="1">
        <f t="array" ref="AH36">_xll.BDH(AH$2 &amp; " US Equity","PX_LAST",$B36,$B36)</f>
        <v>#N/A N/A</v>
      </c>
      <c r="AI36" t="str" cm="1">
        <f t="array" ref="AI36">_xll.BDH(AI$2 &amp; " US Equity","PX_LAST",$B36,$B36)</f>
        <v>#N/A N/A</v>
      </c>
      <c r="AJ36" t="str" cm="1">
        <f t="array" ref="AJ36">_xll.BDH(AJ$2 &amp; " US Equity","PX_LAST",$B36,$B36)</f>
        <v>#N/A N/A</v>
      </c>
      <c r="AK36" t="str" cm="1">
        <f t="array" ref="AK36">_xll.BDH(AK$2 &amp; " US Equity","PX_LAST",$B36,$B36)</f>
        <v>#N/A N/A</v>
      </c>
      <c r="AL36" t="str" cm="1">
        <f t="array" ref="AL36">_xll.BDH(AL$2 &amp; " US Equity","PX_LAST",$B36,$B36)</f>
        <v>#N/A N/A</v>
      </c>
      <c r="AM36" t="str" cm="1">
        <f t="array" ref="AM36">_xll.BDH(AM$2 &amp; " US Equity","PX_LAST",$B36,$B36)</f>
        <v>#N/A N/A</v>
      </c>
      <c r="AN36" t="str" cm="1">
        <f t="array" ref="AN36">_xll.BDH(AN$2 &amp; " US Equity","PX_LAST",$B36,$B36)</f>
        <v>#N/A N/A</v>
      </c>
      <c r="AO36" t="str" cm="1">
        <f t="array" ref="AO36">_xll.BDH(AO$2 &amp; " US Equity","PX_LAST",$B36,$B36)</f>
        <v>#N/A N/A</v>
      </c>
      <c r="AP36" t="str" cm="1">
        <f t="array" ref="AP36">_xll.BDH(AP$2 &amp; " US Equity","PX_LAST",$B36,$B36)</f>
        <v>#N/A N/A</v>
      </c>
      <c r="AQ36" t="str" cm="1">
        <f t="array" ref="AQ36">_xll.BDH(AQ$2 &amp; " US Equity","PX_LAST",$B36,$B36)</f>
        <v>#N/A N/A</v>
      </c>
      <c r="AR36" t="str" cm="1">
        <f t="array" ref="AR36">_xll.BDH(AR$2 &amp; " US Equity","PX_LAST",$B36,$B36)</f>
        <v>#N/A N/A</v>
      </c>
      <c r="AS36" t="str" cm="1">
        <f t="array" ref="AS36">_xll.BDH(AS$2 &amp; " US Equity","PX_LAST",$B36,$B36)</f>
        <v>#N/A N/A</v>
      </c>
      <c r="AT36" t="str" cm="1">
        <f t="array" ref="AT36">_xll.BDH(AT$2 &amp; " US Equity","PX_LAST",$B36,$B36)</f>
        <v>#N/A N/A</v>
      </c>
      <c r="AU36" t="str" cm="1">
        <f t="array" ref="AU36">_xll.BDH(AU$2 &amp; " US Equity","PX_LAST",$B36,$B36)</f>
        <v>#N/A N/A</v>
      </c>
      <c r="AV36" t="str" cm="1">
        <f t="array" ref="AV36">_xll.BDH(AV$2 &amp; " US Equity","PX_LAST",$B36,$B36)</f>
        <v>#N/A N/A</v>
      </c>
      <c r="AW36" t="str" cm="1">
        <f t="array" ref="AW36">_xll.BDH(AW$2 &amp; " US Equity","PX_LAST",$B36,$B36)</f>
        <v>#N/A N/A</v>
      </c>
    </row>
    <row r="37" spans="2:49">
      <c r="B37" s="13">
        <v>45935</v>
      </c>
      <c r="C37" t="str" cm="1">
        <f t="array" ref="C37">_xll.BDH(C$2 &amp; " US Equity","PX_LAST",$B37,$B37)</f>
        <v>#N/A N/A</v>
      </c>
      <c r="D37" t="str" cm="1">
        <f t="array" ref="D37">_xll.BDH(D$2 &amp; " PE Equity","PX_LAST",$B37,$B37)</f>
        <v>#N/A N/A</v>
      </c>
      <c r="E37" t="str" cm="1">
        <f t="array" ref="E37">_xll.BDH(E$2 &amp; " PE Equity","PX_LAST",$B37,$B37)</f>
        <v>#N/A N/A</v>
      </c>
      <c r="F37" t="str" cm="1">
        <f t="array" ref="F37">_xll.BDH(F$2 &amp; " PE Equity","PX_LAST",$B37,$B37)</f>
        <v>#N/A N/A</v>
      </c>
      <c r="G37" t="str" cm="1">
        <f t="array" ref="G37">_xll.BDH(G$2 &amp; " US Equity","PX_LAST",$B37,$B37)</f>
        <v>#N/A N/A</v>
      </c>
      <c r="H37" t="str" cm="1">
        <f t="array" ref="H37">_xll.BDH(H$2 &amp; " PE Equity","PX_LAST",$B37,$B37)</f>
        <v>#N/A N/A</v>
      </c>
      <c r="I37" t="str" cm="1">
        <f t="array" ref="I37">_xll.BDH(I$2 &amp; " US Equity","PX_LAST",$B37,$B37)</f>
        <v>#N/A N/A</v>
      </c>
      <c r="J37" t="str" cm="1">
        <f t="array" ref="J37">_xll.BDH(J$2 &amp; " US Equity","PX_LAST",$B37,$B37)</f>
        <v>#N/A N/A</v>
      </c>
      <c r="K37" t="str" cm="1">
        <f t="array" ref="K37">_xll.BDH(K$2 &amp; " US Equity","PX_LAST",$B37,$B37)</f>
        <v>#N/A N/A</v>
      </c>
      <c r="L37" t="str" cm="1">
        <f t="array" ref="L37">_xll.BDH(L$2 &amp; " US Equity","PX_LAST",$B37,$B37)</f>
        <v>#N/A N/A</v>
      </c>
      <c r="M37" t="str" cm="1">
        <f t="array" ref="M37">_xll.BDH(M$2 &amp; " US Equity","PX_LAST",$B37,$B37)</f>
        <v>#N/A N/A</v>
      </c>
      <c r="N37" t="str" cm="1">
        <f t="array" ref="N37">_xll.BDH(N$2 &amp; " US Equity","PX_LAST",$B37,$B37)</f>
        <v>#N/A N/A</v>
      </c>
      <c r="O37" t="str" cm="1">
        <f t="array" ref="O37">_xll.BDH(O$2 &amp; " US Equity","PX_LAST",$B37,$B37)</f>
        <v>#N/A N/A</v>
      </c>
      <c r="P37" t="str" cm="1">
        <f t="array" ref="P37">_xll.BDH(P$2 &amp; " US Equity","PX_LAST",$B37,$B37)</f>
        <v>#N/A N/A</v>
      </c>
      <c r="Q37" t="str" cm="1">
        <f t="array" ref="Q37">_xll.BDH(Q$2 &amp; " US Equity","PX_LAST",$B37,$B37)</f>
        <v>#N/A N/A</v>
      </c>
      <c r="R37" t="str" cm="1">
        <f t="array" ref="R37">_xll.BDH(R$2 &amp; " US Equity","PX_LAST",$B37,$B37)</f>
        <v>#N/A N/A</v>
      </c>
      <c r="S37" t="str" cm="1">
        <f t="array" ref="S37">_xll.BDH(S$2 &amp; " US Equity","PX_LAST",$B37,$B37)</f>
        <v>#N/A N/A</v>
      </c>
      <c r="T37" t="str" cm="1">
        <f t="array" ref="T37">_xll.BDH(T$2 &amp; " US Equity","PX_LAST",$B37,$B37)</f>
        <v>#N/A N/A</v>
      </c>
      <c r="U37" t="str" cm="1">
        <f t="array" ref="U37">_xll.BDH(U$2 &amp; " US Equity","PX_LAST",$B37,$B37)</f>
        <v>#N/A N/A</v>
      </c>
      <c r="V37" t="str" cm="1">
        <f t="array" ref="V37">_xll.BDH(V$2 &amp; " US Equity","PX_LAST",$B37,$B37)</f>
        <v>#N/A N/A</v>
      </c>
      <c r="W37" t="str" cm="1">
        <f t="array" ref="W37">_xll.BDH(W$2 &amp; " US Equity","PX_LAST",$B37,$B37)</f>
        <v>#N/A N/A</v>
      </c>
      <c r="X37" t="str" cm="1">
        <f t="array" ref="X37">_xll.BDH(X$2 &amp; " US Equity","PX_LAST",$B37,$B37)</f>
        <v>#N/A N/A</v>
      </c>
      <c r="Y37" t="str" cm="1">
        <f t="array" ref="Y37">_xll.BDH(Y$2 &amp; " US Equity","PX_LAST",$B37,$B37)</f>
        <v>#N/A N/A</v>
      </c>
      <c r="Z37" t="str" cm="1">
        <f t="array" ref="Z37">_xll.BDH(Z$2 &amp; " US Equity","PX_LAST",$B37,$B37)</f>
        <v>#N/A N/A</v>
      </c>
      <c r="AA37" t="str" cm="1">
        <f t="array" ref="AA37">_xll.BDH(AA$2 &amp; " PE Equity","PX_LAST",$B37,$B37)</f>
        <v>#N/A N/A</v>
      </c>
      <c r="AB37" t="str" cm="1">
        <f t="array" ref="AB37">_xll.BDH(AB$2 &amp; " PE Equity","PX_LAST",$B37,$B37)</f>
        <v>#N/A N/A</v>
      </c>
      <c r="AC37" t="str" cm="1">
        <f t="array" ref="AC37">_xll.BDH(AC$2 &amp; " US Equity","PX_LAST",$B37,$B37)</f>
        <v>#N/A N/A</v>
      </c>
      <c r="AD37" t="str" cm="1">
        <f t="array" ref="AD37">_xll.BDH(AD$2 &amp; " US Equity","PX_LAST",$B37,$B37)</f>
        <v>#N/A N/A</v>
      </c>
      <c r="AE37" t="str" cm="1">
        <f t="array" ref="AE37">_xll.BDH(AE$2 &amp; " PE Equity","PX_LAST",$B37,$B37)</f>
        <v>#N/A Connection</v>
      </c>
      <c r="AF37" t="str" cm="1">
        <f t="array" ref="AF37">_xll.BDH(AF$2 &amp; " US Equity","PX_LAST",$B37,$B37)</f>
        <v>#N/A N/A</v>
      </c>
      <c r="AG37" t="str" cm="1">
        <f t="array" ref="AG37">_xll.BDH(AG$2 &amp; " US Equity","PX_LAST",$B37,$B37)</f>
        <v>#N/A N/A</v>
      </c>
      <c r="AH37" t="str" cm="1">
        <f t="array" ref="AH37">_xll.BDH(AH$2 &amp; " US Equity","PX_LAST",$B37,$B37)</f>
        <v>#N/A N/A</v>
      </c>
      <c r="AI37" t="str" cm="1">
        <f t="array" ref="AI37">_xll.BDH(AI$2 &amp; " US Equity","PX_LAST",$B37,$B37)</f>
        <v>#N/A N/A</v>
      </c>
      <c r="AJ37" t="str" cm="1">
        <f t="array" ref="AJ37">_xll.BDH(AJ$2 &amp; " US Equity","PX_LAST",$B37,$B37)</f>
        <v>#N/A N/A</v>
      </c>
      <c r="AK37" t="str" cm="1">
        <f t="array" ref="AK37">_xll.BDH(AK$2 &amp; " US Equity","PX_LAST",$B37,$B37)</f>
        <v>#N/A N/A</v>
      </c>
      <c r="AL37" t="str" cm="1">
        <f t="array" ref="AL37">_xll.BDH(AL$2 &amp; " US Equity","PX_LAST",$B37,$B37)</f>
        <v>#N/A N/A</v>
      </c>
      <c r="AM37" t="str" cm="1">
        <f t="array" ref="AM37">_xll.BDH(AM$2 &amp; " US Equity","PX_LAST",$B37,$B37)</f>
        <v>#N/A N/A</v>
      </c>
      <c r="AN37" t="str" cm="1">
        <f t="array" ref="AN37">_xll.BDH(AN$2 &amp; " US Equity","PX_LAST",$B37,$B37)</f>
        <v>#N/A N/A</v>
      </c>
      <c r="AO37" t="str" cm="1">
        <f t="array" ref="AO37">_xll.BDH(AO$2 &amp; " US Equity","PX_LAST",$B37,$B37)</f>
        <v>#N/A N/A</v>
      </c>
      <c r="AP37" t="str" cm="1">
        <f t="array" ref="AP37">_xll.BDH(AP$2 &amp; " US Equity","PX_LAST",$B37,$B37)</f>
        <v>#N/A N/A</v>
      </c>
      <c r="AQ37" t="str" cm="1">
        <f t="array" ref="AQ37">_xll.BDH(AQ$2 &amp; " US Equity","PX_LAST",$B37,$B37)</f>
        <v>#N/A N/A</v>
      </c>
      <c r="AR37" t="str" cm="1">
        <f t="array" ref="AR37">_xll.BDH(AR$2 &amp; " US Equity","PX_LAST",$B37,$B37)</f>
        <v>#N/A N/A</v>
      </c>
      <c r="AS37" t="str" cm="1">
        <f t="array" ref="AS37">_xll.BDH(AS$2 &amp; " US Equity","PX_LAST",$B37,$B37)</f>
        <v>#N/A N/A</v>
      </c>
      <c r="AT37" t="str" cm="1">
        <f t="array" ref="AT37">_xll.BDH(AT$2 &amp; " US Equity","PX_LAST",$B37,$B37)</f>
        <v>#N/A N/A</v>
      </c>
      <c r="AU37" t="str" cm="1">
        <f t="array" ref="AU37">_xll.BDH(AU$2 &amp; " US Equity","PX_LAST",$B37,$B37)</f>
        <v>#N/A N/A</v>
      </c>
      <c r="AV37" t="str" cm="1">
        <f t="array" ref="AV37">_xll.BDH(AV$2 &amp; " US Equity","PX_LAST",$B37,$B37)</f>
        <v>#N/A N/A</v>
      </c>
      <c r="AW37" t="str" cm="1">
        <f t="array" ref="AW37">_xll.BDH(AW$2 &amp; " US Equity","PX_LAST",$B37,$B37)</f>
        <v>#N/A N/A</v>
      </c>
    </row>
    <row r="38" spans="2:49">
      <c r="B38" s="13">
        <v>45936</v>
      </c>
      <c r="C38" cm="1">
        <f t="array" ref="C38">_xll.BDH(C$2 &amp; " US Equity","PX_LAST",$B38,$B38)</f>
        <v>247.03</v>
      </c>
      <c r="D38" cm="1">
        <f t="array" ref="D38">_xll.BDH(D$2 &amp; " PE Equity","PX_LAST",$B38,$B38)</f>
        <v>4.1500000000000004</v>
      </c>
      <c r="E38" cm="1">
        <f t="array" ref="E38">_xll.BDH(E$2 &amp; " PE Equity","PX_LAST",$B38,$B38)</f>
        <v>1.78</v>
      </c>
      <c r="F38" cm="1">
        <f t="array" ref="F38">_xll.BDH(F$2 &amp; " PE Equity","PX_LAST",$B38,$B38)</f>
        <v>2.4700000000000002</v>
      </c>
      <c r="G38" cm="1">
        <f t="array" ref="G38">_xll.BDH(G$2 &amp; " US Equity","PX_LAST",$B38,$B38)</f>
        <v>23.63</v>
      </c>
      <c r="H38" cm="1">
        <f t="array" ref="H38">_xll.BDH(H$2 &amp; " PE Equity","PX_LAST",$B38,$B38)</f>
        <v>3.33</v>
      </c>
      <c r="I38" cm="1">
        <f t="array" ref="I38">_xll.BDH(I$2 &amp; " US Equity","PX_LAST",$B38,$B38)</f>
        <v>46.24</v>
      </c>
      <c r="J38" cm="1">
        <f t="array" ref="J38">_xll.BDH(J$2 &amp; " US Equity","PX_LAST",$B38,$B38)</f>
        <v>6.9222999999999999</v>
      </c>
      <c r="K38" cm="1">
        <f t="array" ref="K38">_xll.BDH(K$2 &amp; " US Equity","PX_LAST",$B38,$B38)</f>
        <v>49.22</v>
      </c>
      <c r="L38" cm="1">
        <f t="array" ref="L38">_xll.BDH(L$2 &amp; " US Equity","PX_LAST",$B38,$B38)</f>
        <v>54.48</v>
      </c>
      <c r="M38" cm="1">
        <f t="array" ref="M38">_xll.BDH(M$2 &amp; " US Equity","PX_LAST",$B38,$B38)</f>
        <v>264.69</v>
      </c>
      <c r="N38" cm="1">
        <f t="array" ref="N38">_xll.BDH(N$2 &amp; " US Equity","PX_LAST",$B38,$B38)</f>
        <v>34.299999999999997</v>
      </c>
      <c r="O38" cm="1">
        <f t="array" ref="O38">_xll.BDH(O$2 &amp; " US Equity","PX_LAST",$B38,$B38)</f>
        <v>30.31</v>
      </c>
      <c r="P38" cm="1">
        <f t="array" ref="P38">_xll.BDH(P$2 &amp; " US Equity","PX_LAST",$B38,$B38)</f>
        <v>16.079999999999998</v>
      </c>
      <c r="Q38" cm="1">
        <f t="array" ref="Q38">_xll.BDH(Q$2 &amp; " US Equity","PX_LAST",$B38,$B38)</f>
        <v>26.43</v>
      </c>
      <c r="R38" cm="1">
        <f t="array" ref="R38">_xll.BDH(R$2 &amp; " US Equity","PX_LAST",$B38,$B38)</f>
        <v>24.79</v>
      </c>
      <c r="S38" cm="1">
        <f t="array" ref="S38">_xll.BDH(S$2 &amp; " US Equity","PX_LAST",$B38,$B38)</f>
        <v>155.13</v>
      </c>
      <c r="T38" cm="1">
        <f t="array" ref="T38">_xll.BDH(T$2 &amp; " US Equity","PX_LAST",$B38,$B38)</f>
        <v>62.74</v>
      </c>
      <c r="U38" cm="1">
        <f t="array" ref="U38">_xll.BDH(U$2 &amp; " US Equity","PX_LAST",$B38,$B38)</f>
        <v>144.91</v>
      </c>
      <c r="V38" cm="1">
        <f t="array" ref="V38">_xll.BDH(V$2 &amp; " US Equity","PX_LAST",$B38,$B38)</f>
        <v>44.884999999999998</v>
      </c>
      <c r="W38" cm="1">
        <f t="array" ref="W38">_xll.BDH(W$2 &amp; " US Equity","PX_LAST",$B38,$B38)</f>
        <v>179.53</v>
      </c>
      <c r="X38" cm="1">
        <f t="array" ref="X38">_xll.BDH(X$2 &amp; " US Equity","PX_LAST",$B38,$B38)</f>
        <v>56.72</v>
      </c>
      <c r="Y38" cm="1">
        <f t="array" ref="Y38">_xll.BDH(Y$2 &amp; " US Equity","PX_LAST",$B38,$B38)</f>
        <v>44.19</v>
      </c>
      <c r="Z38" cm="1">
        <f t="array" ref="Z38">_xll.BDH(Z$2 &amp; " US Equity","PX_LAST",$B38,$B38)</f>
        <v>343.38</v>
      </c>
      <c r="AA38" cm="1">
        <f t="array" ref="AA38">_xll.BDH(AA$2 &amp; " PE Equity","PX_LAST",$B38,$B38)</f>
        <v>0.52</v>
      </c>
      <c r="AB38" cm="1">
        <f t="array" ref="AB38">_xll.BDH(AB$2 &amp; " PE Equity","PX_LAST",$B38,$B38)</f>
        <v>25.99</v>
      </c>
      <c r="AC38" cm="1">
        <f t="array" ref="AC38">_xll.BDH(AC$2 &amp; " US Equity","PX_LAST",$B38,$B38)</f>
        <v>69.430000000000007</v>
      </c>
      <c r="AD38" cm="1">
        <f t="array" ref="AD38">_xll.BDH(AD$2 &amp; " US Equity","PX_LAST",$B38,$B38)</f>
        <v>671.61</v>
      </c>
      <c r="AE38" t="str" cm="1">
        <f t="array" ref="AE38">_xll.BDH(AE$2 &amp; " PE Equity","PX_LAST",$B38,$B38)</f>
        <v>#N/A Connection</v>
      </c>
      <c r="AF38" cm="1">
        <f t="array" ref="AF38">_xll.BDH(AF$2 &amp; " US Equity","PX_LAST",$B38,$B38)</f>
        <v>54.247799999999998</v>
      </c>
      <c r="AG38" cm="1">
        <f t="array" ref="AG38">_xll.BDH(AG$2 &amp; " US Equity","PX_LAST",$B38,$B38)</f>
        <v>13.59</v>
      </c>
      <c r="AH38" cm="1">
        <f t="array" ref="AH38">_xll.BDH(AH$2 &amp; " US Equity","PX_LAST",$B38,$B38)</f>
        <v>607.71</v>
      </c>
      <c r="AI38" cm="1">
        <f t="array" ref="AI38">_xll.BDH(AI$2 &amp; " US Equity","PX_LAST",$B38,$B38)</f>
        <v>103.22</v>
      </c>
      <c r="AJ38" cm="1">
        <f t="array" ref="AJ38">_xll.BDH(AJ$2 &amp; " US Equity","PX_LAST",$B38,$B38)</f>
        <v>112.75</v>
      </c>
      <c r="AK38" cm="1">
        <f t="array" ref="AK38">_xll.BDH(AK$2 &amp; " US Equity","PX_LAST",$B38,$B38)</f>
        <v>119.95</v>
      </c>
      <c r="AL38" cm="1">
        <f t="array" ref="AL38">_xll.BDH(AL$2 &amp; " US Equity","PX_LAST",$B38,$B38)</f>
        <v>220.9</v>
      </c>
      <c r="AM38" cm="1">
        <f t="array" ref="AM38">_xll.BDH(AM$2 &amp; " US Equity","PX_LAST",$B38,$B38)</f>
        <v>53.52</v>
      </c>
      <c r="AN38" cm="1">
        <f t="array" ref="AN38">_xll.BDH(AN$2 &amp; " US Equity","PX_LAST",$B38,$B38)</f>
        <v>27.05</v>
      </c>
      <c r="AO38" cm="1">
        <f t="array" ref="AO38">_xll.BDH(AO$2 &amp; " US Equity","PX_LAST",$B38,$B38)</f>
        <v>60.47</v>
      </c>
      <c r="AP38" cm="1">
        <f t="array" ref="AP38">_xll.BDH(AP$2 &amp; " US Equity","PX_LAST",$B38,$B38)</f>
        <v>6.75</v>
      </c>
      <c r="AQ38" cm="1">
        <f t="array" ref="AQ38">_xll.BDH(AQ$2 &amp; " US Equity","PX_LAST",$B38,$B38)</f>
        <v>120.54</v>
      </c>
      <c r="AR38" cm="1">
        <f t="array" ref="AR38">_xll.BDH(AR$2 &amp; " US Equity","PX_LAST",$B38,$B38)</f>
        <v>52.16</v>
      </c>
      <c r="AS38" cm="1">
        <f t="array" ref="AS38">_xll.BDH(AS$2 &amp; " US Equity","PX_LAST",$B38,$B38)</f>
        <v>116.331</v>
      </c>
      <c r="AT38" cm="1">
        <f t="array" ref="AT38">_xll.BDH(AT$2 &amp; " US Equity","PX_LAST",$B38,$B38)</f>
        <v>7.59</v>
      </c>
      <c r="AU38" cm="1">
        <f t="array" ref="AU38">_xll.BDH(AU$2 &amp; " US Equity","PX_LAST",$B38,$B38)</f>
        <v>358.77</v>
      </c>
      <c r="AV38" cm="1">
        <f t="array" ref="AV38">_xll.BDH(AV$2 &amp; " US Equity","PX_LAST",$B38,$B38)</f>
        <v>256.98</v>
      </c>
      <c r="AW38" cm="1">
        <f t="array" ref="AW38">_xll.BDH(AW$2 &amp; " US Equity","PX_LAST",$B38,$B38)</f>
        <v>126.87</v>
      </c>
    </row>
    <row r="39" spans="2:49">
      <c r="B39" s="13">
        <v>45937</v>
      </c>
      <c r="C39" cm="1">
        <f t="array" ref="C39">_xll.BDH(C$2 &amp; " US Equity","PX_LAST",$B39,$B39)</f>
        <v>242.33</v>
      </c>
      <c r="D39" cm="1">
        <f t="array" ref="D39">_xll.BDH(D$2 &amp; " PE Equity","PX_LAST",$B39,$B39)</f>
        <v>4.3499999999999996</v>
      </c>
      <c r="E39" cm="1">
        <f t="array" ref="E39">_xll.BDH(E$2 &amp; " PE Equity","PX_LAST",$B39,$B39)</f>
        <v>1.78</v>
      </c>
      <c r="F39" cm="1">
        <f t="array" ref="F39">_xll.BDH(F$2 &amp; " PE Equity","PX_LAST",$B39,$B39)</f>
        <v>2.42</v>
      </c>
      <c r="G39" cm="1">
        <f t="array" ref="G39">_xll.BDH(G$2 &amp; " US Equity","PX_LAST",$B39,$B39)</f>
        <v>23.67</v>
      </c>
      <c r="H39" cm="1">
        <f t="array" ref="H39">_xll.BDH(H$2 &amp; " PE Equity","PX_LAST",$B39,$B39)</f>
        <v>3.33</v>
      </c>
      <c r="I39" cm="1">
        <f t="array" ref="I39">_xll.BDH(I$2 &amp; " US Equity","PX_LAST",$B39,$B39)</f>
        <v>45.68</v>
      </c>
      <c r="J39" cm="1">
        <f t="array" ref="J39">_xll.BDH(J$2 &amp; " US Equity","PX_LAST",$B39,$B39)</f>
        <v>6.7378999999999998</v>
      </c>
      <c r="K39" cm="1">
        <f t="array" ref="K39">_xll.BDH(K$2 &amp; " US Equity","PX_LAST",$B39,$B39)</f>
        <v>48.92</v>
      </c>
      <c r="L39" cm="1">
        <f t="array" ref="L39">_xll.BDH(L$2 &amp; " US Equity","PX_LAST",$B39,$B39)</f>
        <v>54.06</v>
      </c>
      <c r="M39" cm="1">
        <f t="array" ref="M39">_xll.BDH(M$2 &amp; " US Equity","PX_LAST",$B39,$B39)</f>
        <v>262.62</v>
      </c>
      <c r="N39" cm="1">
        <f t="array" ref="N39">_xll.BDH(N$2 &amp; " US Equity","PX_LAST",$B39,$B39)</f>
        <v>33.99</v>
      </c>
      <c r="O39" cm="1">
        <f t="array" ref="O39">_xll.BDH(O$2 &amp; " US Equity","PX_LAST",$B39,$B39)</f>
        <v>29.68</v>
      </c>
      <c r="P39" cm="1">
        <f t="array" ref="P39">_xll.BDH(P$2 &amp; " US Equity","PX_LAST",$B39,$B39)</f>
        <v>15.89</v>
      </c>
      <c r="Q39" cm="1">
        <f t="array" ref="Q39">_xll.BDH(Q$2 &amp; " US Equity","PX_LAST",$B39,$B39)</f>
        <v>26.27</v>
      </c>
      <c r="R39" cm="1">
        <f t="array" ref="R39">_xll.BDH(R$2 &amp; " US Equity","PX_LAST",$B39,$B39)</f>
        <v>24.44</v>
      </c>
      <c r="S39" cm="1">
        <f t="array" ref="S39">_xll.BDH(S$2 &amp; " US Equity","PX_LAST",$B39,$B39)</f>
        <v>154.25</v>
      </c>
      <c r="T39" cm="1">
        <f t="array" ref="T39">_xll.BDH(T$2 &amp; " US Equity","PX_LAST",$B39,$B39)</f>
        <v>62.12</v>
      </c>
      <c r="U39" cm="1">
        <f t="array" ref="U39">_xll.BDH(U$2 &amp; " US Equity","PX_LAST",$B39,$B39)</f>
        <v>138.94</v>
      </c>
      <c r="V39" cm="1">
        <f t="array" ref="V39">_xll.BDH(V$2 &amp; " US Equity","PX_LAST",$B39,$B39)</f>
        <v>45.09</v>
      </c>
      <c r="W39" cm="1">
        <f t="array" ref="W39">_xll.BDH(W$2 &amp; " US Equity","PX_LAST",$B39,$B39)</f>
        <v>182.17</v>
      </c>
      <c r="X39" cm="1">
        <f t="array" ref="X39">_xll.BDH(X$2 &amp; " US Equity","PX_LAST",$B39,$B39)</f>
        <v>56.55</v>
      </c>
      <c r="Y39" cm="1">
        <f t="array" ref="Y39">_xll.BDH(Y$2 &amp; " US Equity","PX_LAST",$B39,$B39)</f>
        <v>43.79</v>
      </c>
      <c r="Z39" cm="1">
        <f t="array" ref="Z39">_xll.BDH(Z$2 &amp; " US Equity","PX_LAST",$B39,$B39)</f>
        <v>337.05</v>
      </c>
      <c r="AA39" cm="1">
        <f t="array" ref="AA39">_xll.BDH(AA$2 &amp; " PE Equity","PX_LAST",$B39,$B39)</f>
        <v>0.49399999999999999</v>
      </c>
      <c r="AB39" cm="1">
        <f t="array" ref="AB39">_xll.BDH(AB$2 &amp; " PE Equity","PX_LAST",$B39,$B39)</f>
        <v>26.5</v>
      </c>
      <c r="AC39" cm="1">
        <f t="array" ref="AC39">_xll.BDH(AC$2 &amp; " US Equity","PX_LAST",$B39,$B39)</f>
        <v>69.08</v>
      </c>
      <c r="AD39" cm="1">
        <f t="array" ref="AD39">_xll.BDH(AD$2 &amp; " US Equity","PX_LAST",$B39,$B39)</f>
        <v>669.12</v>
      </c>
      <c r="AE39" t="str" cm="1">
        <f t="array" ref="AE39">_xll.BDH(AE$2 &amp; " PE Equity","PX_LAST",$B39,$B39)</f>
        <v>#N/A Connection</v>
      </c>
      <c r="AF39" cm="1">
        <f t="array" ref="AF39">_xll.BDH(AF$2 &amp; " US Equity","PX_LAST",$B39,$B39)</f>
        <v>54.204999999999998</v>
      </c>
      <c r="AG39" cm="1">
        <f t="array" ref="AG39">_xll.BDH(AG$2 &amp; " US Equity","PX_LAST",$B39,$B39)</f>
        <v>13.244999999999999</v>
      </c>
      <c r="AH39" cm="1">
        <f t="array" ref="AH39">_xll.BDH(AH$2 &amp; " US Equity","PX_LAST",$B39,$B39)</f>
        <v>604.51</v>
      </c>
      <c r="AI39" cm="1">
        <f t="array" ref="AI39">_xll.BDH(AI$2 &amp; " US Equity","PX_LAST",$B39,$B39)</f>
        <v>103.71</v>
      </c>
      <c r="AJ39" cm="1">
        <f t="array" ref="AJ39">_xll.BDH(AJ$2 &amp; " US Equity","PX_LAST",$B39,$B39)</f>
        <v>112.53</v>
      </c>
      <c r="AK39" cm="1">
        <f t="array" ref="AK39">_xll.BDH(AK$2 &amp; " US Equity","PX_LAST",$B39,$B39)</f>
        <v>117.85</v>
      </c>
      <c r="AL39" cm="1">
        <f t="array" ref="AL39">_xll.BDH(AL$2 &amp; " US Equity","PX_LAST",$B39,$B39)</f>
        <v>221.78</v>
      </c>
      <c r="AM39" cm="1">
        <f t="array" ref="AM39">_xll.BDH(AM$2 &amp; " US Equity","PX_LAST",$B39,$B39)</f>
        <v>52.655000000000001</v>
      </c>
      <c r="AN39" cm="1">
        <f t="array" ref="AN39">_xll.BDH(AN$2 &amp; " US Equity","PX_LAST",$B39,$B39)</f>
        <v>26.68</v>
      </c>
      <c r="AO39" cm="1">
        <f t="array" ref="AO39">_xll.BDH(AO$2 &amp; " US Equity","PX_LAST",$B39,$B39)</f>
        <v>59.65</v>
      </c>
      <c r="AP39" cm="1">
        <f t="array" ref="AP39">_xll.BDH(AP$2 &amp; " US Equity","PX_LAST",$B39,$B39)</f>
        <v>6.61</v>
      </c>
      <c r="AQ39" cm="1">
        <f t="array" ref="AQ39">_xll.BDH(AQ$2 &amp; " US Equity","PX_LAST",$B39,$B39)</f>
        <v>122.33</v>
      </c>
      <c r="AR39" cm="1">
        <f t="array" ref="AR39">_xll.BDH(AR$2 &amp; " US Equity","PX_LAST",$B39,$B39)</f>
        <v>51.99</v>
      </c>
      <c r="AS39" cm="1">
        <f t="array" ref="AS39">_xll.BDH(AS$2 &amp; " US Equity","PX_LAST",$B39,$B39)</f>
        <v>119.10599999999999</v>
      </c>
      <c r="AT39" cm="1">
        <f t="array" ref="AT39">_xll.BDH(AT$2 &amp; " US Equity","PX_LAST",$B39,$B39)</f>
        <v>7.5</v>
      </c>
      <c r="AU39" cm="1">
        <f t="array" ref="AU39">_xll.BDH(AU$2 &amp; " US Equity","PX_LAST",$B39,$B39)</f>
        <v>363.66</v>
      </c>
      <c r="AV39" cm="1">
        <f t="array" ref="AV39">_xll.BDH(AV$2 &amp; " US Equity","PX_LAST",$B39,$B39)</f>
        <v>260.5</v>
      </c>
      <c r="AW39" cm="1">
        <f t="array" ref="AW39">_xll.BDH(AW$2 &amp; " US Equity","PX_LAST",$B39,$B39)</f>
        <v>124.72</v>
      </c>
    </row>
    <row r="40" spans="2:49">
      <c r="B40" s="13">
        <v>45938</v>
      </c>
      <c r="C40" cm="1">
        <f t="array" ref="C40">_xll.BDH(C$2 &amp; " US Equity","PX_LAST",$B40,$B40)</f>
        <v>239.93</v>
      </c>
      <c r="D40" t="str" cm="1">
        <f t="array" ref="D40">_xll.BDH(D$2 &amp; " PE Equity","PX_LAST",$B40,$B40)</f>
        <v>#N/A N/A</v>
      </c>
      <c r="E40" t="str" cm="1">
        <f t="array" ref="E40">_xll.BDH(E$2 &amp; " PE Equity","PX_LAST",$B40,$B40)</f>
        <v>#N/A N/A</v>
      </c>
      <c r="F40" t="str" cm="1">
        <f t="array" ref="F40">_xll.BDH(F$2 &amp; " PE Equity","PX_LAST",$B40,$B40)</f>
        <v>#N/A N/A</v>
      </c>
      <c r="G40" cm="1">
        <f t="array" ref="G40">_xll.BDH(G$2 &amp; " US Equity","PX_LAST",$B40,$B40)</f>
        <v>24.19</v>
      </c>
      <c r="H40" t="str" cm="1">
        <f t="array" ref="H40">_xll.BDH(H$2 &amp; " PE Equity","PX_LAST",$B40,$B40)</f>
        <v>#N/A N/A</v>
      </c>
      <c r="I40" cm="1">
        <f t="array" ref="I40">_xll.BDH(I$2 &amp; " US Equity","PX_LAST",$B40,$B40)</f>
        <v>46.14</v>
      </c>
      <c r="J40" cm="1">
        <f t="array" ref="J40">_xll.BDH(J$2 &amp; " US Equity","PX_LAST",$B40,$B40)</f>
        <v>6.7572999999999999</v>
      </c>
      <c r="K40" cm="1">
        <f t="array" ref="K40">_xll.BDH(K$2 &amp; " US Equity","PX_LAST",$B40,$B40)</f>
        <v>49.33</v>
      </c>
      <c r="L40" cm="1">
        <f t="array" ref="L40">_xll.BDH(L$2 &amp; " US Equity","PX_LAST",$B40,$B40)</f>
        <v>54.49</v>
      </c>
      <c r="M40" cm="1">
        <f t="array" ref="M40">_xll.BDH(M$2 &amp; " US Equity","PX_LAST",$B40,$B40)</f>
        <v>264.5</v>
      </c>
      <c r="N40" cm="1">
        <f t="array" ref="N40">_xll.BDH(N$2 &amp; " US Equity","PX_LAST",$B40,$B40)</f>
        <v>34.29</v>
      </c>
      <c r="O40" cm="1">
        <f t="array" ref="O40">_xll.BDH(O$2 &amp; " US Equity","PX_LAST",$B40,$B40)</f>
        <v>29.87</v>
      </c>
      <c r="P40" cm="1">
        <f t="array" ref="P40">_xll.BDH(P$2 &amp; " US Equity","PX_LAST",$B40,$B40)</f>
        <v>16.010000000000002</v>
      </c>
      <c r="Q40" cm="1">
        <f t="array" ref="Q40">_xll.BDH(Q$2 &amp; " US Equity","PX_LAST",$B40,$B40)</f>
        <v>25.68</v>
      </c>
      <c r="R40" cm="1">
        <f t="array" ref="R40">_xll.BDH(R$2 &amp; " US Equity","PX_LAST",$B40,$B40)</f>
        <v>26.26</v>
      </c>
      <c r="S40" cm="1">
        <f t="array" ref="S40">_xll.BDH(S$2 &amp; " US Equity","PX_LAST",$B40,$B40)</f>
        <v>155.59</v>
      </c>
      <c r="T40" cm="1">
        <f t="array" ref="T40">_xll.BDH(T$2 &amp; " US Equity","PX_LAST",$B40,$B40)</f>
        <v>62.52</v>
      </c>
      <c r="U40" cm="1">
        <f t="array" ref="U40">_xll.BDH(U$2 &amp; " US Equity","PX_LAST",$B40,$B40)</f>
        <v>137.9</v>
      </c>
      <c r="V40" cm="1">
        <f t="array" ref="V40">_xll.BDH(V$2 &amp; " US Equity","PX_LAST",$B40,$B40)</f>
        <v>45.4</v>
      </c>
      <c r="W40" cm="1">
        <f t="array" ref="W40">_xll.BDH(W$2 &amp; " US Equity","PX_LAST",$B40,$B40)</f>
        <v>183.56</v>
      </c>
      <c r="X40" cm="1">
        <f t="array" ref="X40">_xll.BDH(X$2 &amp; " US Equity","PX_LAST",$B40,$B40)</f>
        <v>56.83</v>
      </c>
      <c r="Y40" cm="1">
        <f t="array" ref="Y40">_xll.BDH(Y$2 &amp; " US Equity","PX_LAST",$B40,$B40)</f>
        <v>44.3</v>
      </c>
      <c r="Z40" cm="1">
        <f t="array" ref="Z40">_xll.BDH(Z$2 &amp; " US Equity","PX_LAST",$B40,$B40)</f>
        <v>346.07</v>
      </c>
      <c r="AA40" t="str" cm="1">
        <f t="array" ref="AA40">_xll.BDH(AA$2 &amp; " PE Equity","PX_LAST",$B40,$B40)</f>
        <v>#N/A N/A</v>
      </c>
      <c r="AB40" t="str" cm="1">
        <f t="array" ref="AB40">_xll.BDH(AB$2 &amp; " PE Equity","PX_LAST",$B40,$B40)</f>
        <v>#N/A N/A</v>
      </c>
      <c r="AC40" cm="1">
        <f t="array" ref="AC40">_xll.BDH(AC$2 &amp; " US Equity","PX_LAST",$B40,$B40)</f>
        <v>69.2</v>
      </c>
      <c r="AD40" cm="1">
        <f t="array" ref="AD40">_xll.BDH(AD$2 &amp; " US Equity","PX_LAST",$B40,$B40)</f>
        <v>673.11</v>
      </c>
      <c r="AE40" t="str" cm="1">
        <f t="array" ref="AE40">_xll.BDH(AE$2 &amp; " PE Equity","PX_LAST",$B40,$B40)</f>
        <v>#N/A Connection</v>
      </c>
      <c r="AF40" cm="1">
        <f t="array" ref="AF40">_xll.BDH(AF$2 &amp; " US Equity","PX_LAST",$B40,$B40)</f>
        <v>54.299300000000002</v>
      </c>
      <c r="AG40" cm="1">
        <f t="array" ref="AG40">_xll.BDH(AG$2 &amp; " US Equity","PX_LAST",$B40,$B40)</f>
        <v>13.3239</v>
      </c>
      <c r="AH40" cm="1">
        <f t="array" ref="AH40">_xll.BDH(AH$2 &amp; " US Equity","PX_LAST",$B40,$B40)</f>
        <v>611.44000000000005</v>
      </c>
      <c r="AI40" cm="1">
        <f t="array" ref="AI40">_xll.BDH(AI$2 &amp; " US Equity","PX_LAST",$B40,$B40)</f>
        <v>102.89</v>
      </c>
      <c r="AJ40" cm="1">
        <f t="array" ref="AJ40">_xll.BDH(AJ$2 &amp; " US Equity","PX_LAST",$B40,$B40)</f>
        <v>111.89</v>
      </c>
      <c r="AK40" cm="1">
        <f t="array" ref="AK40">_xll.BDH(AK$2 &amp; " US Equity","PX_LAST",$B40,$B40)</f>
        <v>118.2</v>
      </c>
      <c r="AL40" cm="1">
        <f t="array" ref="AL40">_xll.BDH(AL$2 &amp; " US Equity","PX_LAST",$B40,$B40)</f>
        <v>225.22</v>
      </c>
      <c r="AM40" cm="1">
        <f t="array" ref="AM40">_xll.BDH(AM$2 &amp; " US Equity","PX_LAST",$B40,$B40)</f>
        <v>54.44</v>
      </c>
      <c r="AN40" cm="1">
        <f t="array" ref="AN40">_xll.BDH(AN$2 &amp; " US Equity","PX_LAST",$B40,$B40)</f>
        <v>26.7774</v>
      </c>
      <c r="AO40" cm="1">
        <f t="array" ref="AO40">_xll.BDH(AO$2 &amp; " US Equity","PX_LAST",$B40,$B40)</f>
        <v>59.67</v>
      </c>
      <c r="AP40" cm="1">
        <f t="array" ref="AP40">_xll.BDH(AP$2 &amp; " US Equity","PX_LAST",$B40,$B40)</f>
        <v>6.47</v>
      </c>
      <c r="AQ40" cm="1">
        <f t="array" ref="AQ40">_xll.BDH(AQ$2 &amp; " US Equity","PX_LAST",$B40,$B40)</f>
        <v>119.63</v>
      </c>
      <c r="AR40" cm="1">
        <f t="array" ref="AR40">_xll.BDH(AR$2 &amp; " US Equity","PX_LAST",$B40,$B40)</f>
        <v>52.78</v>
      </c>
      <c r="AS40" cm="1">
        <f t="array" ref="AS40">_xll.BDH(AS$2 &amp; " US Equity","PX_LAST",$B40,$B40)</f>
        <v>121.425</v>
      </c>
      <c r="AT40" cm="1">
        <f t="array" ref="AT40">_xll.BDH(AT$2 &amp; " US Equity","PX_LAST",$B40,$B40)</f>
        <v>7.85</v>
      </c>
      <c r="AU40" cm="1">
        <f t="array" ref="AU40">_xll.BDH(AU$2 &amp; " US Equity","PX_LAST",$B40,$B40)</f>
        <v>369.92</v>
      </c>
      <c r="AV40" cm="1">
        <f t="array" ref="AV40">_xll.BDH(AV$2 &amp; " US Equity","PX_LAST",$B40,$B40)</f>
        <v>258.07</v>
      </c>
      <c r="AW40" cm="1">
        <f t="array" ref="AW40">_xll.BDH(AW$2 &amp; " US Equity","PX_LAST",$B40,$B40)</f>
        <v>124.73</v>
      </c>
    </row>
    <row r="41" spans="2:49">
      <c r="B41" s="13">
        <v>45939</v>
      </c>
      <c r="C41" cm="1">
        <f t="array" ref="C41">_xll.BDH(C$2 &amp; " US Equity","PX_LAST",$B41,$B41)</f>
        <v>237</v>
      </c>
      <c r="D41" cm="1">
        <f t="array" ref="D41">_xll.BDH(D$2 &amp; " PE Equity","PX_LAST",$B41,$B41)</f>
        <v>4.5</v>
      </c>
      <c r="E41" cm="1">
        <f t="array" ref="E41">_xll.BDH(E$2 &amp; " PE Equity","PX_LAST",$B41,$B41)</f>
        <v>1.78</v>
      </c>
      <c r="F41" cm="1">
        <f t="array" ref="F41">_xll.BDH(F$2 &amp; " PE Equity","PX_LAST",$B41,$B41)</f>
        <v>2.4700000000000002</v>
      </c>
      <c r="G41" cm="1">
        <f t="array" ref="G41">_xll.BDH(G$2 &amp; " US Equity","PX_LAST",$B41,$B41)</f>
        <v>22.91</v>
      </c>
      <c r="H41" cm="1">
        <f t="array" ref="H41">_xll.BDH(H$2 &amp; " PE Equity","PX_LAST",$B41,$B41)</f>
        <v>3.31</v>
      </c>
      <c r="I41" cm="1">
        <f t="array" ref="I41">_xll.BDH(I$2 &amp; " US Equity","PX_LAST",$B41,$B41)</f>
        <v>47.54</v>
      </c>
      <c r="J41" cm="1">
        <f t="array" ref="J41">_xll.BDH(J$2 &amp; " US Equity","PX_LAST",$B41,$B41)</f>
        <v>6.7282000000000002</v>
      </c>
      <c r="K41" cm="1">
        <f t="array" ref="K41">_xll.BDH(K$2 &amp; " US Equity","PX_LAST",$B41,$B41)</f>
        <v>48.67</v>
      </c>
      <c r="L41" cm="1">
        <f t="array" ref="L41">_xll.BDH(L$2 &amp; " US Equity","PX_LAST",$B41,$B41)</f>
        <v>53.93</v>
      </c>
      <c r="M41" cm="1">
        <f t="array" ref="M41">_xll.BDH(M$2 &amp; " US Equity","PX_LAST",$B41,$B41)</f>
        <v>261.24</v>
      </c>
      <c r="N41" cm="1">
        <f t="array" ref="N41">_xll.BDH(N$2 &amp; " US Equity","PX_LAST",$B41,$B41)</f>
        <v>33.74</v>
      </c>
      <c r="O41" cm="1">
        <f t="array" ref="O41">_xll.BDH(O$2 &amp; " US Equity","PX_LAST",$B41,$B41)</f>
        <v>29.67</v>
      </c>
      <c r="P41" cm="1">
        <f t="array" ref="P41">_xll.BDH(P$2 &amp; " US Equity","PX_LAST",$B41,$B41)</f>
        <v>16.14</v>
      </c>
      <c r="Q41" cm="1">
        <f t="array" ref="Q41">_xll.BDH(Q$2 &amp; " US Equity","PX_LAST",$B41,$B41)</f>
        <v>25.24</v>
      </c>
      <c r="R41" cm="1">
        <f t="array" ref="R41">_xll.BDH(R$2 &amp; " US Equity","PX_LAST",$B41,$B41)</f>
        <v>24.93</v>
      </c>
      <c r="S41" cm="1">
        <f t="array" ref="S41">_xll.BDH(S$2 &amp; " US Equity","PX_LAST",$B41,$B41)</f>
        <v>153.29</v>
      </c>
      <c r="T41" cm="1">
        <f t="array" ref="T41">_xll.BDH(T$2 &amp; " US Equity","PX_LAST",$B41,$B41)</f>
        <v>61.92</v>
      </c>
      <c r="U41" cm="1">
        <f t="array" ref="U41">_xll.BDH(U$2 &amp; " US Equity","PX_LAST",$B41,$B41)</f>
        <v>132.4</v>
      </c>
      <c r="V41" cm="1">
        <f t="array" ref="V41">_xll.BDH(V$2 &amp; " US Equity","PX_LAST",$B41,$B41)</f>
        <v>45.284999999999997</v>
      </c>
      <c r="W41" cm="1">
        <f t="array" ref="W41">_xll.BDH(W$2 &amp; " US Equity","PX_LAST",$B41,$B41)</f>
        <v>185.47</v>
      </c>
      <c r="X41" cm="1">
        <f t="array" ref="X41">_xll.BDH(X$2 &amp; " US Equity","PX_LAST",$B41,$B41)</f>
        <v>56.36</v>
      </c>
      <c r="Y41" cm="1">
        <f t="array" ref="Y41">_xll.BDH(Y$2 &amp; " US Equity","PX_LAST",$B41,$B41)</f>
        <v>43.89</v>
      </c>
      <c r="Z41" cm="1">
        <f t="array" ref="Z41">_xll.BDH(Z$2 &amp; " US Equity","PX_LAST",$B41,$B41)</f>
        <v>345.21</v>
      </c>
      <c r="AA41" cm="1">
        <f t="array" ref="AA41">_xll.BDH(AA$2 &amp; " PE Equity","PX_LAST",$B41,$B41)</f>
        <v>0.497</v>
      </c>
      <c r="AB41" cm="1">
        <f t="array" ref="AB41">_xll.BDH(AB$2 &amp; " PE Equity","PX_LAST",$B41,$B41)</f>
        <v>27</v>
      </c>
      <c r="AC41" cm="1">
        <f t="array" ref="AC41">_xll.BDH(AC$2 &amp; " US Equity","PX_LAST",$B41,$B41)</f>
        <v>68.69</v>
      </c>
      <c r="AD41" cm="1">
        <f t="array" ref="AD41">_xll.BDH(AD$2 &amp; " US Equity","PX_LAST",$B41,$B41)</f>
        <v>671.16</v>
      </c>
      <c r="AE41" t="str" cm="1">
        <f t="array" ref="AE41">_xll.BDH(AE$2 &amp; " PE Equity","PX_LAST",$B41,$B41)</f>
        <v>#N/A Connection</v>
      </c>
      <c r="AF41" cm="1">
        <f t="array" ref="AF41">_xll.BDH(AF$2 &amp; " US Equity","PX_LAST",$B41,$B41)</f>
        <v>54.295299999999997</v>
      </c>
      <c r="AG41" cm="1">
        <f t="array" ref="AG41">_xll.BDH(AG$2 &amp; " US Equity","PX_LAST",$B41,$B41)</f>
        <v>13.154999999999999</v>
      </c>
      <c r="AH41" cm="1">
        <f t="array" ref="AH41">_xll.BDH(AH$2 &amp; " US Equity","PX_LAST",$B41,$B41)</f>
        <v>610.70000000000005</v>
      </c>
      <c r="AI41" cm="1">
        <f t="array" ref="AI41">_xll.BDH(AI$2 &amp; " US Equity","PX_LAST",$B41,$B41)</f>
        <v>102.56</v>
      </c>
      <c r="AJ41" cm="1">
        <f t="array" ref="AJ41">_xll.BDH(AJ$2 &amp; " US Equity","PX_LAST",$B41,$B41)</f>
        <v>110.99</v>
      </c>
      <c r="AK41" cm="1">
        <f t="array" ref="AK41">_xll.BDH(AK$2 &amp; " US Equity","PX_LAST",$B41,$B41)</f>
        <v>117.61</v>
      </c>
      <c r="AL41" cm="1">
        <f t="array" ref="AL41">_xll.BDH(AL$2 &amp; " US Equity","PX_LAST",$B41,$B41)</f>
        <v>227.74</v>
      </c>
      <c r="AM41" cm="1">
        <f t="array" ref="AM41">_xll.BDH(AM$2 &amp; " US Equity","PX_LAST",$B41,$B41)</f>
        <v>54.225000000000001</v>
      </c>
      <c r="AN41" cm="1">
        <f t="array" ref="AN41">_xll.BDH(AN$2 &amp; " US Equity","PX_LAST",$B41,$B41)</f>
        <v>26.58</v>
      </c>
      <c r="AO41" cm="1">
        <f t="array" ref="AO41">_xll.BDH(AO$2 &amp; " US Equity","PX_LAST",$B41,$B41)</f>
        <v>58.86</v>
      </c>
      <c r="AP41" cm="1">
        <f t="array" ref="AP41">_xll.BDH(AP$2 &amp; " US Equity","PX_LAST",$B41,$B41)</f>
        <v>6.58</v>
      </c>
      <c r="AQ41" cm="1">
        <f t="array" ref="AQ41">_xll.BDH(AQ$2 &amp; " US Equity","PX_LAST",$B41,$B41)</f>
        <v>119.55</v>
      </c>
      <c r="AR41" cm="1">
        <f t="array" ref="AR41">_xll.BDH(AR$2 &amp; " US Equity","PX_LAST",$B41,$B41)</f>
        <v>54.46</v>
      </c>
      <c r="AS41" cm="1">
        <f t="array" ref="AS41">_xll.BDH(AS$2 &amp; " US Equity","PX_LAST",$B41,$B41)</f>
        <v>123.107</v>
      </c>
      <c r="AT41" cm="1">
        <f t="array" ref="AT41">_xll.BDH(AT$2 &amp; " US Equity","PX_LAST",$B41,$B41)</f>
        <v>7.46</v>
      </c>
      <c r="AU41" cm="1">
        <f t="array" ref="AU41">_xll.BDH(AU$2 &amp; " US Equity","PX_LAST",$B41,$B41)</f>
        <v>367.69</v>
      </c>
      <c r="AV41" cm="1">
        <f t="array" ref="AV41">_xll.BDH(AV$2 &amp; " US Equity","PX_LAST",$B41,$B41)</f>
        <v>256.69</v>
      </c>
      <c r="AW41" cm="1">
        <f t="array" ref="AW41">_xll.BDH(AW$2 &amp; " US Equity","PX_LAST",$B41,$B41)</f>
        <v>124.06</v>
      </c>
    </row>
    <row r="42" spans="2:49">
      <c r="B42" s="13">
        <v>45940</v>
      </c>
      <c r="C42" cm="1">
        <f t="array" ref="C42">_xll.BDH(C$2 &amp; " US Equity","PX_LAST",$B42,$B42)</f>
        <v>224.63</v>
      </c>
      <c r="D42" cm="1">
        <f t="array" ref="D42">_xll.BDH(D$2 &amp; " PE Equity","PX_LAST",$B42,$B42)</f>
        <v>4.49</v>
      </c>
      <c r="E42" t="str" cm="1">
        <f t="array" ref="E42">_xll.BDH(E$2 &amp; " PE Equity","PX_LAST",$B42,$B42)</f>
        <v>#N/A N/A</v>
      </c>
      <c r="F42" cm="1">
        <f t="array" ref="F42">_xll.BDH(F$2 &amp; " PE Equity","PX_LAST",$B42,$B42)</f>
        <v>2.42</v>
      </c>
      <c r="G42" cm="1">
        <f t="array" ref="G42">_xll.BDH(G$2 &amp; " US Equity","PX_LAST",$B42,$B42)</f>
        <v>21.02</v>
      </c>
      <c r="H42" cm="1">
        <f t="array" ref="H42">_xll.BDH(H$2 &amp; " PE Equity","PX_LAST",$B42,$B42)</f>
        <v>3.32</v>
      </c>
      <c r="I42" cm="1">
        <f t="array" ref="I42">_xll.BDH(I$2 &amp; " US Equity","PX_LAST",$B42,$B42)</f>
        <v>44.95</v>
      </c>
      <c r="J42" cm="1">
        <f t="array" ref="J42">_xll.BDH(J$2 &amp; " US Equity","PX_LAST",$B42,$B42)</f>
        <v>6.5631000000000004</v>
      </c>
      <c r="K42" cm="1">
        <f t="array" ref="K42">_xll.BDH(K$2 &amp; " US Equity","PX_LAST",$B42,$B42)</f>
        <v>48.33</v>
      </c>
      <c r="L42" cm="1">
        <f t="array" ref="L42">_xll.BDH(L$2 &amp; " US Equity","PX_LAST",$B42,$B42)</f>
        <v>51.94</v>
      </c>
      <c r="M42" cm="1">
        <f t="array" ref="M42">_xll.BDH(M$2 &amp; " US Equity","PX_LAST",$B42,$B42)</f>
        <v>254.99</v>
      </c>
      <c r="N42" cm="1">
        <f t="array" ref="N42">_xll.BDH(N$2 &amp; " US Equity","PX_LAST",$B42,$B42)</f>
        <v>33.4</v>
      </c>
      <c r="O42" cm="1">
        <f t="array" ref="O42">_xll.BDH(O$2 &amp; " US Equity","PX_LAST",$B42,$B42)</f>
        <v>28.79</v>
      </c>
      <c r="P42" cm="1">
        <f t="array" ref="P42">_xll.BDH(P$2 &amp; " US Equity","PX_LAST",$B42,$B42)</f>
        <v>15.78</v>
      </c>
      <c r="Q42" cm="1">
        <f t="array" ref="Q42">_xll.BDH(Q$2 &amp; " US Equity","PX_LAST",$B42,$B42)</f>
        <v>24.78</v>
      </c>
      <c r="R42" cm="1">
        <f t="array" ref="R42">_xll.BDH(R$2 &amp; " US Equity","PX_LAST",$B42,$B42)</f>
        <v>24.59</v>
      </c>
      <c r="S42" cm="1">
        <f t="array" ref="S42">_xll.BDH(S$2 &amp; " US Equity","PX_LAST",$B42,$B42)</f>
        <v>149.9</v>
      </c>
      <c r="T42" cm="1">
        <f t="array" ref="T42">_xll.BDH(T$2 &amp; " US Equity","PX_LAST",$B42,$B42)</f>
        <v>61.02</v>
      </c>
      <c r="U42" cm="1">
        <f t="array" ref="U42">_xll.BDH(U$2 &amp; " US Equity","PX_LAST",$B42,$B42)</f>
        <v>121.69</v>
      </c>
      <c r="V42" cm="1">
        <f t="array" ref="V42">_xll.BDH(V$2 &amp; " US Equity","PX_LAST",$B42,$B42)</f>
        <v>45.1</v>
      </c>
      <c r="W42" cm="1">
        <f t="array" ref="W42">_xll.BDH(W$2 &amp; " US Equity","PX_LAST",$B42,$B42)</f>
        <v>175.44</v>
      </c>
      <c r="X42" cm="1">
        <f t="array" ref="X42">_xll.BDH(X$2 &amp; " US Equity","PX_LAST",$B42,$B42)</f>
        <v>56.1</v>
      </c>
      <c r="Y42" cm="1">
        <f t="array" ref="Y42">_xll.BDH(Y$2 &amp; " US Equity","PX_LAST",$B42,$B42)</f>
        <v>43.29</v>
      </c>
      <c r="Z42" cm="1">
        <f t="array" ref="Z42">_xll.BDH(Z$2 &amp; " US Equity","PX_LAST",$B42,$B42)</f>
        <v>325.33999999999997</v>
      </c>
      <c r="AA42" cm="1">
        <f t="array" ref="AA42">_xll.BDH(AA$2 &amp; " PE Equity","PX_LAST",$B42,$B42)</f>
        <v>0.48499999999999999</v>
      </c>
      <c r="AB42" cm="1">
        <f t="array" ref="AB42">_xll.BDH(AB$2 &amp; " PE Equity","PX_LAST",$B42,$B42)</f>
        <v>26.8</v>
      </c>
      <c r="AC42" cm="1">
        <f t="array" ref="AC42">_xll.BDH(AC$2 &amp; " US Equity","PX_LAST",$B42,$B42)</f>
        <v>67.150000000000006</v>
      </c>
      <c r="AD42" cm="1">
        <f t="array" ref="AD42">_xll.BDH(AD$2 &amp; " US Equity","PX_LAST",$B42,$B42)</f>
        <v>653.02</v>
      </c>
      <c r="AE42" t="str" cm="1">
        <f t="array" ref="AE42">_xll.BDH(AE$2 &amp; " PE Equity","PX_LAST",$B42,$B42)</f>
        <v>#N/A Connection</v>
      </c>
      <c r="AF42" cm="1">
        <f t="array" ref="AF42">_xll.BDH(AF$2 &amp; " US Equity","PX_LAST",$B42,$B42)</f>
        <v>53.640599999999999</v>
      </c>
      <c r="AG42" cm="1">
        <f t="array" ref="AG42">_xll.BDH(AG$2 &amp; " US Equity","PX_LAST",$B42,$B42)</f>
        <v>12.74</v>
      </c>
      <c r="AH42" cm="1">
        <f t="array" ref="AH42">_xll.BDH(AH$2 &amp; " US Equity","PX_LAST",$B42,$B42)</f>
        <v>589.5</v>
      </c>
      <c r="AI42" cm="1">
        <f t="array" ref="AI42">_xll.BDH(AI$2 &amp; " US Equity","PX_LAST",$B42,$B42)</f>
        <v>99.13</v>
      </c>
      <c r="AJ42" cm="1">
        <f t="array" ref="AJ42">_xll.BDH(AJ$2 &amp; " US Equity","PX_LAST",$B42,$B42)</f>
        <v>109.19</v>
      </c>
      <c r="AK42" cm="1">
        <f t="array" ref="AK42">_xll.BDH(AK$2 &amp; " US Equity","PX_LAST",$B42,$B42)</f>
        <v>114.375</v>
      </c>
      <c r="AL42" cm="1">
        <f t="array" ref="AL42">_xll.BDH(AL$2 &amp; " US Equity","PX_LAST",$B42,$B42)</f>
        <v>216.37</v>
      </c>
      <c r="AM42" cm="1">
        <f t="array" ref="AM42">_xll.BDH(AM$2 &amp; " US Equity","PX_LAST",$B42,$B42)</f>
        <v>48.534999999999997</v>
      </c>
      <c r="AN42" cm="1">
        <f t="array" ref="AN42">_xll.BDH(AN$2 &amp; " US Equity","PX_LAST",$B42,$B42)</f>
        <v>24.59</v>
      </c>
      <c r="AO42" cm="1">
        <f t="array" ref="AO42">_xll.BDH(AO$2 &amp; " US Equity","PX_LAST",$B42,$B42)</f>
        <v>54.27</v>
      </c>
      <c r="AP42" cm="1">
        <f t="array" ref="AP42">_xll.BDH(AP$2 &amp; " US Equity","PX_LAST",$B42,$B42)</f>
        <v>6.55</v>
      </c>
      <c r="AQ42" cm="1">
        <f t="array" ref="AQ42">_xll.BDH(AQ$2 &amp; " US Equity","PX_LAST",$B42,$B42)</f>
        <v>119.57</v>
      </c>
      <c r="AR42" cm="1">
        <f t="array" ref="AR42">_xll.BDH(AR$2 &amp; " US Equity","PX_LAST",$B42,$B42)</f>
        <v>52.54</v>
      </c>
      <c r="AS42" cm="1">
        <f t="array" ref="AS42">_xll.BDH(AS$2 &amp; " US Equity","PX_LAST",$B42,$B42)</f>
        <v>122.008</v>
      </c>
      <c r="AT42" cm="1">
        <f t="array" ref="AT42">_xll.BDH(AT$2 &amp; " US Equity","PX_LAST",$B42,$B42)</f>
        <v>6.71</v>
      </c>
      <c r="AU42" cm="1">
        <f t="array" ref="AU42">_xll.BDH(AU$2 &amp; " US Equity","PX_LAST",$B42,$B42)</f>
        <v>354.5</v>
      </c>
      <c r="AV42" cm="1">
        <f t="array" ref="AV42">_xll.BDH(AV$2 &amp; " US Equity","PX_LAST",$B42,$B42)</f>
        <v>251.97</v>
      </c>
      <c r="AW42" cm="1">
        <f t="array" ref="AW42">_xll.BDH(AW$2 &amp; " US Equity","PX_LAST",$B42,$B42)</f>
        <v>117.82</v>
      </c>
    </row>
    <row r="43" spans="2:49">
      <c r="B43" s="13">
        <v>45941</v>
      </c>
      <c r="C43" t="str" cm="1">
        <f t="array" ref="C43">_xll.BDH(C$2 &amp; " US Equity","PX_LAST",$B43,$B43)</f>
        <v>#N/A N/A</v>
      </c>
      <c r="D43" t="str" cm="1">
        <f t="array" ref="D43">_xll.BDH(D$2 &amp; " PE Equity","PX_LAST",$B43,$B43)</f>
        <v>#N/A N/A</v>
      </c>
      <c r="E43" t="str" cm="1">
        <f t="array" ref="E43">_xll.BDH(E$2 &amp; " PE Equity","PX_LAST",$B43,$B43)</f>
        <v>#N/A N/A</v>
      </c>
      <c r="F43" t="str" cm="1">
        <f t="array" ref="F43">_xll.BDH(F$2 &amp; " PE Equity","PX_LAST",$B43,$B43)</f>
        <v>#N/A N/A</v>
      </c>
      <c r="G43" t="str" cm="1">
        <f t="array" ref="G43">_xll.BDH(G$2 &amp; " US Equity","PX_LAST",$B43,$B43)</f>
        <v>#N/A N/A</v>
      </c>
      <c r="H43" t="str" cm="1">
        <f t="array" ref="H43">_xll.BDH(H$2 &amp; " PE Equity","PX_LAST",$B43,$B43)</f>
        <v>#N/A N/A</v>
      </c>
      <c r="I43" t="str" cm="1">
        <f t="array" ref="I43">_xll.BDH(I$2 &amp; " US Equity","PX_LAST",$B43,$B43)</f>
        <v>#N/A N/A</v>
      </c>
      <c r="J43" t="str" cm="1">
        <f t="array" ref="J43">_xll.BDH(J$2 &amp; " US Equity","PX_LAST",$B43,$B43)</f>
        <v>#N/A N/A</v>
      </c>
      <c r="K43" t="str" cm="1">
        <f t="array" ref="K43">_xll.BDH(K$2 &amp; " US Equity","PX_LAST",$B43,$B43)</f>
        <v>#N/A N/A</v>
      </c>
      <c r="L43" t="str" cm="1">
        <f t="array" ref="L43">_xll.BDH(L$2 &amp; " US Equity","PX_LAST",$B43,$B43)</f>
        <v>#N/A N/A</v>
      </c>
      <c r="M43" t="str" cm="1">
        <f t="array" ref="M43">_xll.BDH(M$2 &amp; " US Equity","PX_LAST",$B43,$B43)</f>
        <v>#N/A N/A</v>
      </c>
      <c r="N43" t="str" cm="1">
        <f t="array" ref="N43">_xll.BDH(N$2 &amp; " US Equity","PX_LAST",$B43,$B43)</f>
        <v>#N/A N/A</v>
      </c>
      <c r="O43" t="str" cm="1">
        <f t="array" ref="O43">_xll.BDH(O$2 &amp; " US Equity","PX_LAST",$B43,$B43)</f>
        <v>#N/A N/A</v>
      </c>
      <c r="P43" t="str" cm="1">
        <f t="array" ref="P43">_xll.BDH(P$2 &amp; " US Equity","PX_LAST",$B43,$B43)</f>
        <v>#N/A N/A</v>
      </c>
      <c r="Q43" t="str" cm="1">
        <f t="array" ref="Q43">_xll.BDH(Q$2 &amp; " US Equity","PX_LAST",$B43,$B43)</f>
        <v>#N/A N/A</v>
      </c>
      <c r="R43" t="str" cm="1">
        <f t="array" ref="R43">_xll.BDH(R$2 &amp; " US Equity","PX_LAST",$B43,$B43)</f>
        <v>#N/A N/A</v>
      </c>
      <c r="S43" t="str" cm="1">
        <f t="array" ref="S43">_xll.BDH(S$2 &amp; " US Equity","PX_LAST",$B43,$B43)</f>
        <v>#N/A N/A</v>
      </c>
      <c r="T43" t="str" cm="1">
        <f t="array" ref="T43">_xll.BDH(T$2 &amp; " US Equity","PX_LAST",$B43,$B43)</f>
        <v>#N/A N/A</v>
      </c>
      <c r="U43" t="str" cm="1">
        <f t="array" ref="U43">_xll.BDH(U$2 &amp; " US Equity","PX_LAST",$B43,$B43)</f>
        <v>#N/A N/A</v>
      </c>
      <c r="V43" t="str" cm="1">
        <f t="array" ref="V43">_xll.BDH(V$2 &amp; " US Equity","PX_LAST",$B43,$B43)</f>
        <v>#N/A N/A</v>
      </c>
      <c r="W43" t="str" cm="1">
        <f t="array" ref="W43">_xll.BDH(W$2 &amp; " US Equity","PX_LAST",$B43,$B43)</f>
        <v>#N/A N/A</v>
      </c>
      <c r="X43" t="str" cm="1">
        <f t="array" ref="X43">_xll.BDH(X$2 &amp; " US Equity","PX_LAST",$B43,$B43)</f>
        <v>#N/A N/A</v>
      </c>
      <c r="Y43" t="str" cm="1">
        <f t="array" ref="Y43">_xll.BDH(Y$2 &amp; " US Equity","PX_LAST",$B43,$B43)</f>
        <v>#N/A N/A</v>
      </c>
      <c r="Z43" t="str" cm="1">
        <f t="array" ref="Z43">_xll.BDH(Z$2 &amp; " US Equity","PX_LAST",$B43,$B43)</f>
        <v>#N/A N/A</v>
      </c>
      <c r="AA43" t="str" cm="1">
        <f t="array" ref="AA43">_xll.BDH(AA$2 &amp; " PE Equity","PX_LAST",$B43,$B43)</f>
        <v>#N/A N/A</v>
      </c>
      <c r="AB43" t="str" cm="1">
        <f t="array" ref="AB43">_xll.BDH(AB$2 &amp; " PE Equity","PX_LAST",$B43,$B43)</f>
        <v>#N/A N/A</v>
      </c>
      <c r="AC43" t="str" cm="1">
        <f t="array" ref="AC43">_xll.BDH(AC$2 &amp; " US Equity","PX_LAST",$B43,$B43)</f>
        <v>#N/A N/A</v>
      </c>
      <c r="AD43" t="str" cm="1">
        <f t="array" ref="AD43">_xll.BDH(AD$2 &amp; " US Equity","PX_LAST",$B43,$B43)</f>
        <v>#N/A N/A</v>
      </c>
      <c r="AE43" t="str" cm="1">
        <f t="array" ref="AE43">_xll.BDH(AE$2 &amp; " PE Equity","PX_LAST",$B43,$B43)</f>
        <v>#N/A Connection</v>
      </c>
      <c r="AF43" t="str" cm="1">
        <f t="array" ref="AF43">_xll.BDH(AF$2 &amp; " US Equity","PX_LAST",$B43,$B43)</f>
        <v>#N/A N/A</v>
      </c>
      <c r="AG43" t="str" cm="1">
        <f t="array" ref="AG43">_xll.BDH(AG$2 &amp; " US Equity","PX_LAST",$B43,$B43)</f>
        <v>#N/A N/A</v>
      </c>
      <c r="AH43" t="str" cm="1">
        <f t="array" ref="AH43">_xll.BDH(AH$2 &amp; " US Equity","PX_LAST",$B43,$B43)</f>
        <v>#N/A N/A</v>
      </c>
      <c r="AI43" t="str" cm="1">
        <f t="array" ref="AI43">_xll.BDH(AI$2 &amp; " US Equity","PX_LAST",$B43,$B43)</f>
        <v>#N/A N/A</v>
      </c>
      <c r="AJ43" t="str" cm="1">
        <f t="array" ref="AJ43">_xll.BDH(AJ$2 &amp; " US Equity","PX_LAST",$B43,$B43)</f>
        <v>#N/A N/A</v>
      </c>
      <c r="AK43" t="str" cm="1">
        <f t="array" ref="AK43">_xll.BDH(AK$2 &amp; " US Equity","PX_LAST",$B43,$B43)</f>
        <v>#N/A N/A</v>
      </c>
      <c r="AL43" t="str" cm="1">
        <f t="array" ref="AL43">_xll.BDH(AL$2 &amp; " US Equity","PX_LAST",$B43,$B43)</f>
        <v>#N/A N/A</v>
      </c>
      <c r="AM43" t="str" cm="1">
        <f t="array" ref="AM43">_xll.BDH(AM$2 &amp; " US Equity","PX_LAST",$B43,$B43)</f>
        <v>#N/A N/A</v>
      </c>
      <c r="AN43" t="str" cm="1">
        <f t="array" ref="AN43">_xll.BDH(AN$2 &amp; " US Equity","PX_LAST",$B43,$B43)</f>
        <v>#N/A N/A</v>
      </c>
      <c r="AO43" t="str" cm="1">
        <f t="array" ref="AO43">_xll.BDH(AO$2 &amp; " US Equity","PX_LAST",$B43,$B43)</f>
        <v>#N/A N/A</v>
      </c>
      <c r="AP43" t="str" cm="1">
        <f t="array" ref="AP43">_xll.BDH(AP$2 &amp; " US Equity","PX_LAST",$B43,$B43)</f>
        <v>#N/A N/A</v>
      </c>
      <c r="AQ43" t="str" cm="1">
        <f t="array" ref="AQ43">_xll.BDH(AQ$2 &amp; " US Equity","PX_LAST",$B43,$B43)</f>
        <v>#N/A N/A</v>
      </c>
      <c r="AR43" t="str" cm="1">
        <f t="array" ref="AR43">_xll.BDH(AR$2 &amp; " US Equity","PX_LAST",$B43,$B43)</f>
        <v>#N/A N/A</v>
      </c>
      <c r="AS43" t="str" cm="1">
        <f t="array" ref="AS43">_xll.BDH(AS$2 &amp; " US Equity","PX_LAST",$B43,$B43)</f>
        <v>#N/A N/A</v>
      </c>
      <c r="AT43" t="str" cm="1">
        <f t="array" ref="AT43">_xll.BDH(AT$2 &amp; " US Equity","PX_LAST",$B43,$B43)</f>
        <v>#N/A N/A</v>
      </c>
      <c r="AU43" t="str" cm="1">
        <f t="array" ref="AU43">_xll.BDH(AU$2 &amp; " US Equity","PX_LAST",$B43,$B43)</f>
        <v>#N/A N/A</v>
      </c>
      <c r="AV43" t="str" cm="1">
        <f t="array" ref="AV43">_xll.BDH(AV$2 &amp; " US Equity","PX_LAST",$B43,$B43)</f>
        <v>#N/A N/A</v>
      </c>
      <c r="AW43" t="str" cm="1">
        <f t="array" ref="AW43">_xll.BDH(AW$2 &amp; " US Equity","PX_LAST",$B43,$B43)</f>
        <v>#N/A N/A</v>
      </c>
    </row>
    <row r="44" spans="2:49">
      <c r="B44" s="13">
        <v>45942</v>
      </c>
      <c r="C44" t="str" cm="1">
        <f t="array" ref="C44">_xll.BDH(C$2 &amp; " US Equity","PX_LAST",$B44,$B44)</f>
        <v>#N/A N/A</v>
      </c>
      <c r="D44" t="str" cm="1">
        <f t="array" ref="D44">_xll.BDH(D$2 &amp; " PE Equity","PX_LAST",$B44,$B44)</f>
        <v>#N/A N/A</v>
      </c>
      <c r="E44" t="str" cm="1">
        <f t="array" ref="E44">_xll.BDH(E$2 &amp; " PE Equity","PX_LAST",$B44,$B44)</f>
        <v>#N/A N/A</v>
      </c>
      <c r="F44" t="str" cm="1">
        <f t="array" ref="F44">_xll.BDH(F$2 &amp; " PE Equity","PX_LAST",$B44,$B44)</f>
        <v>#N/A N/A</v>
      </c>
      <c r="G44" t="str" cm="1">
        <f t="array" ref="G44">_xll.BDH(G$2 &amp; " US Equity","PX_LAST",$B44,$B44)</f>
        <v>#N/A N/A</v>
      </c>
      <c r="H44" t="str" cm="1">
        <f t="array" ref="H44">_xll.BDH(H$2 &amp; " PE Equity","PX_LAST",$B44,$B44)</f>
        <v>#N/A N/A</v>
      </c>
      <c r="I44" t="str" cm="1">
        <f t="array" ref="I44">_xll.BDH(I$2 &amp; " US Equity","PX_LAST",$B44,$B44)</f>
        <v>#N/A N/A</v>
      </c>
      <c r="J44" t="str" cm="1">
        <f t="array" ref="J44">_xll.BDH(J$2 &amp; " US Equity","PX_LAST",$B44,$B44)</f>
        <v>#N/A N/A</v>
      </c>
      <c r="K44" t="str" cm="1">
        <f t="array" ref="K44">_xll.BDH(K$2 &amp; " US Equity","PX_LAST",$B44,$B44)</f>
        <v>#N/A N/A</v>
      </c>
      <c r="L44" t="str" cm="1">
        <f t="array" ref="L44">_xll.BDH(L$2 &amp; " US Equity","PX_LAST",$B44,$B44)</f>
        <v>#N/A N/A</v>
      </c>
      <c r="M44" t="str" cm="1">
        <f t="array" ref="M44">_xll.BDH(M$2 &amp; " US Equity","PX_LAST",$B44,$B44)</f>
        <v>#N/A N/A</v>
      </c>
      <c r="N44" t="str" cm="1">
        <f t="array" ref="N44">_xll.BDH(N$2 &amp; " US Equity","PX_LAST",$B44,$B44)</f>
        <v>#N/A N/A</v>
      </c>
      <c r="O44" t="str" cm="1">
        <f t="array" ref="O44">_xll.BDH(O$2 &amp; " US Equity","PX_LAST",$B44,$B44)</f>
        <v>#N/A N/A</v>
      </c>
      <c r="P44" t="str" cm="1">
        <f t="array" ref="P44">_xll.BDH(P$2 &amp; " US Equity","PX_LAST",$B44,$B44)</f>
        <v>#N/A N/A</v>
      </c>
      <c r="Q44" t="str" cm="1">
        <f t="array" ref="Q44">_xll.BDH(Q$2 &amp; " US Equity","PX_LAST",$B44,$B44)</f>
        <v>#N/A N/A</v>
      </c>
      <c r="R44" t="str" cm="1">
        <f t="array" ref="R44">_xll.BDH(R$2 &amp; " US Equity","PX_LAST",$B44,$B44)</f>
        <v>#N/A N/A</v>
      </c>
      <c r="S44" t="str" cm="1">
        <f t="array" ref="S44">_xll.BDH(S$2 &amp; " US Equity","PX_LAST",$B44,$B44)</f>
        <v>#N/A N/A</v>
      </c>
      <c r="T44" t="str" cm="1">
        <f t="array" ref="T44">_xll.BDH(T$2 &amp; " US Equity","PX_LAST",$B44,$B44)</f>
        <v>#N/A N/A</v>
      </c>
      <c r="U44" t="str" cm="1">
        <f t="array" ref="U44">_xll.BDH(U$2 &amp; " US Equity","PX_LAST",$B44,$B44)</f>
        <v>#N/A N/A</v>
      </c>
      <c r="V44" t="str" cm="1">
        <f t="array" ref="V44">_xll.BDH(V$2 &amp; " US Equity","PX_LAST",$B44,$B44)</f>
        <v>#N/A N/A</v>
      </c>
      <c r="W44" t="str" cm="1">
        <f t="array" ref="W44">_xll.BDH(W$2 &amp; " US Equity","PX_LAST",$B44,$B44)</f>
        <v>#N/A N/A</v>
      </c>
      <c r="X44" t="str" cm="1">
        <f t="array" ref="X44">_xll.BDH(X$2 &amp; " US Equity","PX_LAST",$B44,$B44)</f>
        <v>#N/A N/A</v>
      </c>
      <c r="Y44" t="str" cm="1">
        <f t="array" ref="Y44">_xll.BDH(Y$2 &amp; " US Equity","PX_LAST",$B44,$B44)</f>
        <v>#N/A N/A</v>
      </c>
      <c r="Z44" t="str" cm="1">
        <f t="array" ref="Z44">_xll.BDH(Z$2 &amp; " US Equity","PX_LAST",$B44,$B44)</f>
        <v>#N/A N/A</v>
      </c>
      <c r="AA44" t="str" cm="1">
        <f t="array" ref="AA44">_xll.BDH(AA$2 &amp; " PE Equity","PX_LAST",$B44,$B44)</f>
        <v>#N/A N/A</v>
      </c>
      <c r="AB44" t="str" cm="1">
        <f t="array" ref="AB44">_xll.BDH(AB$2 &amp; " PE Equity","PX_LAST",$B44,$B44)</f>
        <v>#N/A N/A</v>
      </c>
      <c r="AC44" t="str" cm="1">
        <f t="array" ref="AC44">_xll.BDH(AC$2 &amp; " US Equity","PX_LAST",$B44,$B44)</f>
        <v>#N/A N/A</v>
      </c>
      <c r="AD44" t="str" cm="1">
        <f t="array" ref="AD44">_xll.BDH(AD$2 &amp; " US Equity","PX_LAST",$B44,$B44)</f>
        <v>#N/A N/A</v>
      </c>
      <c r="AE44" t="str" cm="1">
        <f t="array" ref="AE44">_xll.BDH(AE$2 &amp; " PE Equity","PX_LAST",$B44,$B44)</f>
        <v>#N/A Connection</v>
      </c>
      <c r="AF44" t="str" cm="1">
        <f t="array" ref="AF44">_xll.BDH(AF$2 &amp; " US Equity","PX_LAST",$B44,$B44)</f>
        <v>#N/A N/A</v>
      </c>
      <c r="AG44" t="str" cm="1">
        <f t="array" ref="AG44">_xll.BDH(AG$2 &amp; " US Equity","PX_LAST",$B44,$B44)</f>
        <v>#N/A N/A</v>
      </c>
      <c r="AH44" t="str" cm="1">
        <f t="array" ref="AH44">_xll.BDH(AH$2 &amp; " US Equity","PX_LAST",$B44,$B44)</f>
        <v>#N/A N/A</v>
      </c>
      <c r="AI44" t="str" cm="1">
        <f t="array" ref="AI44">_xll.BDH(AI$2 &amp; " US Equity","PX_LAST",$B44,$B44)</f>
        <v>#N/A N/A</v>
      </c>
      <c r="AJ44" t="str" cm="1">
        <f t="array" ref="AJ44">_xll.BDH(AJ$2 &amp; " US Equity","PX_LAST",$B44,$B44)</f>
        <v>#N/A N/A</v>
      </c>
      <c r="AK44" t="str" cm="1">
        <f t="array" ref="AK44">_xll.BDH(AK$2 &amp; " US Equity","PX_LAST",$B44,$B44)</f>
        <v>#N/A N/A</v>
      </c>
      <c r="AL44" t="str" cm="1">
        <f t="array" ref="AL44">_xll.BDH(AL$2 &amp; " US Equity","PX_LAST",$B44,$B44)</f>
        <v>#N/A N/A</v>
      </c>
      <c r="AM44" t="str" cm="1">
        <f t="array" ref="AM44">_xll.BDH(AM$2 &amp; " US Equity","PX_LAST",$B44,$B44)</f>
        <v>#N/A N/A</v>
      </c>
      <c r="AN44" t="str" cm="1">
        <f t="array" ref="AN44">_xll.BDH(AN$2 &amp; " US Equity","PX_LAST",$B44,$B44)</f>
        <v>#N/A N/A</v>
      </c>
      <c r="AO44" t="str" cm="1">
        <f t="array" ref="AO44">_xll.BDH(AO$2 &amp; " US Equity","PX_LAST",$B44,$B44)</f>
        <v>#N/A N/A</v>
      </c>
      <c r="AP44" t="str" cm="1">
        <f t="array" ref="AP44">_xll.BDH(AP$2 &amp; " US Equity","PX_LAST",$B44,$B44)</f>
        <v>#N/A N/A</v>
      </c>
      <c r="AQ44" t="str" cm="1">
        <f t="array" ref="AQ44">_xll.BDH(AQ$2 &amp; " US Equity","PX_LAST",$B44,$B44)</f>
        <v>#N/A N/A</v>
      </c>
      <c r="AR44" t="str" cm="1">
        <f t="array" ref="AR44">_xll.BDH(AR$2 &amp; " US Equity","PX_LAST",$B44,$B44)</f>
        <v>#N/A N/A</v>
      </c>
      <c r="AS44" t="str" cm="1">
        <f t="array" ref="AS44">_xll.BDH(AS$2 &amp; " US Equity","PX_LAST",$B44,$B44)</f>
        <v>#N/A N/A</v>
      </c>
      <c r="AT44" t="str" cm="1">
        <f t="array" ref="AT44">_xll.BDH(AT$2 &amp; " US Equity","PX_LAST",$B44,$B44)</f>
        <v>#N/A N/A</v>
      </c>
      <c r="AU44" t="str" cm="1">
        <f t="array" ref="AU44">_xll.BDH(AU$2 &amp; " US Equity","PX_LAST",$B44,$B44)</f>
        <v>#N/A N/A</v>
      </c>
      <c r="AV44" t="str" cm="1">
        <f t="array" ref="AV44">_xll.BDH(AV$2 &amp; " US Equity","PX_LAST",$B44,$B44)</f>
        <v>#N/A N/A</v>
      </c>
      <c r="AW44" t="str" cm="1">
        <f t="array" ref="AW44">_xll.BDH(AW$2 &amp; " US Equity","PX_LAST",$B44,$B44)</f>
        <v>#N/A N/A</v>
      </c>
    </row>
    <row r="45" spans="2:49">
      <c r="B45" s="13">
        <v>45943</v>
      </c>
      <c r="C45" cm="1">
        <f t="array" ref="C45">_xll.BDH(C$2 &amp; " US Equity","PX_LAST",$B45,$B45)</f>
        <v>229.65</v>
      </c>
      <c r="D45" cm="1">
        <f t="array" ref="D45">_xll.BDH(D$2 &amp; " PE Equity","PX_LAST",$B45,$B45)</f>
        <v>4.53</v>
      </c>
      <c r="E45" cm="1">
        <f t="array" ref="E45">_xll.BDH(E$2 &amp; " PE Equity","PX_LAST",$B45,$B45)</f>
        <v>1.78</v>
      </c>
      <c r="F45" cm="1">
        <f t="array" ref="F45">_xll.BDH(F$2 &amp; " PE Equity","PX_LAST",$B45,$B45)</f>
        <v>2.5</v>
      </c>
      <c r="G45" cm="1">
        <f t="array" ref="G45">_xll.BDH(G$2 &amp; " US Equity","PX_LAST",$B45,$B45)</f>
        <v>21.73</v>
      </c>
      <c r="H45" cm="1">
        <f t="array" ref="H45">_xll.BDH(H$2 &amp; " PE Equity","PX_LAST",$B45,$B45)</f>
        <v>3.39</v>
      </c>
      <c r="I45" cm="1">
        <f t="array" ref="I45">_xll.BDH(I$2 &amp; " US Equity","PX_LAST",$B45,$B45)</f>
        <v>46.32</v>
      </c>
      <c r="J45" cm="1">
        <f t="array" ref="J45">_xll.BDH(J$2 &amp; " US Equity","PX_LAST",$B45,$B45)</f>
        <v>6.6699000000000002</v>
      </c>
      <c r="K45" cm="1">
        <f t="array" ref="K45">_xll.BDH(K$2 &amp; " US Equity","PX_LAST",$B45,$B45)</f>
        <v>48.73</v>
      </c>
      <c r="L45" cm="1">
        <f t="array" ref="L45">_xll.BDH(L$2 &amp; " US Equity","PX_LAST",$B45,$B45)</f>
        <v>53.45</v>
      </c>
      <c r="M45" cm="1">
        <f t="array" ref="M45">_xll.BDH(M$2 &amp; " US Equity","PX_LAST",$B45,$B45)</f>
        <v>258</v>
      </c>
      <c r="N45" cm="1">
        <f t="array" ref="N45">_xll.BDH(N$2 &amp; " US Equity","PX_LAST",$B45,$B45)</f>
        <v>33.630000000000003</v>
      </c>
      <c r="O45" cm="1">
        <f t="array" ref="O45">_xll.BDH(O$2 &amp; " US Equity","PX_LAST",$B45,$B45)</f>
        <v>29.18</v>
      </c>
      <c r="P45" cm="1">
        <f t="array" ref="P45">_xll.BDH(P$2 &amp; " US Equity","PX_LAST",$B45,$B45)</f>
        <v>16.37</v>
      </c>
      <c r="Q45" cm="1">
        <f t="array" ref="Q45">_xll.BDH(Q$2 &amp; " US Equity","PX_LAST",$B45,$B45)</f>
        <v>24.73</v>
      </c>
      <c r="R45" cm="1">
        <f t="array" ref="R45">_xll.BDH(R$2 &amp; " US Equity","PX_LAST",$B45,$B45)</f>
        <v>25.64</v>
      </c>
      <c r="S45" cm="1">
        <f t="array" ref="S45">_xll.BDH(S$2 &amp; " US Equity","PX_LAST",$B45,$B45)</f>
        <v>151.46</v>
      </c>
      <c r="T45" cm="1">
        <f t="array" ref="T45">_xll.BDH(T$2 &amp; " US Equity","PX_LAST",$B45,$B45)</f>
        <v>61.48</v>
      </c>
      <c r="U45" cm="1">
        <f t="array" ref="U45">_xll.BDH(U$2 &amp; " US Equity","PX_LAST",$B45,$B45)</f>
        <v>125.72</v>
      </c>
      <c r="V45" cm="1">
        <f t="array" ref="V45">_xll.BDH(V$2 &amp; " US Equity","PX_LAST",$B45,$B45)</f>
        <v>45.445</v>
      </c>
      <c r="W45" cm="1">
        <f t="array" ref="W45">_xll.BDH(W$2 &amp; " US Equity","PX_LAST",$B45,$B45)</f>
        <v>177.21</v>
      </c>
      <c r="X45" cm="1">
        <f t="array" ref="X45">_xll.BDH(X$2 &amp; " US Equity","PX_LAST",$B45,$B45)</f>
        <v>56.08</v>
      </c>
      <c r="Y45" cm="1">
        <f t="array" ref="Y45">_xll.BDH(Y$2 &amp; " US Equity","PX_LAST",$B45,$B45)</f>
        <v>43.35</v>
      </c>
      <c r="Z45" cm="1">
        <f t="array" ref="Z45">_xll.BDH(Z$2 &amp; " US Equity","PX_LAST",$B45,$B45)</f>
        <v>339.75</v>
      </c>
      <c r="AA45" cm="1">
        <f t="array" ref="AA45">_xll.BDH(AA$2 &amp; " PE Equity","PX_LAST",$B45,$B45)</f>
        <v>0.51</v>
      </c>
      <c r="AB45" cm="1">
        <f t="array" ref="AB45">_xll.BDH(AB$2 &amp; " PE Equity","PX_LAST",$B45,$B45)</f>
        <v>26.9</v>
      </c>
      <c r="AC45" cm="1">
        <f t="array" ref="AC45">_xll.BDH(AC$2 &amp; " US Equity","PX_LAST",$B45,$B45)</f>
        <v>67.91</v>
      </c>
      <c r="AD45" cm="1">
        <f t="array" ref="AD45">_xll.BDH(AD$2 &amp; " US Equity","PX_LAST",$B45,$B45)</f>
        <v>663.04</v>
      </c>
      <c r="AE45" t="str" cm="1">
        <f t="array" ref="AE45">_xll.BDH(AE$2 &amp; " PE Equity","PX_LAST",$B45,$B45)</f>
        <v>#N/A Connection</v>
      </c>
      <c r="AF45" cm="1">
        <f t="array" ref="AF45">_xll.BDH(AF$2 &amp; " US Equity","PX_LAST",$B45,$B45)</f>
        <v>53.700600000000001</v>
      </c>
      <c r="AG45" cm="1">
        <f t="array" ref="AG45">_xll.BDH(AG$2 &amp; " US Equity","PX_LAST",$B45,$B45)</f>
        <v>12.885</v>
      </c>
      <c r="AH45" cm="1">
        <f t="array" ref="AH45">_xll.BDH(AH$2 &amp; " US Equity","PX_LAST",$B45,$B45)</f>
        <v>602.01</v>
      </c>
      <c r="AI45" cm="1">
        <f t="array" ref="AI45">_xll.BDH(AI$2 &amp; " US Equity","PX_LAST",$B45,$B45)</f>
        <v>101.25</v>
      </c>
      <c r="AJ45" cm="1">
        <f t="array" ref="AJ45">_xll.BDH(AJ$2 &amp; " US Equity","PX_LAST",$B45,$B45)</f>
        <v>110.27</v>
      </c>
      <c r="AK45" cm="1">
        <f t="array" ref="AK45">_xll.BDH(AK$2 &amp; " US Equity","PX_LAST",$B45,$B45)</f>
        <v>116.93</v>
      </c>
      <c r="AL45" cm="1">
        <f t="array" ref="AL45">_xll.BDH(AL$2 &amp; " US Equity","PX_LAST",$B45,$B45)</f>
        <v>220.07</v>
      </c>
      <c r="AM45" cm="1">
        <f t="array" ref="AM45">_xll.BDH(AM$2 &amp; " US Equity","PX_LAST",$B45,$B45)</f>
        <v>51.615000000000002</v>
      </c>
      <c r="AN45" cm="1">
        <f t="array" ref="AN45">_xll.BDH(AN$2 &amp; " US Equity","PX_LAST",$B45,$B45)</f>
        <v>25.47</v>
      </c>
      <c r="AO45" cm="1">
        <f t="array" ref="AO45">_xll.BDH(AO$2 &amp; " US Equity","PX_LAST",$B45,$B45)</f>
        <v>56.61</v>
      </c>
      <c r="AP45" cm="1">
        <f t="array" ref="AP45">_xll.BDH(AP$2 &amp; " US Equity","PX_LAST",$B45,$B45)</f>
        <v>6.56</v>
      </c>
      <c r="AQ45" cm="1">
        <f t="array" ref="AQ45">_xll.BDH(AQ$2 &amp; " US Equity","PX_LAST",$B45,$B45)</f>
        <v>119.27</v>
      </c>
      <c r="AR45" cm="1">
        <f t="array" ref="AR45">_xll.BDH(AR$2 &amp; " US Equity","PX_LAST",$B45,$B45)</f>
        <v>54.96</v>
      </c>
      <c r="AS45" cm="1">
        <f t="array" ref="AS45">_xll.BDH(AS$2 &amp; " US Equity","PX_LAST",$B45,$B45)</f>
        <v>121.90300000000001</v>
      </c>
      <c r="AT45" cm="1">
        <f t="array" ref="AT45">_xll.BDH(AT$2 &amp; " US Equity","PX_LAST",$B45,$B45)</f>
        <v>7.18</v>
      </c>
      <c r="AU45" cm="1">
        <f t="array" ref="AU45">_xll.BDH(AU$2 &amp; " US Equity","PX_LAST",$B45,$B45)</f>
        <v>358.66</v>
      </c>
      <c r="AV45" cm="1">
        <f t="array" ref="AV45">_xll.BDH(AV$2 &amp; " US Equity","PX_LAST",$B45,$B45)</f>
        <v>256.68</v>
      </c>
      <c r="AW45" cm="1">
        <f t="array" ref="AW45">_xll.BDH(AW$2 &amp; " US Equity","PX_LAST",$B45,$B45)</f>
        <v>120.44</v>
      </c>
    </row>
    <row r="46" spans="2:49">
      <c r="B46" s="13">
        <v>45944</v>
      </c>
      <c r="C46" cm="1">
        <f t="array" ref="C46">_xll.BDH(C$2 &amp; " US Equity","PX_LAST",$B46,$B46)</f>
        <v>234.67</v>
      </c>
      <c r="D46" cm="1">
        <f t="array" ref="D46">_xll.BDH(D$2 &amp; " PE Equity","PX_LAST",$B46,$B46)</f>
        <v>4.49</v>
      </c>
      <c r="E46" cm="1">
        <f t="array" ref="E46">_xll.BDH(E$2 &amp; " PE Equity","PX_LAST",$B46,$B46)</f>
        <v>1.78</v>
      </c>
      <c r="F46" cm="1">
        <f t="array" ref="F46">_xll.BDH(F$2 &amp; " PE Equity","PX_LAST",$B46,$B46)</f>
        <v>2.5</v>
      </c>
      <c r="G46" cm="1">
        <f t="array" ref="G46">_xll.BDH(G$2 &amp; " US Equity","PX_LAST",$B46,$B46)</f>
        <v>21.29</v>
      </c>
      <c r="H46" cm="1">
        <f t="array" ref="H46">_xll.BDH(H$2 &amp; " PE Equity","PX_LAST",$B46,$B46)</f>
        <v>3.37</v>
      </c>
      <c r="I46" cm="1">
        <f t="array" ref="I46">_xll.BDH(I$2 &amp; " US Equity","PX_LAST",$B46,$B46)</f>
        <v>46.89</v>
      </c>
      <c r="J46" cm="1">
        <f t="array" ref="J46">_xll.BDH(J$2 &amp; " US Equity","PX_LAST",$B46,$B46)</f>
        <v>6.6601999999999997</v>
      </c>
      <c r="K46" cm="1">
        <f t="array" ref="K46">_xll.BDH(K$2 &amp; " US Equity","PX_LAST",$B46,$B46)</f>
        <v>49.12</v>
      </c>
      <c r="L46" cm="1">
        <f t="array" ref="L46">_xll.BDH(L$2 &amp; " US Equity","PX_LAST",$B46,$B46)</f>
        <v>52.97</v>
      </c>
      <c r="M46" cm="1">
        <f t="array" ref="M46">_xll.BDH(M$2 &amp; " US Equity","PX_LAST",$B46,$B46)</f>
        <v>253.95</v>
      </c>
      <c r="N46" cm="1">
        <f t="array" ref="N46">_xll.BDH(N$2 &amp; " US Equity","PX_LAST",$B46,$B46)</f>
        <v>33.909999999999997</v>
      </c>
      <c r="O46" cm="1">
        <f t="array" ref="O46">_xll.BDH(O$2 &amp; " US Equity","PX_LAST",$B46,$B46)</f>
        <v>29.1</v>
      </c>
      <c r="P46" cm="1">
        <f t="array" ref="P46">_xll.BDH(P$2 &amp; " US Equity","PX_LAST",$B46,$B46)</f>
        <v>16.420000000000002</v>
      </c>
      <c r="Q46" cm="1">
        <f t="array" ref="Q46">_xll.BDH(Q$2 &amp; " US Equity","PX_LAST",$B46,$B46)</f>
        <v>24.52</v>
      </c>
      <c r="R46" cm="1">
        <f t="array" ref="R46">_xll.BDH(R$2 &amp; " US Equity","PX_LAST",$B46,$B46)</f>
        <v>25.28</v>
      </c>
      <c r="S46" cm="1">
        <f t="array" ref="S46">_xll.BDH(S$2 &amp; " US Equity","PX_LAST",$B46,$B46)</f>
        <v>153.24</v>
      </c>
      <c r="T46" cm="1">
        <f t="array" ref="T46">_xll.BDH(T$2 &amp; " US Equity","PX_LAST",$B46,$B46)</f>
        <v>61.83</v>
      </c>
      <c r="U46" cm="1">
        <f t="array" ref="U46">_xll.BDH(U$2 &amp; " US Equity","PX_LAST",$B46,$B46)</f>
        <v>119.94</v>
      </c>
      <c r="V46" cm="1">
        <f t="array" ref="V46">_xll.BDH(V$2 &amp; " US Equity","PX_LAST",$B46,$B46)</f>
        <v>45.85</v>
      </c>
      <c r="W46" cm="1">
        <f t="array" ref="W46">_xll.BDH(W$2 &amp; " US Equity","PX_LAST",$B46,$B46)</f>
        <v>179.74</v>
      </c>
      <c r="X46" cm="1">
        <f t="array" ref="X46">_xll.BDH(X$2 &amp; " US Equity","PX_LAST",$B46,$B46)</f>
        <v>56.33</v>
      </c>
      <c r="Y46" cm="1">
        <f t="array" ref="Y46">_xll.BDH(Y$2 &amp; " US Equity","PX_LAST",$B46,$B46)</f>
        <v>44.13</v>
      </c>
      <c r="Z46" cm="1">
        <f t="array" ref="Z46">_xll.BDH(Z$2 &amp; " US Equity","PX_LAST",$B46,$B46)</f>
        <v>333.5</v>
      </c>
      <c r="AA46" cm="1">
        <f t="array" ref="AA46">_xll.BDH(AA$2 &amp; " PE Equity","PX_LAST",$B46,$B46)</f>
        <v>0.51</v>
      </c>
      <c r="AB46" cm="1">
        <f t="array" ref="AB46">_xll.BDH(AB$2 &amp; " PE Equity","PX_LAST",$B46,$B46)</f>
        <v>26.5</v>
      </c>
      <c r="AC46" cm="1">
        <f t="array" ref="AC46">_xll.BDH(AC$2 &amp; " US Equity","PX_LAST",$B46,$B46)</f>
        <v>68.41</v>
      </c>
      <c r="AD46" cm="1">
        <f t="array" ref="AD46">_xll.BDH(AD$2 &amp; " US Equity","PX_LAST",$B46,$B46)</f>
        <v>662.23</v>
      </c>
      <c r="AE46" t="str" cm="1">
        <f t="array" ref="AE46">_xll.BDH(AE$2 &amp; " PE Equity","PX_LAST",$B46,$B46)</f>
        <v>#N/A Connection</v>
      </c>
      <c r="AF46" cm="1">
        <f t="array" ref="AF46">_xll.BDH(AF$2 &amp; " US Equity","PX_LAST",$B46,$B46)</f>
        <v>53.859099999999998</v>
      </c>
      <c r="AG46" cm="1">
        <f t="array" ref="AG46">_xll.BDH(AG$2 &amp; " US Equity","PX_LAST",$B46,$B46)</f>
        <v>12.8588</v>
      </c>
      <c r="AH46" cm="1">
        <f t="array" ref="AH46">_xll.BDH(AH$2 &amp; " US Equity","PX_LAST",$B46,$B46)</f>
        <v>598</v>
      </c>
      <c r="AI46" cm="1">
        <f t="array" ref="AI46">_xll.BDH(AI$2 &amp; " US Equity","PX_LAST",$B46,$B46)</f>
        <v>103.7</v>
      </c>
      <c r="AJ46" cm="1">
        <f t="array" ref="AJ46">_xll.BDH(AJ$2 &amp; " US Equity","PX_LAST",$B46,$B46)</f>
        <v>111.17</v>
      </c>
      <c r="AK46" cm="1">
        <f t="array" ref="AK46">_xll.BDH(AK$2 &amp; " US Equity","PX_LAST",$B46,$B46)</f>
        <v>117.175</v>
      </c>
      <c r="AL46" cm="1">
        <f t="array" ref="AL46">_xll.BDH(AL$2 &amp; " US Equity","PX_LAST",$B46,$B46)</f>
        <v>216.39</v>
      </c>
      <c r="AM46" cm="1">
        <f t="array" ref="AM46">_xll.BDH(AM$2 &amp; " US Equity","PX_LAST",$B46,$B46)</f>
        <v>50.564999999999998</v>
      </c>
      <c r="AN46" cm="1">
        <f t="array" ref="AN46">_xll.BDH(AN$2 &amp; " US Equity","PX_LAST",$B46,$B46)</f>
        <v>24.62</v>
      </c>
      <c r="AO46" cm="1">
        <f t="array" ref="AO46">_xll.BDH(AO$2 &amp; " US Equity","PX_LAST",$B46,$B46)</f>
        <v>54.95</v>
      </c>
      <c r="AP46" cm="1">
        <f t="array" ref="AP46">_xll.BDH(AP$2 &amp; " US Equity","PX_LAST",$B46,$B46)</f>
        <v>6.64</v>
      </c>
      <c r="AQ46" cm="1">
        <f t="array" ref="AQ46">_xll.BDH(AQ$2 &amp; " US Equity","PX_LAST",$B46,$B46)</f>
        <v>120.17</v>
      </c>
      <c r="AR46" cm="1">
        <f t="array" ref="AR46">_xll.BDH(AR$2 &amp; " US Equity","PX_LAST",$B46,$B46)</f>
        <v>54.55</v>
      </c>
      <c r="AS46" cm="1">
        <f t="array" ref="AS46">_xll.BDH(AS$2 &amp; " US Equity","PX_LAST",$B46,$B46)</f>
        <v>121.535</v>
      </c>
      <c r="AT46" cm="1">
        <f t="array" ref="AT46">_xll.BDH(AT$2 &amp; " US Equity","PX_LAST",$B46,$B46)</f>
        <v>6.8</v>
      </c>
      <c r="AU46" cm="1">
        <f t="array" ref="AU46">_xll.BDH(AU$2 &amp; " US Equity","PX_LAST",$B46,$B46)</f>
        <v>359.93</v>
      </c>
      <c r="AV46" cm="1">
        <f t="array" ref="AV46">_xll.BDH(AV$2 &amp; " US Equity","PX_LAST",$B46,$B46)</f>
        <v>257.72000000000003</v>
      </c>
      <c r="AW46" cm="1">
        <f t="array" ref="AW46">_xll.BDH(AW$2 &amp; " US Equity","PX_LAST",$B46,$B46)</f>
        <v>125.98</v>
      </c>
    </row>
    <row r="47" spans="2:49">
      <c r="B47" s="13">
        <v>45945</v>
      </c>
      <c r="C47" cm="1">
        <f t="array" ref="C47">_xll.BDH(C$2 &amp; " US Equity","PX_LAST",$B47,$B47)</f>
        <v>235.8</v>
      </c>
      <c r="D47" cm="1">
        <f t="array" ref="D47">_xll.BDH(D$2 &amp; " PE Equity","PX_LAST",$B47,$B47)</f>
        <v>4.5</v>
      </c>
      <c r="E47" cm="1">
        <f t="array" ref="E47">_xll.BDH(E$2 &amp; " PE Equity","PX_LAST",$B47,$B47)</f>
        <v>1.77</v>
      </c>
      <c r="F47" cm="1">
        <f t="array" ref="F47">_xll.BDH(F$2 &amp; " PE Equity","PX_LAST",$B47,$B47)</f>
        <v>2.4900000000000002</v>
      </c>
      <c r="G47" cm="1">
        <f t="array" ref="G47">_xll.BDH(G$2 &amp; " US Equity","PX_LAST",$B47,$B47)</f>
        <v>21.64</v>
      </c>
      <c r="H47" cm="1">
        <f t="array" ref="H47">_xll.BDH(H$2 &amp; " PE Equity","PX_LAST",$B47,$B47)</f>
        <v>3.37</v>
      </c>
      <c r="I47" cm="1">
        <f t="array" ref="I47">_xll.BDH(I$2 &amp; " US Equity","PX_LAST",$B47,$B47)</f>
        <v>48.93</v>
      </c>
      <c r="J47" cm="1">
        <f t="array" ref="J47">_xll.BDH(J$2 &amp; " US Equity","PX_LAST",$B47,$B47)</f>
        <v>6.6699000000000002</v>
      </c>
      <c r="K47" cm="1">
        <f t="array" ref="K47">_xll.BDH(K$2 &amp; " US Equity","PX_LAST",$B47,$B47)</f>
        <v>48.95</v>
      </c>
      <c r="L47" cm="1">
        <f t="array" ref="L47">_xll.BDH(L$2 &amp; " US Equity","PX_LAST",$B47,$B47)</f>
        <v>53.84</v>
      </c>
      <c r="M47" cm="1">
        <f t="array" ref="M47">_xll.BDH(M$2 &amp; " US Equity","PX_LAST",$B47,$B47)</f>
        <v>254.9</v>
      </c>
      <c r="N47" cm="1">
        <f t="array" ref="N47">_xll.BDH(N$2 &amp; " US Equity","PX_LAST",$B47,$B47)</f>
        <v>33.700000000000003</v>
      </c>
      <c r="O47" cm="1">
        <f t="array" ref="O47">_xll.BDH(O$2 &amp; " US Equity","PX_LAST",$B47,$B47)</f>
        <v>29.32</v>
      </c>
      <c r="P47" cm="1">
        <f t="array" ref="P47">_xll.BDH(P$2 &amp; " US Equity","PX_LAST",$B47,$B47)</f>
        <v>16.87</v>
      </c>
      <c r="Q47" cm="1">
        <f t="array" ref="Q47">_xll.BDH(Q$2 &amp; " US Equity","PX_LAST",$B47,$B47)</f>
        <v>24.39</v>
      </c>
      <c r="R47" cm="1">
        <f t="array" ref="R47">_xll.BDH(R$2 &amp; " US Equity","PX_LAST",$B47,$B47)</f>
        <v>25.54</v>
      </c>
      <c r="S47" cm="1">
        <f t="array" ref="S47">_xll.BDH(S$2 &amp; " US Equity","PX_LAST",$B47,$B47)</f>
        <v>152.6</v>
      </c>
      <c r="T47" cm="1">
        <f t="array" ref="T47">_xll.BDH(T$2 &amp; " US Equity","PX_LAST",$B47,$B47)</f>
        <v>61.99</v>
      </c>
      <c r="U47" cm="1">
        <f t="array" ref="U47">_xll.BDH(U$2 &amp; " US Equity","PX_LAST",$B47,$B47)</f>
        <v>121.58</v>
      </c>
      <c r="V47" cm="1">
        <f t="array" ref="V47">_xll.BDH(V$2 &amp; " US Equity","PX_LAST",$B47,$B47)</f>
        <v>46.45</v>
      </c>
      <c r="W47" cm="1">
        <f t="array" ref="W47">_xll.BDH(W$2 &amp; " US Equity","PX_LAST",$B47,$B47)</f>
        <v>179.62</v>
      </c>
      <c r="X47" cm="1">
        <f t="array" ref="X47">_xll.BDH(X$2 &amp; " US Equity","PX_LAST",$B47,$B47)</f>
        <v>56.64</v>
      </c>
      <c r="Y47" cm="1">
        <f t="array" ref="Y47">_xll.BDH(Y$2 &amp; " US Equity","PX_LAST",$B47,$B47)</f>
        <v>44.42</v>
      </c>
      <c r="Z47" cm="1">
        <f t="array" ref="Z47">_xll.BDH(Z$2 &amp; " US Equity","PX_LAST",$B47,$B47)</f>
        <v>341.78</v>
      </c>
      <c r="AA47" cm="1">
        <f t="array" ref="AA47">_xll.BDH(AA$2 &amp; " PE Equity","PX_LAST",$B47,$B47)</f>
        <v>0.57999999999999996</v>
      </c>
      <c r="AB47" cm="1">
        <f t="array" ref="AB47">_xll.BDH(AB$2 &amp; " PE Equity","PX_LAST",$B47,$B47)</f>
        <v>26.5</v>
      </c>
      <c r="AC47" cm="1">
        <f t="array" ref="AC47">_xll.BDH(AC$2 &amp; " US Equity","PX_LAST",$B47,$B47)</f>
        <v>68.819999999999993</v>
      </c>
      <c r="AD47" cm="1">
        <f t="array" ref="AD47">_xll.BDH(AD$2 &amp; " US Equity","PX_LAST",$B47,$B47)</f>
        <v>665.17</v>
      </c>
      <c r="AE47" t="str" cm="1">
        <f t="array" ref="AE47">_xll.BDH(AE$2 &amp; " PE Equity","PX_LAST",$B47,$B47)</f>
        <v>#N/A Connection</v>
      </c>
      <c r="AF47" cm="1">
        <f t="array" ref="AF47">_xll.BDH(AF$2 &amp; " US Equity","PX_LAST",$B47,$B47)</f>
        <v>54.119199999999999</v>
      </c>
      <c r="AG47" cm="1">
        <f t="array" ref="AG47">_xll.BDH(AG$2 &amp; " US Equity","PX_LAST",$B47,$B47)</f>
        <v>13.114100000000001</v>
      </c>
      <c r="AH47" cm="1">
        <f t="array" ref="AH47">_xll.BDH(AH$2 &amp; " US Equity","PX_LAST",$B47,$B47)</f>
        <v>602.22</v>
      </c>
      <c r="AI47" cm="1">
        <f t="array" ref="AI47">_xll.BDH(AI$2 &amp; " US Equity","PX_LAST",$B47,$B47)</f>
        <v>103.13</v>
      </c>
      <c r="AJ47" cm="1">
        <f t="array" ref="AJ47">_xll.BDH(AJ$2 &amp; " US Equity","PX_LAST",$B47,$B47)</f>
        <v>111.71</v>
      </c>
      <c r="AK47" cm="1">
        <f t="array" ref="AK47">_xll.BDH(AK$2 &amp; " US Equity","PX_LAST",$B47,$B47)</f>
        <v>117.345</v>
      </c>
      <c r="AL47" cm="1">
        <f t="array" ref="AL47">_xll.BDH(AL$2 &amp; " US Equity","PX_LAST",$B47,$B47)</f>
        <v>215.57</v>
      </c>
      <c r="AM47" cm="1">
        <f t="array" ref="AM47">_xll.BDH(AM$2 &amp; " US Equity","PX_LAST",$B47,$B47)</f>
        <v>51.6</v>
      </c>
      <c r="AN47" cm="1">
        <f t="array" ref="AN47">_xll.BDH(AN$2 &amp; " US Equity","PX_LAST",$B47,$B47)</f>
        <v>25.08</v>
      </c>
      <c r="AO47" cm="1">
        <f t="array" ref="AO47">_xll.BDH(AO$2 &amp; " US Equity","PX_LAST",$B47,$B47)</f>
        <v>55.55</v>
      </c>
      <c r="AP47" cm="1">
        <f t="array" ref="AP47">_xll.BDH(AP$2 &amp; " US Equity","PX_LAST",$B47,$B47)</f>
        <v>6.58</v>
      </c>
      <c r="AQ47" cm="1">
        <f t="array" ref="AQ47">_xll.BDH(AQ$2 &amp; " US Equity","PX_LAST",$B47,$B47)</f>
        <v>119.92</v>
      </c>
      <c r="AR47" cm="1">
        <f t="array" ref="AR47">_xll.BDH(AR$2 &amp; " US Equity","PX_LAST",$B47,$B47)</f>
        <v>55.4</v>
      </c>
      <c r="AS47" cm="1">
        <f t="array" ref="AS47">_xll.BDH(AS$2 &amp; " US Equity","PX_LAST",$B47,$B47)</f>
        <v>120.32899999999999</v>
      </c>
      <c r="AT47" cm="1">
        <f t="array" ref="AT47">_xll.BDH(AT$2 &amp; " US Equity","PX_LAST",$B47,$B47)</f>
        <v>6.82</v>
      </c>
      <c r="AU47" cm="1">
        <f t="array" ref="AU47">_xll.BDH(AU$2 &amp; " US Equity","PX_LAST",$B47,$B47)</f>
        <v>361.15</v>
      </c>
      <c r="AV47" cm="1">
        <f t="array" ref="AV47">_xll.BDH(AV$2 &amp; " US Equity","PX_LAST",$B47,$B47)</f>
        <v>261.5</v>
      </c>
      <c r="AW47" cm="1">
        <f t="array" ref="AW47">_xll.BDH(AW$2 &amp; " US Equity","PX_LAST",$B47,$B47)</f>
        <v>124.46</v>
      </c>
    </row>
    <row r="48" spans="2:49">
      <c r="B48" s="13">
        <v>45946</v>
      </c>
      <c r="C48" cm="1">
        <f t="array" ref="C48">_xll.BDH(C$2 &amp; " US Equity","PX_LAST",$B48,$B48)</f>
        <v>236.91</v>
      </c>
      <c r="D48" cm="1">
        <f t="array" ref="D48">_xll.BDH(D$2 &amp; " PE Equity","PX_LAST",$B48,$B48)</f>
        <v>4.55</v>
      </c>
      <c r="E48" cm="1">
        <f t="array" ref="E48">_xll.BDH(E$2 &amp; " PE Equity","PX_LAST",$B48,$B48)</f>
        <v>1.77</v>
      </c>
      <c r="F48" cm="1">
        <f t="array" ref="F48">_xll.BDH(F$2 &amp; " PE Equity","PX_LAST",$B48,$B48)</f>
        <v>2.5</v>
      </c>
      <c r="G48" cm="1">
        <f t="array" ref="G48">_xll.BDH(G$2 &amp; " US Equity","PX_LAST",$B48,$B48)</f>
        <v>21.37</v>
      </c>
      <c r="H48" cm="1">
        <f t="array" ref="H48">_xll.BDH(H$2 &amp; " PE Equity","PX_LAST",$B48,$B48)</f>
        <v>3.35</v>
      </c>
      <c r="I48" cm="1">
        <f t="array" ref="I48">_xll.BDH(I$2 &amp; " US Equity","PX_LAST",$B48,$B48)</f>
        <v>48.03</v>
      </c>
      <c r="J48" cm="1">
        <f t="array" ref="J48">_xll.BDH(J$2 &amp; " US Equity","PX_LAST",$B48,$B48)</f>
        <v>6.6601999999999997</v>
      </c>
      <c r="K48" cm="1">
        <f t="array" ref="K48">_xll.BDH(K$2 &amp; " US Equity","PX_LAST",$B48,$B48)</f>
        <v>49.43</v>
      </c>
      <c r="L48" cm="1">
        <f t="array" ref="L48">_xll.BDH(L$2 &amp; " US Equity","PX_LAST",$B48,$B48)</f>
        <v>54.19</v>
      </c>
      <c r="M48" cm="1">
        <f t="array" ref="M48">_xll.BDH(M$2 &amp; " US Equity","PX_LAST",$B48,$B48)</f>
        <v>252.65</v>
      </c>
      <c r="N48" cm="1">
        <f t="array" ref="N48">_xll.BDH(N$2 &amp; " US Equity","PX_LAST",$B48,$B48)</f>
        <v>33.630000000000003</v>
      </c>
      <c r="O48" cm="1">
        <f t="array" ref="O48">_xll.BDH(O$2 &amp; " US Equity","PX_LAST",$B48,$B48)</f>
        <v>29.24</v>
      </c>
      <c r="P48" cm="1">
        <f t="array" ref="P48">_xll.BDH(P$2 &amp; " US Equity","PX_LAST",$B48,$B48)</f>
        <v>16.79</v>
      </c>
      <c r="Q48" cm="1">
        <f t="array" ref="Q48">_xll.BDH(Q$2 &amp; " US Equity","PX_LAST",$B48,$B48)</f>
        <v>24.23</v>
      </c>
      <c r="R48" cm="1">
        <f t="array" ref="R48">_xll.BDH(R$2 &amp; " US Equity","PX_LAST",$B48,$B48)</f>
        <v>26.76</v>
      </c>
      <c r="S48" cm="1">
        <f t="array" ref="S48">_xll.BDH(S$2 &amp; " US Equity","PX_LAST",$B48,$B48)</f>
        <v>151.6</v>
      </c>
      <c r="T48" cm="1">
        <f t="array" ref="T48">_xll.BDH(T$2 &amp; " US Equity","PX_LAST",$B48,$B48)</f>
        <v>62.58</v>
      </c>
      <c r="U48" cm="1">
        <f t="array" ref="U48">_xll.BDH(U$2 &amp; " US Equity","PX_LAST",$B48,$B48)</f>
        <v>120.89</v>
      </c>
      <c r="V48" cm="1">
        <f t="array" ref="V48">_xll.BDH(V$2 &amp; " US Equity","PX_LAST",$B48,$B48)</f>
        <v>45.945</v>
      </c>
      <c r="W48" cm="1">
        <f t="array" ref="W48">_xll.BDH(W$2 &amp; " US Equity","PX_LAST",$B48,$B48)</f>
        <v>178.12</v>
      </c>
      <c r="X48" cm="1">
        <f t="array" ref="X48">_xll.BDH(X$2 &amp; " US Equity","PX_LAST",$B48,$B48)</f>
        <v>57.47</v>
      </c>
      <c r="Y48" cm="1">
        <f t="array" ref="Y48">_xll.BDH(Y$2 &amp; " US Equity","PX_LAST",$B48,$B48)</f>
        <v>45.15</v>
      </c>
      <c r="Z48" cm="1">
        <f t="array" ref="Z48">_xll.BDH(Z$2 &amp; " US Equity","PX_LAST",$B48,$B48)</f>
        <v>343.3</v>
      </c>
      <c r="AA48" cm="1">
        <f t="array" ref="AA48">_xll.BDH(AA$2 &amp; " PE Equity","PX_LAST",$B48,$B48)</f>
        <v>0.59</v>
      </c>
      <c r="AB48" cm="1">
        <f t="array" ref="AB48">_xll.BDH(AB$2 &amp; " PE Equity","PX_LAST",$B48,$B48)</f>
        <v>26.43</v>
      </c>
      <c r="AC48" cm="1">
        <f t="array" ref="AC48">_xll.BDH(AC$2 &amp; " US Equity","PX_LAST",$B48,$B48)</f>
        <v>68.19</v>
      </c>
      <c r="AD48" cm="1">
        <f t="array" ref="AD48">_xll.BDH(AD$2 &amp; " US Equity","PX_LAST",$B48,$B48)</f>
        <v>660.64</v>
      </c>
      <c r="AE48" t="str" cm="1">
        <f t="array" ref="AE48">_xll.BDH(AE$2 &amp; " PE Equity","PX_LAST",$B48,$B48)</f>
        <v>#N/A Connection</v>
      </c>
      <c r="AF48" cm="1">
        <f t="array" ref="AF48">_xll.BDH(AF$2 &amp; " US Equity","PX_LAST",$B48,$B48)</f>
        <v>54.254399999999997</v>
      </c>
      <c r="AG48" cm="1">
        <f t="array" ref="AG48">_xll.BDH(AG$2 &amp; " US Equity","PX_LAST",$B48,$B48)</f>
        <v>13.0175</v>
      </c>
      <c r="AH48" cm="1">
        <f t="array" ref="AH48">_xll.BDH(AH$2 &amp; " US Equity","PX_LAST",$B48,$B48)</f>
        <v>599.99</v>
      </c>
      <c r="AI48" cm="1">
        <f t="array" ref="AI48">_xll.BDH(AI$2 &amp; " US Equity","PX_LAST",$B48,$B48)</f>
        <v>99.85</v>
      </c>
      <c r="AJ48" cm="1">
        <f t="array" ref="AJ48">_xll.BDH(AJ$2 &amp; " US Equity","PX_LAST",$B48,$B48)</f>
        <v>109.88</v>
      </c>
      <c r="AK48" cm="1">
        <f t="array" ref="AK48">_xll.BDH(AK$2 &amp; " US Equity","PX_LAST",$B48,$B48)</f>
        <v>116.21</v>
      </c>
      <c r="AL48" cm="1">
        <f t="array" ref="AL48">_xll.BDH(AL$2 &amp; " US Equity","PX_LAST",$B48,$B48)</f>
        <v>214.47</v>
      </c>
      <c r="AM48" cm="1">
        <f t="array" ref="AM48">_xll.BDH(AM$2 &amp; " US Equity","PX_LAST",$B48,$B48)</f>
        <v>51.024999999999999</v>
      </c>
      <c r="AN48" cm="1">
        <f t="array" ref="AN48">_xll.BDH(AN$2 &amp; " US Equity","PX_LAST",$B48,$B48)</f>
        <v>25.05</v>
      </c>
      <c r="AO48" cm="1">
        <f t="array" ref="AO48">_xll.BDH(AO$2 &amp; " US Equity","PX_LAST",$B48,$B48)</f>
        <v>55.33</v>
      </c>
      <c r="AP48" cm="1">
        <f t="array" ref="AP48">_xll.BDH(AP$2 &amp; " US Equity","PX_LAST",$B48,$B48)</f>
        <v>6.39</v>
      </c>
      <c r="AQ48" cm="1">
        <f t="array" ref="AQ48">_xll.BDH(AQ$2 &amp; " US Equity","PX_LAST",$B48,$B48)</f>
        <v>119.7</v>
      </c>
      <c r="AR48" cm="1">
        <f t="array" ref="AR48">_xll.BDH(AR$2 &amp; " US Equity","PX_LAST",$B48,$B48)</f>
        <v>56.31</v>
      </c>
      <c r="AS48" cm="1">
        <f t="array" ref="AS48">_xll.BDH(AS$2 &amp; " US Equity","PX_LAST",$B48,$B48)</f>
        <v>118.35899999999999</v>
      </c>
      <c r="AT48" cm="1">
        <f t="array" ref="AT48">_xll.BDH(AT$2 &amp; " US Equity","PX_LAST",$B48,$B48)</f>
        <v>6.83</v>
      </c>
      <c r="AU48" cm="1">
        <f t="array" ref="AU48">_xll.BDH(AU$2 &amp; " US Equity","PX_LAST",$B48,$B48)</f>
        <v>356.67</v>
      </c>
      <c r="AV48" cm="1">
        <f t="array" ref="AV48">_xll.BDH(AV$2 &amp; " US Equity","PX_LAST",$B48,$B48)</f>
        <v>259.23</v>
      </c>
      <c r="AW48" cm="1">
        <f t="array" ref="AW48">_xll.BDH(AW$2 &amp; " US Equity","PX_LAST",$B48,$B48)</f>
        <v>117.52</v>
      </c>
    </row>
    <row r="49" spans="2:49">
      <c r="B49" s="13">
        <v>45947</v>
      </c>
      <c r="C49" cm="1">
        <f t="array" ref="C49">_xll.BDH(C$2 &amp; " US Equity","PX_LAST",$B49,$B49)</f>
        <v>237.8</v>
      </c>
      <c r="D49" cm="1">
        <f t="array" ref="D49">_xll.BDH(D$2 &amp; " PE Equity","PX_LAST",$B49,$B49)</f>
        <v>4.55</v>
      </c>
      <c r="E49" cm="1">
        <f t="array" ref="E49">_xll.BDH(E$2 &amp; " PE Equity","PX_LAST",$B49,$B49)</f>
        <v>1.77</v>
      </c>
      <c r="F49" cm="1">
        <f t="array" ref="F49">_xll.BDH(F$2 &amp; " PE Equity","PX_LAST",$B49,$B49)</f>
        <v>2.4700000000000002</v>
      </c>
      <c r="G49" cm="1">
        <f t="array" ref="G49">_xll.BDH(G$2 &amp; " US Equity","PX_LAST",$B49,$B49)</f>
        <v>21.2</v>
      </c>
      <c r="H49" cm="1">
        <f t="array" ref="H49">_xll.BDH(H$2 &amp; " PE Equity","PX_LAST",$B49,$B49)</f>
        <v>3.34</v>
      </c>
      <c r="I49" cm="1">
        <f t="array" ref="I49">_xll.BDH(I$2 &amp; " US Equity","PX_LAST",$B49,$B49)</f>
        <v>46.56</v>
      </c>
      <c r="J49" cm="1">
        <f t="array" ref="J49">_xll.BDH(J$2 &amp; " US Equity","PX_LAST",$B49,$B49)</f>
        <v>6.7282000000000002</v>
      </c>
      <c r="K49" cm="1">
        <f t="array" ref="K49">_xll.BDH(K$2 &amp; " US Equity","PX_LAST",$B49,$B49)</f>
        <v>49.47</v>
      </c>
      <c r="L49" cm="1">
        <f t="array" ref="L49">_xll.BDH(L$2 &amp; " US Equity","PX_LAST",$B49,$B49)</f>
        <v>54.18</v>
      </c>
      <c r="M49" cm="1">
        <f t="array" ref="M49">_xll.BDH(M$2 &amp; " US Equity","PX_LAST",$B49,$B49)</f>
        <v>254.06</v>
      </c>
      <c r="N49" cm="1">
        <f t="array" ref="N49">_xll.BDH(N$2 &amp; " US Equity","PX_LAST",$B49,$B49)</f>
        <v>33.229999999999997</v>
      </c>
      <c r="O49" cm="1">
        <f t="array" ref="O49">_xll.BDH(O$2 &amp; " US Equity","PX_LAST",$B49,$B49)</f>
        <v>29.71</v>
      </c>
      <c r="P49" cm="1">
        <f t="array" ref="P49">_xll.BDH(P$2 &amp; " US Equity","PX_LAST",$B49,$B49)</f>
        <v>16.53</v>
      </c>
      <c r="Q49" cm="1">
        <f t="array" ref="Q49">_xll.BDH(Q$2 &amp; " US Equity","PX_LAST",$B49,$B49)</f>
        <v>24.51</v>
      </c>
      <c r="R49" cm="1">
        <f t="array" ref="R49">_xll.BDH(R$2 &amp; " US Equity","PX_LAST",$B49,$B49)</f>
        <v>25.57</v>
      </c>
      <c r="S49" cm="1">
        <f t="array" ref="S49">_xll.BDH(S$2 &amp; " US Equity","PX_LAST",$B49,$B49)</f>
        <v>151.72999999999999</v>
      </c>
      <c r="T49" cm="1">
        <f t="array" ref="T49">_xll.BDH(T$2 &amp; " US Equity","PX_LAST",$B49,$B49)</f>
        <v>62.56</v>
      </c>
      <c r="U49" cm="1">
        <f t="array" ref="U49">_xll.BDH(U$2 &amp; " US Equity","PX_LAST",$B49,$B49)</f>
        <v>120.01</v>
      </c>
      <c r="V49" cm="1">
        <f t="array" ref="V49">_xll.BDH(V$2 &amp; " US Equity","PX_LAST",$B49,$B49)</f>
        <v>45.784999999999997</v>
      </c>
      <c r="W49" cm="1">
        <f t="array" ref="W49">_xll.BDH(W$2 &amp; " US Equity","PX_LAST",$B49,$B49)</f>
        <v>178.15</v>
      </c>
      <c r="X49" cm="1">
        <f t="array" ref="X49">_xll.BDH(X$2 &amp; " US Equity","PX_LAST",$B49,$B49)</f>
        <v>57.78</v>
      </c>
      <c r="Y49" cm="1">
        <f t="array" ref="Y49">_xll.BDH(Y$2 &amp; " US Equity","PX_LAST",$B49,$B49)</f>
        <v>45.23</v>
      </c>
      <c r="Z49" cm="1">
        <f t="array" ref="Z49">_xll.BDH(Z$2 &amp; " US Equity","PX_LAST",$B49,$B49)</f>
        <v>342.83</v>
      </c>
      <c r="AA49" cm="1">
        <f t="array" ref="AA49">_xll.BDH(AA$2 &amp; " PE Equity","PX_LAST",$B49,$B49)</f>
        <v>0.57999999999999996</v>
      </c>
      <c r="AB49" cm="1">
        <f t="array" ref="AB49">_xll.BDH(AB$2 &amp; " PE Equity","PX_LAST",$B49,$B49)</f>
        <v>26.4</v>
      </c>
      <c r="AC49" cm="1">
        <f t="array" ref="AC49">_xll.BDH(AC$2 &amp; " US Equity","PX_LAST",$B49,$B49)</f>
        <v>68.540000000000006</v>
      </c>
      <c r="AD49" cm="1">
        <f t="array" ref="AD49">_xll.BDH(AD$2 &amp; " US Equity","PX_LAST",$B49,$B49)</f>
        <v>664.39</v>
      </c>
      <c r="AE49" t="str" cm="1">
        <f t="array" ref="AE49">_xll.BDH(AE$2 &amp; " PE Equity","PX_LAST",$B49,$B49)</f>
        <v>#N/A Connection</v>
      </c>
      <c r="AF49" cm="1">
        <f t="array" ref="AF49">_xll.BDH(AF$2 &amp; " US Equity","PX_LAST",$B49,$B49)</f>
        <v>54.627099999999999</v>
      </c>
      <c r="AG49" cm="1">
        <f t="array" ref="AG49">_xll.BDH(AG$2 &amp; " US Equity","PX_LAST",$B49,$B49)</f>
        <v>13.17</v>
      </c>
      <c r="AH49" cm="1">
        <f t="array" ref="AH49">_xll.BDH(AH$2 &amp; " US Equity","PX_LAST",$B49,$B49)</f>
        <v>603.92999999999995</v>
      </c>
      <c r="AI49" cm="1">
        <f t="array" ref="AI49">_xll.BDH(AI$2 &amp; " US Equity","PX_LAST",$B49,$B49)</f>
        <v>100.67</v>
      </c>
      <c r="AJ49" cm="1">
        <f t="array" ref="AJ49">_xll.BDH(AJ$2 &amp; " US Equity","PX_LAST",$B49,$B49)</f>
        <v>110.67</v>
      </c>
      <c r="AK49" cm="1">
        <f t="array" ref="AK49">_xll.BDH(AK$2 &amp; " US Equity","PX_LAST",$B49,$B49)</f>
        <v>117.21</v>
      </c>
      <c r="AL49" cm="1">
        <f t="array" ref="AL49">_xll.BDH(AL$2 &amp; " US Equity","PX_LAST",$B49,$B49)</f>
        <v>213.04</v>
      </c>
      <c r="AM49" cm="1">
        <f t="array" ref="AM49">_xll.BDH(AM$2 &amp; " US Equity","PX_LAST",$B49,$B49)</f>
        <v>51.994999999999997</v>
      </c>
      <c r="AN49" cm="1">
        <f t="array" ref="AN49">_xll.BDH(AN$2 &amp; " US Equity","PX_LAST",$B49,$B49)</f>
        <v>24.59</v>
      </c>
      <c r="AO49" cm="1">
        <f t="array" ref="AO49">_xll.BDH(AO$2 &amp; " US Equity","PX_LAST",$B49,$B49)</f>
        <v>54.34</v>
      </c>
      <c r="AP49" cm="1">
        <f t="array" ref="AP49">_xll.BDH(AP$2 &amp; " US Equity","PX_LAST",$B49,$B49)</f>
        <v>6.31</v>
      </c>
      <c r="AQ49" cm="1">
        <f t="array" ref="AQ49">_xll.BDH(AQ$2 &amp; " US Equity","PX_LAST",$B49,$B49)</f>
        <v>121.44</v>
      </c>
      <c r="AR49" cm="1">
        <f t="array" ref="AR49">_xll.BDH(AR$2 &amp; " US Equity","PX_LAST",$B49,$B49)</f>
        <v>57</v>
      </c>
      <c r="AS49" cm="1">
        <f t="array" ref="AS49">_xll.BDH(AS$2 &amp; " US Equity","PX_LAST",$B49,$B49)</f>
        <v>119.93600000000001</v>
      </c>
      <c r="AT49" cm="1">
        <f t="array" ref="AT49">_xll.BDH(AT$2 &amp; " US Equity","PX_LAST",$B49,$B49)</f>
        <v>6.75</v>
      </c>
      <c r="AU49" cm="1">
        <f t="array" ref="AU49">_xll.BDH(AU$2 &amp; " US Equity","PX_LAST",$B49,$B49)</f>
        <v>356.6</v>
      </c>
      <c r="AV49" cm="1">
        <f t="array" ref="AV49">_xll.BDH(AV$2 &amp; " US Equity","PX_LAST",$B49,$B49)</f>
        <v>261.35000000000002</v>
      </c>
      <c r="AW49" cm="1">
        <f t="array" ref="AW49">_xll.BDH(AW$2 &amp; " US Equity","PX_LAST",$B49,$B49)</f>
        <v>117.6</v>
      </c>
    </row>
    <row r="50" spans="2:49">
      <c r="B50" s="13">
        <v>45948</v>
      </c>
      <c r="C50" t="str" cm="1">
        <f t="array" ref="C50">_xll.BDH(C$2 &amp; " US Equity","PX_LAST",$B50,$B50)</f>
        <v>#N/A N/A</v>
      </c>
      <c r="D50" t="str" cm="1">
        <f t="array" ref="D50">_xll.BDH(D$2 &amp; " PE Equity","PX_LAST",$B50,$B50)</f>
        <v>#N/A N/A</v>
      </c>
      <c r="E50" t="str" cm="1">
        <f t="array" ref="E50">_xll.BDH(E$2 &amp; " PE Equity","PX_LAST",$B50,$B50)</f>
        <v>#N/A N/A</v>
      </c>
      <c r="F50" t="str" cm="1">
        <f t="array" ref="F50">_xll.BDH(F$2 &amp; " PE Equity","PX_LAST",$B50,$B50)</f>
        <v>#N/A N/A</v>
      </c>
      <c r="G50" t="str" cm="1">
        <f t="array" ref="G50">_xll.BDH(G$2 &amp; " US Equity","PX_LAST",$B50,$B50)</f>
        <v>#N/A N/A</v>
      </c>
      <c r="H50" t="str" cm="1">
        <f t="array" ref="H50">_xll.BDH(H$2 &amp; " PE Equity","PX_LAST",$B50,$B50)</f>
        <v>#N/A N/A</v>
      </c>
      <c r="I50" t="str" cm="1">
        <f t="array" ref="I50">_xll.BDH(I$2 &amp; " US Equity","PX_LAST",$B50,$B50)</f>
        <v>#N/A N/A</v>
      </c>
      <c r="J50" t="str" cm="1">
        <f t="array" ref="J50">_xll.BDH(J$2 &amp; " US Equity","PX_LAST",$B50,$B50)</f>
        <v>#N/A N/A</v>
      </c>
      <c r="K50" t="str" cm="1">
        <f t="array" ref="K50">_xll.BDH(K$2 &amp; " US Equity","PX_LAST",$B50,$B50)</f>
        <v>#N/A N/A</v>
      </c>
      <c r="L50" t="str" cm="1">
        <f t="array" ref="L50">_xll.BDH(L$2 &amp; " US Equity","PX_LAST",$B50,$B50)</f>
        <v>#N/A N/A</v>
      </c>
      <c r="M50" t="str" cm="1">
        <f t="array" ref="M50">_xll.BDH(M$2 &amp; " US Equity","PX_LAST",$B50,$B50)</f>
        <v>#N/A N/A</v>
      </c>
      <c r="N50" t="str" cm="1">
        <f t="array" ref="N50">_xll.BDH(N$2 &amp; " US Equity","PX_LAST",$B50,$B50)</f>
        <v>#N/A N/A</v>
      </c>
      <c r="O50" t="str" cm="1">
        <f t="array" ref="O50">_xll.BDH(O$2 &amp; " US Equity","PX_LAST",$B50,$B50)</f>
        <v>#N/A N/A</v>
      </c>
      <c r="P50" t="str" cm="1">
        <f t="array" ref="P50">_xll.BDH(P$2 &amp; " US Equity","PX_LAST",$B50,$B50)</f>
        <v>#N/A N/A</v>
      </c>
      <c r="Q50" t="str" cm="1">
        <f t="array" ref="Q50">_xll.BDH(Q$2 &amp; " US Equity","PX_LAST",$B50,$B50)</f>
        <v>#N/A N/A</v>
      </c>
      <c r="R50" t="str" cm="1">
        <f t="array" ref="R50">_xll.BDH(R$2 &amp; " US Equity","PX_LAST",$B50,$B50)</f>
        <v>#N/A N/A</v>
      </c>
      <c r="S50" t="str" cm="1">
        <f t="array" ref="S50">_xll.BDH(S$2 &amp; " US Equity","PX_LAST",$B50,$B50)</f>
        <v>#N/A N/A</v>
      </c>
      <c r="T50" t="str" cm="1">
        <f t="array" ref="T50">_xll.BDH(T$2 &amp; " US Equity","PX_LAST",$B50,$B50)</f>
        <v>#N/A N/A</v>
      </c>
      <c r="U50" t="str" cm="1">
        <f t="array" ref="U50">_xll.BDH(U$2 &amp; " US Equity","PX_LAST",$B50,$B50)</f>
        <v>#N/A N/A</v>
      </c>
      <c r="V50" t="str" cm="1">
        <f t="array" ref="V50">_xll.BDH(V$2 &amp; " US Equity","PX_LAST",$B50,$B50)</f>
        <v>#N/A N/A</v>
      </c>
      <c r="W50" t="str" cm="1">
        <f t="array" ref="W50">_xll.BDH(W$2 &amp; " US Equity","PX_LAST",$B50,$B50)</f>
        <v>#N/A N/A</v>
      </c>
      <c r="X50" t="str" cm="1">
        <f t="array" ref="X50">_xll.BDH(X$2 &amp; " US Equity","PX_LAST",$B50,$B50)</f>
        <v>#N/A N/A</v>
      </c>
      <c r="Y50" t="str" cm="1">
        <f t="array" ref="Y50">_xll.BDH(Y$2 &amp; " US Equity","PX_LAST",$B50,$B50)</f>
        <v>#N/A N/A</v>
      </c>
      <c r="Z50" t="str" cm="1">
        <f t="array" ref="Z50">_xll.BDH(Z$2 &amp; " US Equity","PX_LAST",$B50,$B50)</f>
        <v>#N/A N/A</v>
      </c>
      <c r="AA50" t="str" cm="1">
        <f t="array" ref="AA50">_xll.BDH(AA$2 &amp; " PE Equity","PX_LAST",$B50,$B50)</f>
        <v>#N/A N/A</v>
      </c>
      <c r="AB50" t="str" cm="1">
        <f t="array" ref="AB50">_xll.BDH(AB$2 &amp; " PE Equity","PX_LAST",$B50,$B50)</f>
        <v>#N/A N/A</v>
      </c>
      <c r="AC50" t="str" cm="1">
        <f t="array" ref="AC50">_xll.BDH(AC$2 &amp; " US Equity","PX_LAST",$B50,$B50)</f>
        <v>#N/A N/A</v>
      </c>
      <c r="AD50" t="str" cm="1">
        <f t="array" ref="AD50">_xll.BDH(AD$2 &amp; " US Equity","PX_LAST",$B50,$B50)</f>
        <v>#N/A N/A</v>
      </c>
      <c r="AE50" t="str" cm="1">
        <f t="array" ref="AE50">_xll.BDH(AE$2 &amp; " PE Equity","PX_LAST",$B50,$B50)</f>
        <v>#N/A Connection</v>
      </c>
      <c r="AF50" t="str" cm="1">
        <f t="array" ref="AF50">_xll.BDH(AF$2 &amp; " US Equity","PX_LAST",$B50,$B50)</f>
        <v>#N/A N/A</v>
      </c>
      <c r="AG50" t="str" cm="1">
        <f t="array" ref="AG50">_xll.BDH(AG$2 &amp; " US Equity","PX_LAST",$B50,$B50)</f>
        <v>#N/A N/A</v>
      </c>
      <c r="AH50" t="str" cm="1">
        <f t="array" ref="AH50">_xll.BDH(AH$2 &amp; " US Equity","PX_LAST",$B50,$B50)</f>
        <v>#N/A N/A</v>
      </c>
      <c r="AI50" t="str" cm="1">
        <f t="array" ref="AI50">_xll.BDH(AI$2 &amp; " US Equity","PX_LAST",$B50,$B50)</f>
        <v>#N/A N/A</v>
      </c>
      <c r="AJ50" t="str" cm="1">
        <f t="array" ref="AJ50">_xll.BDH(AJ$2 &amp; " US Equity","PX_LAST",$B50,$B50)</f>
        <v>#N/A N/A</v>
      </c>
      <c r="AK50" t="str" cm="1">
        <f t="array" ref="AK50">_xll.BDH(AK$2 &amp; " US Equity","PX_LAST",$B50,$B50)</f>
        <v>#N/A N/A</v>
      </c>
      <c r="AL50" t="str" cm="1">
        <f t="array" ref="AL50">_xll.BDH(AL$2 &amp; " US Equity","PX_LAST",$B50,$B50)</f>
        <v>#N/A N/A</v>
      </c>
      <c r="AM50" t="str" cm="1">
        <f t="array" ref="AM50">_xll.BDH(AM$2 &amp; " US Equity","PX_LAST",$B50,$B50)</f>
        <v>#N/A N/A</v>
      </c>
      <c r="AN50" t="str" cm="1">
        <f t="array" ref="AN50">_xll.BDH(AN$2 &amp; " US Equity","PX_LAST",$B50,$B50)</f>
        <v>#N/A N/A</v>
      </c>
      <c r="AO50" t="str" cm="1">
        <f t="array" ref="AO50">_xll.BDH(AO$2 &amp; " US Equity","PX_LAST",$B50,$B50)</f>
        <v>#N/A N/A</v>
      </c>
      <c r="AP50" t="str" cm="1">
        <f t="array" ref="AP50">_xll.BDH(AP$2 &amp; " US Equity","PX_LAST",$B50,$B50)</f>
        <v>#N/A N/A</v>
      </c>
      <c r="AQ50" t="str" cm="1">
        <f t="array" ref="AQ50">_xll.BDH(AQ$2 &amp; " US Equity","PX_LAST",$B50,$B50)</f>
        <v>#N/A N/A</v>
      </c>
      <c r="AR50" t="str" cm="1">
        <f t="array" ref="AR50">_xll.BDH(AR$2 &amp; " US Equity","PX_LAST",$B50,$B50)</f>
        <v>#N/A N/A</v>
      </c>
      <c r="AS50" t="str" cm="1">
        <f t="array" ref="AS50">_xll.BDH(AS$2 &amp; " US Equity","PX_LAST",$B50,$B50)</f>
        <v>#N/A N/A</v>
      </c>
      <c r="AT50" t="str" cm="1">
        <f t="array" ref="AT50">_xll.BDH(AT$2 &amp; " US Equity","PX_LAST",$B50,$B50)</f>
        <v>#N/A N/A</v>
      </c>
      <c r="AU50" t="str" cm="1">
        <f t="array" ref="AU50">_xll.BDH(AU$2 &amp; " US Equity","PX_LAST",$B50,$B50)</f>
        <v>#N/A N/A</v>
      </c>
      <c r="AV50" t="str" cm="1">
        <f t="array" ref="AV50">_xll.BDH(AV$2 &amp; " US Equity","PX_LAST",$B50,$B50)</f>
        <v>#N/A N/A</v>
      </c>
      <c r="AW50" t="str" cm="1">
        <f t="array" ref="AW50">_xll.BDH(AW$2 &amp; " US Equity","PX_LAST",$B50,$B50)</f>
        <v>#N/A N/A</v>
      </c>
    </row>
    <row r="51" spans="2:49">
      <c r="B51" s="13">
        <v>45949</v>
      </c>
      <c r="C51" t="str" cm="1">
        <f t="array" ref="C51">_xll.BDH(C$2 &amp; " US Equity","PX_LAST",$B51,$B51)</f>
        <v>#N/A N/A</v>
      </c>
      <c r="D51" t="str" cm="1">
        <f t="array" ref="D51">_xll.BDH(D$2 &amp; " PE Equity","PX_LAST",$B51,$B51)</f>
        <v>#N/A N/A</v>
      </c>
      <c r="E51" t="str" cm="1">
        <f t="array" ref="E51">_xll.BDH(E$2 &amp; " PE Equity","PX_LAST",$B51,$B51)</f>
        <v>#N/A N/A</v>
      </c>
      <c r="F51" t="str" cm="1">
        <f t="array" ref="F51">_xll.BDH(F$2 &amp; " PE Equity","PX_LAST",$B51,$B51)</f>
        <v>#N/A N/A</v>
      </c>
      <c r="G51" t="str" cm="1">
        <f t="array" ref="G51">_xll.BDH(G$2 &amp; " US Equity","PX_LAST",$B51,$B51)</f>
        <v>#N/A N/A</v>
      </c>
      <c r="H51" t="str" cm="1">
        <f t="array" ref="H51">_xll.BDH(H$2 &amp; " PE Equity","PX_LAST",$B51,$B51)</f>
        <v>#N/A N/A</v>
      </c>
      <c r="I51" t="str" cm="1">
        <f t="array" ref="I51">_xll.BDH(I$2 &amp; " US Equity","PX_LAST",$B51,$B51)</f>
        <v>#N/A N/A</v>
      </c>
      <c r="J51" t="str" cm="1">
        <f t="array" ref="J51">_xll.BDH(J$2 &amp; " US Equity","PX_LAST",$B51,$B51)</f>
        <v>#N/A N/A</v>
      </c>
      <c r="K51" t="str" cm="1">
        <f t="array" ref="K51">_xll.BDH(K$2 &amp; " US Equity","PX_LAST",$B51,$B51)</f>
        <v>#N/A N/A</v>
      </c>
      <c r="L51" t="str" cm="1">
        <f t="array" ref="L51">_xll.BDH(L$2 &amp; " US Equity","PX_LAST",$B51,$B51)</f>
        <v>#N/A N/A</v>
      </c>
      <c r="M51" t="str" cm="1">
        <f t="array" ref="M51">_xll.BDH(M$2 &amp; " US Equity","PX_LAST",$B51,$B51)</f>
        <v>#N/A N/A</v>
      </c>
      <c r="N51" t="str" cm="1">
        <f t="array" ref="N51">_xll.BDH(N$2 &amp; " US Equity","PX_LAST",$B51,$B51)</f>
        <v>#N/A N/A</v>
      </c>
      <c r="O51" t="str" cm="1">
        <f t="array" ref="O51">_xll.BDH(O$2 &amp; " US Equity","PX_LAST",$B51,$B51)</f>
        <v>#N/A N/A</v>
      </c>
      <c r="P51" t="str" cm="1">
        <f t="array" ref="P51">_xll.BDH(P$2 &amp; " US Equity","PX_LAST",$B51,$B51)</f>
        <v>#N/A N/A</v>
      </c>
      <c r="Q51" t="str" cm="1">
        <f t="array" ref="Q51">_xll.BDH(Q$2 &amp; " US Equity","PX_LAST",$B51,$B51)</f>
        <v>#N/A N/A</v>
      </c>
      <c r="R51" t="str" cm="1">
        <f t="array" ref="R51">_xll.BDH(R$2 &amp; " US Equity","PX_LAST",$B51,$B51)</f>
        <v>#N/A N/A</v>
      </c>
      <c r="S51" t="str" cm="1">
        <f t="array" ref="S51">_xll.BDH(S$2 &amp; " US Equity","PX_LAST",$B51,$B51)</f>
        <v>#N/A N/A</v>
      </c>
      <c r="T51" t="str" cm="1">
        <f t="array" ref="T51">_xll.BDH(T$2 &amp; " US Equity","PX_LAST",$B51,$B51)</f>
        <v>#N/A N/A</v>
      </c>
      <c r="U51" t="str" cm="1">
        <f t="array" ref="U51">_xll.BDH(U$2 &amp; " US Equity","PX_LAST",$B51,$B51)</f>
        <v>#N/A N/A</v>
      </c>
      <c r="V51" t="str" cm="1">
        <f t="array" ref="V51">_xll.BDH(V$2 &amp; " US Equity","PX_LAST",$B51,$B51)</f>
        <v>#N/A N/A</v>
      </c>
      <c r="W51" t="str" cm="1">
        <f t="array" ref="W51">_xll.BDH(W$2 &amp; " US Equity","PX_LAST",$B51,$B51)</f>
        <v>#N/A N/A</v>
      </c>
      <c r="X51" t="str" cm="1">
        <f t="array" ref="X51">_xll.BDH(X$2 &amp; " US Equity","PX_LAST",$B51,$B51)</f>
        <v>#N/A N/A</v>
      </c>
      <c r="Y51" t="str" cm="1">
        <f t="array" ref="Y51">_xll.BDH(Y$2 &amp; " US Equity","PX_LAST",$B51,$B51)</f>
        <v>#N/A N/A</v>
      </c>
      <c r="Z51" t="str" cm="1">
        <f t="array" ref="Z51">_xll.BDH(Z$2 &amp; " US Equity","PX_LAST",$B51,$B51)</f>
        <v>#N/A N/A</v>
      </c>
      <c r="AA51" t="str" cm="1">
        <f t="array" ref="AA51">_xll.BDH(AA$2 &amp; " PE Equity","PX_LAST",$B51,$B51)</f>
        <v>#N/A N/A</v>
      </c>
      <c r="AB51" t="str" cm="1">
        <f t="array" ref="AB51">_xll.BDH(AB$2 &amp; " PE Equity","PX_LAST",$B51,$B51)</f>
        <v>#N/A N/A</v>
      </c>
      <c r="AC51" t="str" cm="1">
        <f t="array" ref="AC51">_xll.BDH(AC$2 &amp; " US Equity","PX_LAST",$B51,$B51)</f>
        <v>#N/A N/A</v>
      </c>
      <c r="AD51" t="str" cm="1">
        <f t="array" ref="AD51">_xll.BDH(AD$2 &amp; " US Equity","PX_LAST",$B51,$B51)</f>
        <v>#N/A N/A</v>
      </c>
      <c r="AE51" t="str" cm="1">
        <f t="array" ref="AE51">_xll.BDH(AE$2 &amp; " PE Equity","PX_LAST",$B51,$B51)</f>
        <v>#N/A Connection</v>
      </c>
      <c r="AF51" t="str" cm="1">
        <f t="array" ref="AF51">_xll.BDH(AF$2 &amp; " US Equity","PX_LAST",$B51,$B51)</f>
        <v>#N/A N/A</v>
      </c>
      <c r="AG51" t="str" cm="1">
        <f t="array" ref="AG51">_xll.BDH(AG$2 &amp; " US Equity","PX_LAST",$B51,$B51)</f>
        <v>#N/A N/A</v>
      </c>
      <c r="AH51" t="str" cm="1">
        <f t="array" ref="AH51">_xll.BDH(AH$2 &amp; " US Equity","PX_LAST",$B51,$B51)</f>
        <v>#N/A N/A</v>
      </c>
      <c r="AI51" t="str" cm="1">
        <f t="array" ref="AI51">_xll.BDH(AI$2 &amp; " US Equity","PX_LAST",$B51,$B51)</f>
        <v>#N/A N/A</v>
      </c>
      <c r="AJ51" t="str" cm="1">
        <f t="array" ref="AJ51">_xll.BDH(AJ$2 &amp; " US Equity","PX_LAST",$B51,$B51)</f>
        <v>#N/A N/A</v>
      </c>
      <c r="AK51" t="str" cm="1">
        <f t="array" ref="AK51">_xll.BDH(AK$2 &amp; " US Equity","PX_LAST",$B51,$B51)</f>
        <v>#N/A N/A</v>
      </c>
      <c r="AL51" t="str" cm="1">
        <f t="array" ref="AL51">_xll.BDH(AL$2 &amp; " US Equity","PX_LAST",$B51,$B51)</f>
        <v>#N/A N/A</v>
      </c>
      <c r="AM51" t="str" cm="1">
        <f t="array" ref="AM51">_xll.BDH(AM$2 &amp; " US Equity","PX_LAST",$B51,$B51)</f>
        <v>#N/A N/A</v>
      </c>
      <c r="AN51" t="str" cm="1">
        <f t="array" ref="AN51">_xll.BDH(AN$2 &amp; " US Equity","PX_LAST",$B51,$B51)</f>
        <v>#N/A N/A</v>
      </c>
      <c r="AO51" t="str" cm="1">
        <f t="array" ref="AO51">_xll.BDH(AO$2 &amp; " US Equity","PX_LAST",$B51,$B51)</f>
        <v>#N/A N/A</v>
      </c>
      <c r="AP51" t="str" cm="1">
        <f t="array" ref="AP51">_xll.BDH(AP$2 &amp; " US Equity","PX_LAST",$B51,$B51)</f>
        <v>#N/A N/A</v>
      </c>
      <c r="AQ51" t="str" cm="1">
        <f t="array" ref="AQ51">_xll.BDH(AQ$2 &amp; " US Equity","PX_LAST",$B51,$B51)</f>
        <v>#N/A N/A</v>
      </c>
      <c r="AR51" t="str" cm="1">
        <f t="array" ref="AR51">_xll.BDH(AR$2 &amp; " US Equity","PX_LAST",$B51,$B51)</f>
        <v>#N/A N/A</v>
      </c>
      <c r="AS51" t="str" cm="1">
        <f t="array" ref="AS51">_xll.BDH(AS$2 &amp; " US Equity","PX_LAST",$B51,$B51)</f>
        <v>#N/A N/A</v>
      </c>
      <c r="AT51" t="str" cm="1">
        <f t="array" ref="AT51">_xll.BDH(AT$2 &amp; " US Equity","PX_LAST",$B51,$B51)</f>
        <v>#N/A N/A</v>
      </c>
      <c r="AU51" t="str" cm="1">
        <f t="array" ref="AU51">_xll.BDH(AU$2 &amp; " US Equity","PX_LAST",$B51,$B51)</f>
        <v>#N/A N/A</v>
      </c>
      <c r="AV51" t="str" cm="1">
        <f t="array" ref="AV51">_xll.BDH(AV$2 &amp; " US Equity","PX_LAST",$B51,$B51)</f>
        <v>#N/A N/A</v>
      </c>
      <c r="AW51" t="str" cm="1">
        <f t="array" ref="AW51">_xll.BDH(AW$2 &amp; " US Equity","PX_LAST",$B51,$B51)</f>
        <v>#N/A N/A</v>
      </c>
    </row>
    <row r="52" spans="2:49">
      <c r="B52" s="13">
        <v>45950</v>
      </c>
      <c r="C52" cm="1">
        <f t="array" ref="C52">_xll.BDH(C$2 &amp; " US Equity","PX_LAST",$B52,$B52)</f>
        <v>239.81</v>
      </c>
      <c r="D52" cm="1">
        <f t="array" ref="D52">_xll.BDH(D$2 &amp; " PE Equity","PX_LAST",$B52,$B52)</f>
        <v>4.53</v>
      </c>
      <c r="E52" cm="1">
        <f t="array" ref="E52">_xll.BDH(E$2 &amp; " PE Equity","PX_LAST",$B52,$B52)</f>
        <v>1.75</v>
      </c>
      <c r="F52" cm="1">
        <f t="array" ref="F52">_xll.BDH(F$2 &amp; " PE Equity","PX_LAST",$B52,$B52)</f>
        <v>2.48</v>
      </c>
      <c r="G52" cm="1">
        <f t="array" ref="G52">_xll.BDH(G$2 &amp; " US Equity","PX_LAST",$B52,$B52)</f>
        <v>21.46</v>
      </c>
      <c r="H52" cm="1">
        <f t="array" ref="H52">_xll.BDH(H$2 &amp; " PE Equity","PX_LAST",$B52,$B52)</f>
        <v>3.35</v>
      </c>
      <c r="I52" cm="1">
        <f t="array" ref="I52">_xll.BDH(I$2 &amp; " US Equity","PX_LAST",$B52,$B52)</f>
        <v>47.24</v>
      </c>
      <c r="J52" cm="1">
        <f t="array" ref="J52">_xll.BDH(J$2 &amp; " US Equity","PX_LAST",$B52,$B52)</f>
        <v>6.9126000000000003</v>
      </c>
      <c r="K52" cm="1">
        <f t="array" ref="K52">_xll.BDH(K$2 &amp; " US Equity","PX_LAST",$B52,$B52)</f>
        <v>49.92</v>
      </c>
      <c r="L52" cm="1">
        <f t="array" ref="L52">_xll.BDH(L$2 &amp; " US Equity","PX_LAST",$B52,$B52)</f>
        <v>54.92</v>
      </c>
      <c r="M52" cm="1">
        <f t="array" ref="M52">_xll.BDH(M$2 &amp; " US Equity","PX_LAST",$B52,$B52)</f>
        <v>253.57</v>
      </c>
      <c r="N52" cm="1">
        <f t="array" ref="N52">_xll.BDH(N$2 &amp; " US Equity","PX_LAST",$B52,$B52)</f>
        <v>33.36</v>
      </c>
      <c r="O52" cm="1">
        <f t="array" ref="O52">_xll.BDH(O$2 &amp; " US Equity","PX_LAST",$B52,$B52)</f>
        <v>30.22</v>
      </c>
      <c r="P52" cm="1">
        <f t="array" ref="P52">_xll.BDH(P$2 &amp; " US Equity","PX_LAST",$B52,$B52)</f>
        <v>16.600000000000001</v>
      </c>
      <c r="Q52" cm="1">
        <f t="array" ref="Q52">_xll.BDH(Q$2 &amp; " US Equity","PX_LAST",$B52,$B52)</f>
        <v>24.69</v>
      </c>
      <c r="R52" cm="1">
        <f t="array" ref="R52">_xll.BDH(R$2 &amp; " US Equity","PX_LAST",$B52,$B52)</f>
        <v>25.65</v>
      </c>
      <c r="S52" cm="1">
        <f t="array" ref="S52">_xll.BDH(S$2 &amp; " US Equity","PX_LAST",$B52,$B52)</f>
        <v>153.52000000000001</v>
      </c>
      <c r="T52" cm="1">
        <f t="array" ref="T52">_xll.BDH(T$2 &amp; " US Equity","PX_LAST",$B52,$B52)</f>
        <v>62.88</v>
      </c>
      <c r="U52" cm="1">
        <f t="array" ref="U52">_xll.BDH(U$2 &amp; " US Equity","PX_LAST",$B52,$B52)</f>
        <v>122.12</v>
      </c>
      <c r="V52" cm="1">
        <f t="array" ref="V52">_xll.BDH(V$2 &amp; " US Equity","PX_LAST",$B52,$B52)</f>
        <v>45.77</v>
      </c>
      <c r="W52" cm="1">
        <f t="array" ref="W52">_xll.BDH(W$2 &amp; " US Equity","PX_LAST",$B52,$B52)</f>
        <v>181.59</v>
      </c>
      <c r="X52" cm="1">
        <f t="array" ref="X52">_xll.BDH(X$2 &amp; " US Equity","PX_LAST",$B52,$B52)</f>
        <v>57.68</v>
      </c>
      <c r="Y52" cm="1">
        <f t="array" ref="Y52">_xll.BDH(Y$2 &amp; " US Equity","PX_LAST",$B52,$B52)</f>
        <v>45.2</v>
      </c>
      <c r="Z52" cm="1">
        <f t="array" ref="Z52">_xll.BDH(Z$2 &amp; " US Equity","PX_LAST",$B52,$B52)</f>
        <v>347.22</v>
      </c>
      <c r="AA52" cm="1">
        <f t="array" ref="AA52">_xll.BDH(AA$2 &amp; " PE Equity","PX_LAST",$B52,$B52)</f>
        <v>0.55000000000000004</v>
      </c>
      <c r="AB52" cm="1">
        <f t="array" ref="AB52">_xll.BDH(AB$2 &amp; " PE Equity","PX_LAST",$B52,$B52)</f>
        <v>26.4</v>
      </c>
      <c r="AC52" cm="1">
        <f t="array" ref="AC52">_xll.BDH(AC$2 &amp; " US Equity","PX_LAST",$B52,$B52)</f>
        <v>69.31</v>
      </c>
      <c r="AD52" cm="1">
        <f t="array" ref="AD52">_xll.BDH(AD$2 &amp; " US Equity","PX_LAST",$B52,$B52)</f>
        <v>671.3</v>
      </c>
      <c r="AE52" t="str" cm="1">
        <f t="array" ref="AE52">_xll.BDH(AE$2 &amp; " PE Equity","PX_LAST",$B52,$B52)</f>
        <v>#N/A Connection</v>
      </c>
      <c r="AF52" cm="1">
        <f t="array" ref="AF52">_xll.BDH(AF$2 &amp; " US Equity","PX_LAST",$B52,$B52)</f>
        <v>54.958399999999997</v>
      </c>
      <c r="AG52" cm="1">
        <f t="array" ref="AG52">_xll.BDH(AG$2 &amp; " US Equity","PX_LAST",$B52,$B52)</f>
        <v>13.435</v>
      </c>
      <c r="AH52" cm="1">
        <f t="array" ref="AH52">_xll.BDH(AH$2 &amp; " US Equity","PX_LAST",$B52,$B52)</f>
        <v>611.54</v>
      </c>
      <c r="AI52" cm="1">
        <f t="array" ref="AI52">_xll.BDH(AI$2 &amp; " US Equity","PX_LAST",$B52,$B52)</f>
        <v>101.52</v>
      </c>
      <c r="AJ52" cm="1">
        <f t="array" ref="AJ52">_xll.BDH(AJ$2 &amp; " US Equity","PX_LAST",$B52,$B52)</f>
        <v>111.96</v>
      </c>
      <c r="AK52" cm="1">
        <f t="array" ref="AK52">_xll.BDH(AK$2 &amp; " US Equity","PX_LAST",$B52,$B52)</f>
        <v>118.14</v>
      </c>
      <c r="AL52" cm="1">
        <f t="array" ref="AL52">_xll.BDH(AL$2 &amp; " US Equity","PX_LAST",$B52,$B52)</f>
        <v>216.48</v>
      </c>
      <c r="AM52" cm="1">
        <f t="array" ref="AM52">_xll.BDH(AM$2 &amp; " US Equity","PX_LAST",$B52,$B52)</f>
        <v>53.945</v>
      </c>
      <c r="AN52" cm="1">
        <f t="array" ref="AN52">_xll.BDH(AN$2 &amp; " US Equity","PX_LAST",$B52,$B52)</f>
        <v>25.01</v>
      </c>
      <c r="AO52" cm="1">
        <f t="array" ref="AO52">_xll.BDH(AO$2 &amp; " US Equity","PX_LAST",$B52,$B52)</f>
        <v>55.03</v>
      </c>
      <c r="AP52" cm="1">
        <f t="array" ref="AP52">_xll.BDH(AP$2 &amp; " US Equity","PX_LAST",$B52,$B52)</f>
        <v>6.33</v>
      </c>
      <c r="AQ52" cm="1">
        <f t="array" ref="AQ52">_xll.BDH(AQ$2 &amp; " US Equity","PX_LAST",$B52,$B52)</f>
        <v>120.7</v>
      </c>
      <c r="AR52" cm="1">
        <f t="array" ref="AR52">_xll.BDH(AR$2 &amp; " US Equity","PX_LAST",$B52,$B52)</f>
        <v>55.66</v>
      </c>
      <c r="AS52" cm="1">
        <f t="array" ref="AS52">_xll.BDH(AS$2 &amp; " US Equity","PX_LAST",$B52,$B52)</f>
        <v>123.85599999999999</v>
      </c>
      <c r="AT52" cm="1">
        <f t="array" ref="AT52">_xll.BDH(AT$2 &amp; " US Equity","PX_LAST",$B52,$B52)</f>
        <v>7.06</v>
      </c>
      <c r="AU52" cm="1">
        <f t="array" ref="AU52">_xll.BDH(AU$2 &amp; " US Equity","PX_LAST",$B52,$B52)</f>
        <v>364.48</v>
      </c>
      <c r="AV52" cm="1">
        <f t="array" ref="AV52">_xll.BDH(AV$2 &amp; " US Equity","PX_LAST",$B52,$B52)</f>
        <v>262.29000000000002</v>
      </c>
      <c r="AW52" cm="1">
        <f t="array" ref="AW52">_xll.BDH(AW$2 &amp; " US Equity","PX_LAST",$B52,$B52)</f>
        <v>120.11</v>
      </c>
    </row>
    <row r="53" spans="2:49">
      <c r="B53" s="13">
        <v>45951</v>
      </c>
      <c r="C53" cm="1">
        <f t="array" ref="C53">_xll.BDH(C$2 &amp; " US Equity","PX_LAST",$B53,$B53)</f>
        <v>242.84</v>
      </c>
      <c r="D53" cm="1">
        <f t="array" ref="D53">_xll.BDH(D$2 &amp; " PE Equity","PX_LAST",$B53,$B53)</f>
        <v>4.45</v>
      </c>
      <c r="E53" cm="1">
        <f t="array" ref="E53">_xll.BDH(E$2 &amp; " PE Equity","PX_LAST",$B53,$B53)</f>
        <v>1.82</v>
      </c>
      <c r="F53" cm="1">
        <f t="array" ref="F53">_xll.BDH(F$2 &amp; " PE Equity","PX_LAST",$B53,$B53)</f>
        <v>2.5</v>
      </c>
      <c r="G53" cm="1">
        <f t="array" ref="G53">_xll.BDH(G$2 &amp; " US Equity","PX_LAST",$B53,$B53)</f>
        <v>21.48</v>
      </c>
      <c r="H53" cm="1">
        <f t="array" ref="H53">_xll.BDH(H$2 &amp; " PE Equity","PX_LAST",$B53,$B53)</f>
        <v>3.3</v>
      </c>
      <c r="I53" cm="1">
        <f t="array" ref="I53">_xll.BDH(I$2 &amp; " US Equity","PX_LAST",$B53,$B53)</f>
        <v>46.81</v>
      </c>
      <c r="J53" cm="1">
        <f t="array" ref="J53">_xll.BDH(J$2 &amp; " US Equity","PX_LAST",$B53,$B53)</f>
        <v>6.8251999999999997</v>
      </c>
      <c r="K53" cm="1">
        <f t="array" ref="K53">_xll.BDH(K$2 &amp; " US Equity","PX_LAST",$B53,$B53)</f>
        <v>49.21</v>
      </c>
      <c r="L53" cm="1">
        <f t="array" ref="L53">_xll.BDH(L$2 &amp; " US Equity","PX_LAST",$B53,$B53)</f>
        <v>54.31</v>
      </c>
      <c r="M53" cm="1">
        <f t="array" ref="M53">_xll.BDH(M$2 &amp; " US Equity","PX_LAST",$B53,$B53)</f>
        <v>253.85</v>
      </c>
      <c r="N53" cm="1">
        <f t="array" ref="N53">_xll.BDH(N$2 &amp; " US Equity","PX_LAST",$B53,$B53)</f>
        <v>33.08</v>
      </c>
      <c r="O53" cm="1">
        <f t="array" ref="O53">_xll.BDH(O$2 &amp; " US Equity","PX_LAST",$B53,$B53)</f>
        <v>29.94</v>
      </c>
      <c r="P53" cm="1">
        <f t="array" ref="P53">_xll.BDH(P$2 &amp; " US Equity","PX_LAST",$B53,$B53)</f>
        <v>16.34</v>
      </c>
      <c r="Q53" cm="1">
        <f t="array" ref="Q53">_xll.BDH(Q$2 &amp; " US Equity","PX_LAST",$B53,$B53)</f>
        <v>24.85</v>
      </c>
      <c r="R53" cm="1">
        <f t="array" ref="R53">_xll.BDH(R$2 &amp; " US Equity","PX_LAST",$B53,$B53)</f>
        <v>22.96</v>
      </c>
      <c r="S53" cm="1">
        <f t="array" ref="S53">_xll.BDH(S$2 &amp; " US Equity","PX_LAST",$B53,$B53)</f>
        <v>154.88</v>
      </c>
      <c r="T53" cm="1">
        <f t="array" ref="T53">_xll.BDH(T$2 &amp; " US Equity","PX_LAST",$B53,$B53)</f>
        <v>62.42</v>
      </c>
      <c r="U53" cm="1">
        <f t="array" ref="U53">_xll.BDH(U$2 &amp; " US Equity","PX_LAST",$B53,$B53)</f>
        <v>119.14</v>
      </c>
      <c r="V53" cm="1">
        <f t="array" ref="V53">_xll.BDH(V$2 &amp; " US Equity","PX_LAST",$B53,$B53)</f>
        <v>45.305</v>
      </c>
      <c r="W53" cm="1">
        <f t="array" ref="W53">_xll.BDH(W$2 &amp; " US Equity","PX_LAST",$B53,$B53)</f>
        <v>181.51</v>
      </c>
      <c r="X53" cm="1">
        <f t="array" ref="X53">_xll.BDH(X$2 &amp; " US Equity","PX_LAST",$B53,$B53)</f>
        <v>57.11</v>
      </c>
      <c r="Y53" cm="1">
        <f t="array" ref="Y53">_xll.BDH(Y$2 &amp; " US Equity","PX_LAST",$B53,$B53)</f>
        <v>44.98</v>
      </c>
      <c r="Z53" cm="1">
        <f t="array" ref="Z53">_xll.BDH(Z$2 &amp; " US Equity","PX_LAST",$B53,$B53)</f>
        <v>345.3</v>
      </c>
      <c r="AA53" cm="1">
        <f t="array" ref="AA53">_xll.BDH(AA$2 &amp; " PE Equity","PX_LAST",$B53,$B53)</f>
        <v>0.5</v>
      </c>
      <c r="AB53" cm="1">
        <f t="array" ref="AB53">_xll.BDH(AB$2 &amp; " PE Equity","PX_LAST",$B53,$B53)</f>
        <v>26.15</v>
      </c>
      <c r="AC53" cm="1">
        <f t="array" ref="AC53">_xll.BDH(AC$2 &amp; " US Equity","PX_LAST",$B53,$B53)</f>
        <v>69.44</v>
      </c>
      <c r="AD53" cm="1">
        <f t="array" ref="AD53">_xll.BDH(AD$2 &amp; " US Equity","PX_LAST",$B53,$B53)</f>
        <v>671.29</v>
      </c>
      <c r="AE53" t="str" cm="1">
        <f t="array" ref="AE53">_xll.BDH(AE$2 &amp; " PE Equity","PX_LAST",$B53,$B53)</f>
        <v>#N/A Connection</v>
      </c>
      <c r="AF53" cm="1">
        <f t="array" ref="AF53">_xll.BDH(AF$2 &amp; " US Equity","PX_LAST",$B53,$B53)</f>
        <v>54.982500000000002</v>
      </c>
      <c r="AG53" cm="1">
        <f t="array" ref="AG53">_xll.BDH(AG$2 &amp; " US Equity","PX_LAST",$B53,$B53)</f>
        <v>13.35</v>
      </c>
      <c r="AH53" cm="1">
        <f t="array" ref="AH53">_xll.BDH(AH$2 &amp; " US Equity","PX_LAST",$B53,$B53)</f>
        <v>611.38</v>
      </c>
      <c r="AI53" cm="1">
        <f t="array" ref="AI53">_xll.BDH(AI$2 &amp; " US Equity","PX_LAST",$B53,$B53)</f>
        <v>101.86</v>
      </c>
      <c r="AJ53" cm="1">
        <f t="array" ref="AJ53">_xll.BDH(AJ$2 &amp; " US Equity","PX_LAST",$B53,$B53)</f>
        <v>114.3</v>
      </c>
      <c r="AK53" cm="1">
        <f t="array" ref="AK53">_xll.BDH(AK$2 &amp; " US Equity","PX_LAST",$B53,$B53)</f>
        <v>119.58499999999999</v>
      </c>
      <c r="AL53" cm="1">
        <f t="array" ref="AL53">_xll.BDH(AL$2 &amp; " US Equity","PX_LAST",$B53,$B53)</f>
        <v>222.03</v>
      </c>
      <c r="AM53" cm="1">
        <f t="array" ref="AM53">_xll.BDH(AM$2 &amp; " US Equity","PX_LAST",$B53,$B53)</f>
        <v>53.884999999999998</v>
      </c>
      <c r="AN53" cm="1">
        <f t="array" ref="AN53">_xll.BDH(AN$2 &amp; " US Equity","PX_LAST",$B53,$B53)</f>
        <v>25.135300000000001</v>
      </c>
      <c r="AO53" cm="1">
        <f t="array" ref="AO53">_xll.BDH(AO$2 &amp; " US Equity","PX_LAST",$B53,$B53)</f>
        <v>55.02</v>
      </c>
      <c r="AP53" cm="1">
        <f t="array" ref="AP53">_xll.BDH(AP$2 &amp; " US Equity","PX_LAST",$B53,$B53)</f>
        <v>6.36</v>
      </c>
      <c r="AQ53" cm="1">
        <f t="array" ref="AQ53">_xll.BDH(AQ$2 &amp; " US Equity","PX_LAST",$B53,$B53)</f>
        <v>120.05</v>
      </c>
      <c r="AR53" cm="1">
        <f t="array" ref="AR53">_xll.BDH(AR$2 &amp; " US Equity","PX_LAST",$B53,$B53)</f>
        <v>54.06</v>
      </c>
      <c r="AS53" cm="1">
        <f t="array" ref="AS53">_xll.BDH(AS$2 &amp; " US Equity","PX_LAST",$B53,$B53)</f>
        <v>124.13500000000001</v>
      </c>
      <c r="AT53" cm="1">
        <f t="array" ref="AT53">_xll.BDH(AT$2 &amp; " US Equity","PX_LAST",$B53,$B53)</f>
        <v>6.8</v>
      </c>
      <c r="AU53" cm="1">
        <f t="array" ref="AU53">_xll.BDH(AU$2 &amp; " US Equity","PX_LAST",$B53,$B53)</f>
        <v>365.37</v>
      </c>
      <c r="AV53" cm="1">
        <f t="array" ref="AV53">_xll.BDH(AV$2 &amp; " US Equity","PX_LAST",$B53,$B53)</f>
        <v>260.27999999999997</v>
      </c>
      <c r="AW53" cm="1">
        <f t="array" ref="AW53">_xll.BDH(AW$2 &amp; " US Equity","PX_LAST",$B53,$B53)</f>
        <v>123.68</v>
      </c>
    </row>
    <row r="54" spans="2:49">
      <c r="B54" s="13">
        <v>45952</v>
      </c>
      <c r="C54" cm="1">
        <f t="array" ref="C54">_xll.BDH(C$2 &amp; " US Equity","PX_LAST",$B54,$B54)</f>
        <v>239.41</v>
      </c>
      <c r="D54" cm="1">
        <f t="array" ref="D54">_xll.BDH(D$2 &amp; " PE Equity","PX_LAST",$B54,$B54)</f>
        <v>4.3499999999999996</v>
      </c>
      <c r="E54" cm="1">
        <f t="array" ref="E54">_xll.BDH(E$2 &amp; " PE Equity","PX_LAST",$B54,$B54)</f>
        <v>1.78</v>
      </c>
      <c r="F54" cm="1">
        <f t="array" ref="F54">_xll.BDH(F$2 &amp; " PE Equity","PX_LAST",$B54,$B54)</f>
        <v>2.46</v>
      </c>
      <c r="G54" cm="1">
        <f t="array" ref="G54">_xll.BDH(G$2 &amp; " US Equity","PX_LAST",$B54,$B54)</f>
        <v>21.24</v>
      </c>
      <c r="H54" cm="1">
        <f t="array" ref="H54">_xll.BDH(H$2 &amp; " PE Equity","PX_LAST",$B54,$B54)</f>
        <v>3.3</v>
      </c>
      <c r="I54" cm="1">
        <f t="array" ref="I54">_xll.BDH(I$2 &amp; " US Equity","PX_LAST",$B54,$B54)</f>
        <v>45.95</v>
      </c>
      <c r="J54" cm="1">
        <f t="array" ref="J54">_xll.BDH(J$2 &amp; " US Equity","PX_LAST",$B54,$B54)</f>
        <v>6.8640999999999996</v>
      </c>
      <c r="K54" cm="1">
        <f t="array" ref="K54">_xll.BDH(K$2 &amp; " US Equity","PX_LAST",$B54,$B54)</f>
        <v>49.34</v>
      </c>
      <c r="L54" cm="1">
        <f t="array" ref="L54">_xll.BDH(L$2 &amp; " US Equity","PX_LAST",$B54,$B54)</f>
        <v>54.26</v>
      </c>
      <c r="M54" cm="1">
        <f t="array" ref="M54">_xll.BDH(M$2 &amp; " US Equity","PX_LAST",$B54,$B54)</f>
        <v>253.04</v>
      </c>
      <c r="N54" cm="1">
        <f t="array" ref="N54">_xll.BDH(N$2 &amp; " US Equity","PX_LAST",$B54,$B54)</f>
        <v>33.229999999999997</v>
      </c>
      <c r="O54" cm="1">
        <f t="array" ref="O54">_xll.BDH(O$2 &amp; " US Equity","PX_LAST",$B54,$B54)</f>
        <v>30.03</v>
      </c>
      <c r="P54" cm="1">
        <f t="array" ref="P54">_xll.BDH(P$2 &amp; " US Equity","PX_LAST",$B54,$B54)</f>
        <v>16.12</v>
      </c>
      <c r="Q54" cm="1">
        <f t="array" ref="Q54">_xll.BDH(Q$2 &amp; " US Equity","PX_LAST",$B54,$B54)</f>
        <v>24.72</v>
      </c>
      <c r="R54" cm="1">
        <f t="array" ref="R54">_xll.BDH(R$2 &amp; " US Equity","PX_LAST",$B54,$B54)</f>
        <v>22.9</v>
      </c>
      <c r="S54" cm="1">
        <f t="array" ref="S54">_xll.BDH(S$2 &amp; " US Equity","PX_LAST",$B54,$B54)</f>
        <v>152.87</v>
      </c>
      <c r="T54" cm="1">
        <f t="array" ref="T54">_xll.BDH(T$2 &amp; " US Equity","PX_LAST",$B54,$B54)</f>
        <v>62.23</v>
      </c>
      <c r="U54" cm="1">
        <f t="array" ref="U54">_xll.BDH(U$2 &amp; " US Equity","PX_LAST",$B54,$B54)</f>
        <v>117.03</v>
      </c>
      <c r="V54" cm="1">
        <f t="array" ref="V54">_xll.BDH(V$2 &amp; " US Equity","PX_LAST",$B54,$B54)</f>
        <v>45.2</v>
      </c>
      <c r="W54" cm="1">
        <f t="array" ref="W54">_xll.BDH(W$2 &amp; " US Equity","PX_LAST",$B54,$B54)</f>
        <v>175.49</v>
      </c>
      <c r="X54" cm="1">
        <f t="array" ref="X54">_xll.BDH(X$2 &amp; " US Equity","PX_LAST",$B54,$B54)</f>
        <v>57.14</v>
      </c>
      <c r="Y54" cm="1">
        <f t="array" ref="Y54">_xll.BDH(Y$2 &amp; " US Equity","PX_LAST",$B54,$B54)</f>
        <v>44.91</v>
      </c>
      <c r="Z54" cm="1">
        <f t="array" ref="Z54">_xll.BDH(Z$2 &amp; " US Equity","PX_LAST",$B54,$B54)</f>
        <v>338.6</v>
      </c>
      <c r="AA54" cm="1">
        <f t="array" ref="AA54">_xll.BDH(AA$2 &amp; " PE Equity","PX_LAST",$B54,$B54)</f>
        <v>0.496</v>
      </c>
      <c r="AB54" cm="1">
        <f t="array" ref="AB54">_xll.BDH(AB$2 &amp; " PE Equity","PX_LAST",$B54,$B54)</f>
        <v>26.2</v>
      </c>
      <c r="AC54" cm="1">
        <f t="array" ref="AC54">_xll.BDH(AC$2 &amp; " US Equity","PX_LAST",$B54,$B54)</f>
        <v>69.040000000000006</v>
      </c>
      <c r="AD54" cm="1">
        <f t="array" ref="AD54">_xll.BDH(AD$2 &amp; " US Equity","PX_LAST",$B54,$B54)</f>
        <v>667.8</v>
      </c>
      <c r="AE54" t="str" cm="1">
        <f t="array" ref="AE54">_xll.BDH(AE$2 &amp; " PE Equity","PX_LAST",$B54,$B54)</f>
        <v>#N/A Connection</v>
      </c>
      <c r="AF54" cm="1">
        <f t="array" ref="AF54">_xll.BDH(AF$2 &amp; " US Equity","PX_LAST",$B54,$B54)</f>
        <v>55.002200000000002</v>
      </c>
      <c r="AG54" cm="1">
        <f t="array" ref="AG54">_xll.BDH(AG$2 &amp; " US Equity","PX_LAST",$B54,$B54)</f>
        <v>13.305300000000001</v>
      </c>
      <c r="AH54" cm="1">
        <f t="array" ref="AH54">_xll.BDH(AH$2 &amp; " US Equity","PX_LAST",$B54,$B54)</f>
        <v>605.49</v>
      </c>
      <c r="AI54" cm="1">
        <f t="array" ref="AI54">_xll.BDH(AI$2 &amp; " US Equity","PX_LAST",$B54,$B54)</f>
        <v>102.09</v>
      </c>
      <c r="AJ54" cm="1">
        <f t="array" ref="AJ54">_xll.BDH(AJ$2 &amp; " US Equity","PX_LAST",$B54,$B54)</f>
        <v>113.08</v>
      </c>
      <c r="AK54" cm="1">
        <f t="array" ref="AK54">_xll.BDH(AK$2 &amp; " US Equity","PX_LAST",$B54,$B54)</f>
        <v>118.65</v>
      </c>
      <c r="AL54" cm="1">
        <f t="array" ref="AL54">_xll.BDH(AL$2 &amp; " US Equity","PX_LAST",$B54,$B54)</f>
        <v>217.95</v>
      </c>
      <c r="AM54" cm="1">
        <f t="array" ref="AM54">_xll.BDH(AM$2 &amp; " US Equity","PX_LAST",$B54,$B54)</f>
        <v>52.3</v>
      </c>
      <c r="AN54" cm="1">
        <f t="array" ref="AN54">_xll.BDH(AN$2 &amp; " US Equity","PX_LAST",$B54,$B54)</f>
        <v>24.853200000000001</v>
      </c>
      <c r="AO54" cm="1">
        <f t="array" ref="AO54">_xll.BDH(AO$2 &amp; " US Equity","PX_LAST",$B54,$B54)</f>
        <v>54.62</v>
      </c>
      <c r="AP54" cm="1">
        <f t="array" ref="AP54">_xll.BDH(AP$2 &amp; " US Equity","PX_LAST",$B54,$B54)</f>
        <v>6.26</v>
      </c>
      <c r="AQ54" cm="1">
        <f t="array" ref="AQ54">_xll.BDH(AQ$2 &amp; " US Equity","PX_LAST",$B54,$B54)</f>
        <v>120.21</v>
      </c>
      <c r="AR54" cm="1">
        <f t="array" ref="AR54">_xll.BDH(AR$2 &amp; " US Equity","PX_LAST",$B54,$B54)</f>
        <v>55.07</v>
      </c>
      <c r="AS54" cm="1">
        <f t="array" ref="AS54">_xll.BDH(AS$2 &amp; " US Equity","PX_LAST",$B54,$B54)</f>
        <v>111.637</v>
      </c>
      <c r="AT54" cm="1">
        <f t="array" ref="AT54">_xll.BDH(AT$2 &amp; " US Equity","PX_LAST",$B54,$B54)</f>
        <v>6.84</v>
      </c>
      <c r="AU54" cm="1">
        <f t="array" ref="AU54">_xll.BDH(AU$2 &amp; " US Equity","PX_LAST",$B54,$B54)</f>
        <v>361.49</v>
      </c>
      <c r="AV54" cm="1">
        <f t="array" ref="AV54">_xll.BDH(AV$2 &amp; " US Equity","PX_LAST",$B54,$B54)</f>
        <v>255.56</v>
      </c>
      <c r="AW54" cm="1">
        <f t="array" ref="AW54">_xll.BDH(AW$2 &amp; " US Equity","PX_LAST",$B54,$B54)</f>
        <v>123.3</v>
      </c>
    </row>
    <row r="55" spans="2:49">
      <c r="B55" s="13">
        <v>45953</v>
      </c>
      <c r="C55" cm="1">
        <f t="array" ref="C55">_xll.BDH(C$2 &amp; " US Equity","PX_LAST",$B55,$B55)</f>
        <v>238.17</v>
      </c>
      <c r="D55" cm="1">
        <f t="array" ref="D55">_xll.BDH(D$2 &amp; " PE Equity","PX_LAST",$B55,$B55)</f>
        <v>4.3499999999999996</v>
      </c>
      <c r="E55" cm="1">
        <f t="array" ref="E55">_xll.BDH(E$2 &amp; " PE Equity","PX_LAST",$B55,$B55)</f>
        <v>1.78</v>
      </c>
      <c r="F55" cm="1">
        <f t="array" ref="F55">_xll.BDH(F$2 &amp; " PE Equity","PX_LAST",$B55,$B55)</f>
        <v>2.4500000000000002</v>
      </c>
      <c r="G55" cm="1">
        <f t="array" ref="G55">_xll.BDH(G$2 &amp; " US Equity","PX_LAST",$B55,$B55)</f>
        <v>21.47</v>
      </c>
      <c r="H55" cm="1">
        <f t="array" ref="H55">_xll.BDH(H$2 &amp; " PE Equity","PX_LAST",$B55,$B55)</f>
        <v>3.32</v>
      </c>
      <c r="I55" cm="1">
        <f t="array" ref="I55">_xll.BDH(I$2 &amp; " US Equity","PX_LAST",$B55,$B55)</f>
        <v>46.53</v>
      </c>
      <c r="J55" cm="1">
        <f t="array" ref="J55">_xll.BDH(J$2 &amp; " US Equity","PX_LAST",$B55,$B55)</f>
        <v>6.8932000000000002</v>
      </c>
      <c r="K55" cm="1">
        <f t="array" ref="K55">_xll.BDH(K$2 &amp; " US Equity","PX_LAST",$B55,$B55)</f>
        <v>49.57</v>
      </c>
      <c r="L55" cm="1">
        <f t="array" ref="L55">_xll.BDH(L$2 &amp; " US Equity","PX_LAST",$B55,$B55)</f>
        <v>54.74</v>
      </c>
      <c r="M55" cm="1">
        <f t="array" ref="M55">_xll.BDH(M$2 &amp; " US Equity","PX_LAST",$B55,$B55)</f>
        <v>257.93</v>
      </c>
      <c r="N55" cm="1">
        <f t="array" ref="N55">_xll.BDH(N$2 &amp; " US Equity","PX_LAST",$B55,$B55)</f>
        <v>33.380000000000003</v>
      </c>
      <c r="O55" cm="1">
        <f t="array" ref="O55">_xll.BDH(O$2 &amp; " US Equity","PX_LAST",$B55,$B55)</f>
        <v>30.47</v>
      </c>
      <c r="P55" cm="1">
        <f t="array" ref="P55">_xll.BDH(P$2 &amp; " US Equity","PX_LAST",$B55,$B55)</f>
        <v>16.34</v>
      </c>
      <c r="Q55" cm="1">
        <f t="array" ref="Q55">_xll.BDH(Q$2 &amp; " US Equity","PX_LAST",$B55,$B55)</f>
        <v>24.67</v>
      </c>
      <c r="R55" cm="1">
        <f t="array" ref="R55">_xll.BDH(R$2 &amp; " US Equity","PX_LAST",$B55,$B55)</f>
        <v>22.91</v>
      </c>
      <c r="S55" cm="1">
        <f t="array" ref="S55">_xll.BDH(S$2 &amp; " US Equity","PX_LAST",$B55,$B55)</f>
        <v>154.78</v>
      </c>
      <c r="T55" cm="1">
        <f t="array" ref="T55">_xll.BDH(T$2 &amp; " US Equity","PX_LAST",$B55,$B55)</f>
        <v>62.68</v>
      </c>
      <c r="U55" cm="1">
        <f t="array" ref="U55">_xll.BDH(U$2 &amp; " US Equity","PX_LAST",$B55,$B55)</f>
        <v>120.48</v>
      </c>
      <c r="V55" cm="1">
        <f t="array" ref="V55">_xll.BDH(V$2 &amp; " US Equity","PX_LAST",$B55,$B55)</f>
        <v>45.164999999999999</v>
      </c>
      <c r="W55" cm="1">
        <f t="array" ref="W55">_xll.BDH(W$2 &amp; " US Equity","PX_LAST",$B55,$B55)</f>
        <v>180.48</v>
      </c>
      <c r="X55" cm="1">
        <f t="array" ref="X55">_xll.BDH(X$2 &amp; " US Equity","PX_LAST",$B55,$B55)</f>
        <v>57.17</v>
      </c>
      <c r="Y55" cm="1">
        <f t="array" ref="Y55">_xll.BDH(Y$2 &amp; " US Equity","PX_LAST",$B55,$B55)</f>
        <v>45.27</v>
      </c>
      <c r="Z55" cm="1">
        <f t="array" ref="Z55">_xll.BDH(Z$2 &amp; " US Equity","PX_LAST",$B55,$B55)</f>
        <v>344.8</v>
      </c>
      <c r="AA55" cm="1">
        <f t="array" ref="AA55">_xll.BDH(AA$2 &amp; " PE Equity","PX_LAST",$B55,$B55)</f>
        <v>0.54</v>
      </c>
      <c r="AB55" cm="1">
        <f t="array" ref="AB55">_xll.BDH(AB$2 &amp; " PE Equity","PX_LAST",$B55,$B55)</f>
        <v>25.9</v>
      </c>
      <c r="AC55" cm="1">
        <f t="array" ref="AC55">_xll.BDH(AC$2 &amp; " US Equity","PX_LAST",$B55,$B55)</f>
        <v>69.48</v>
      </c>
      <c r="AD55" cm="1">
        <f t="array" ref="AD55">_xll.BDH(AD$2 &amp; " US Equity","PX_LAST",$B55,$B55)</f>
        <v>671.76</v>
      </c>
      <c r="AE55" t="str" cm="1">
        <f t="array" ref="AE55">_xll.BDH(AE$2 &amp; " PE Equity","PX_LAST",$B55,$B55)</f>
        <v>#N/A Connection</v>
      </c>
      <c r="AF55" cm="1">
        <f t="array" ref="AF55">_xll.BDH(AF$2 &amp; " US Equity","PX_LAST",$B55,$B55)</f>
        <v>54.9604</v>
      </c>
      <c r="AG55" cm="1">
        <f t="array" ref="AG55">_xll.BDH(AG$2 &amp; " US Equity","PX_LAST",$B55,$B55)</f>
        <v>13.49</v>
      </c>
      <c r="AH55" cm="1">
        <f t="array" ref="AH55">_xll.BDH(AH$2 &amp; " US Equity","PX_LAST",$B55,$B55)</f>
        <v>610.58000000000004</v>
      </c>
      <c r="AI55" cm="1">
        <f t="array" ref="AI55">_xll.BDH(AI$2 &amp; " US Equity","PX_LAST",$B55,$B55)</f>
        <v>101.76</v>
      </c>
      <c r="AJ55" cm="1">
        <f t="array" ref="AJ55">_xll.BDH(AJ$2 &amp; " US Equity","PX_LAST",$B55,$B55)</f>
        <v>113.03</v>
      </c>
      <c r="AK55" cm="1">
        <f t="array" ref="AK55">_xll.BDH(AK$2 &amp; " US Equity","PX_LAST",$B55,$B55)</f>
        <v>119.185</v>
      </c>
      <c r="AL55" cm="1">
        <f t="array" ref="AL55">_xll.BDH(AL$2 &amp; " US Equity","PX_LAST",$B55,$B55)</f>
        <v>221.09</v>
      </c>
      <c r="AM55" cm="1">
        <f t="array" ref="AM55">_xll.BDH(AM$2 &amp; " US Equity","PX_LAST",$B55,$B55)</f>
        <v>53.61</v>
      </c>
      <c r="AN55" cm="1">
        <f t="array" ref="AN55">_xll.BDH(AN$2 &amp; " US Equity","PX_LAST",$B55,$B55)</f>
        <v>25.0823</v>
      </c>
      <c r="AO55" cm="1">
        <f t="array" ref="AO55">_xll.BDH(AO$2 &amp; " US Equity","PX_LAST",$B55,$B55)</f>
        <v>55.22</v>
      </c>
      <c r="AP55" cm="1">
        <f t="array" ref="AP55">_xll.BDH(AP$2 &amp; " US Equity","PX_LAST",$B55,$B55)</f>
        <v>6.25</v>
      </c>
      <c r="AQ55" cm="1">
        <f t="array" ref="AQ55">_xll.BDH(AQ$2 &amp; " US Equity","PX_LAST",$B55,$B55)</f>
        <v>118.76</v>
      </c>
      <c r="AR55" cm="1">
        <f t="array" ref="AR55">_xll.BDH(AR$2 &amp; " US Equity","PX_LAST",$B55,$B55)</f>
        <v>55.84</v>
      </c>
      <c r="AS55" cm="1">
        <f t="array" ref="AS55">_xll.BDH(AS$2 &amp; " US Equity","PX_LAST",$B55,$B55)</f>
        <v>111.35899999999999</v>
      </c>
      <c r="AT55" cm="1">
        <f t="array" ref="AT55">_xll.BDH(AT$2 &amp; " US Equity","PX_LAST",$B55,$B55)</f>
        <v>6.89</v>
      </c>
      <c r="AU55" cm="1">
        <f t="array" ref="AU55">_xll.BDH(AU$2 &amp; " US Equity","PX_LAST",$B55,$B55)</f>
        <v>360.45</v>
      </c>
      <c r="AV55" cm="1">
        <f t="array" ref="AV55">_xll.BDH(AV$2 &amp; " US Equity","PX_LAST",$B55,$B55)</f>
        <v>254.53</v>
      </c>
      <c r="AW55" cm="1">
        <f t="array" ref="AW55">_xll.BDH(AW$2 &amp; " US Equity","PX_LAST",$B55,$B55)</f>
        <v>120.96</v>
      </c>
    </row>
    <row r="56" spans="2:49">
      <c r="B56" s="13">
        <v>45954</v>
      </c>
      <c r="C56" cm="1">
        <f t="array" ref="C56">_xll.BDH(C$2 &amp; " US Equity","PX_LAST",$B56,$B56)</f>
        <v>241.15</v>
      </c>
      <c r="D56" cm="1">
        <f t="array" ref="D56">_xll.BDH(D$2 &amp; " PE Equity","PX_LAST",$B56,$B56)</f>
        <v>4.3</v>
      </c>
      <c r="E56" t="str" cm="1">
        <f t="array" ref="E56">_xll.BDH(E$2 &amp; " PE Equity","PX_LAST",$B56,$B56)</f>
        <v>#N/A N/A</v>
      </c>
      <c r="F56" cm="1">
        <f t="array" ref="F56">_xll.BDH(F$2 &amp; " PE Equity","PX_LAST",$B56,$B56)</f>
        <v>2.4500000000000002</v>
      </c>
      <c r="G56" cm="1">
        <f t="array" ref="G56">_xll.BDH(G$2 &amp; " US Equity","PX_LAST",$B56,$B56)</f>
        <v>21.62</v>
      </c>
      <c r="H56" cm="1">
        <f t="array" ref="H56">_xll.BDH(H$2 &amp; " PE Equity","PX_LAST",$B56,$B56)</f>
        <v>3.3</v>
      </c>
      <c r="I56" cm="1">
        <f t="array" ref="I56">_xll.BDH(I$2 &amp; " US Equity","PX_LAST",$B56,$B56)</f>
        <v>48.1</v>
      </c>
      <c r="J56" cm="1">
        <f t="array" ref="J56">_xll.BDH(J$2 &amp; " US Equity","PX_LAST",$B56,$B56)</f>
        <v>6.8640999999999996</v>
      </c>
      <c r="K56" cm="1">
        <f t="array" ref="K56">_xll.BDH(K$2 &amp; " US Equity","PX_LAST",$B56,$B56)</f>
        <v>49.7</v>
      </c>
      <c r="L56" cm="1">
        <f t="array" ref="L56">_xll.BDH(L$2 &amp; " US Equity","PX_LAST",$B56,$B56)</f>
        <v>55.1</v>
      </c>
      <c r="M56" cm="1">
        <f t="array" ref="M56">_xll.BDH(M$2 &amp; " US Equity","PX_LAST",$B56,$B56)</f>
        <v>256.8</v>
      </c>
      <c r="N56" cm="1">
        <f t="array" ref="N56">_xll.BDH(N$2 &amp; " US Equity","PX_LAST",$B56,$B56)</f>
        <v>33.549999999999997</v>
      </c>
      <c r="O56" cm="1">
        <f t="array" ref="O56">_xll.BDH(O$2 &amp; " US Equity","PX_LAST",$B56,$B56)</f>
        <v>30.48</v>
      </c>
      <c r="P56" cm="1">
        <f t="array" ref="P56">_xll.BDH(P$2 &amp; " US Equity","PX_LAST",$B56,$B56)</f>
        <v>16.7</v>
      </c>
      <c r="Q56" cm="1">
        <f t="array" ref="Q56">_xll.BDH(Q$2 &amp; " US Equity","PX_LAST",$B56,$B56)</f>
        <v>24.76</v>
      </c>
      <c r="R56" cm="1">
        <f t="array" ref="R56">_xll.BDH(R$2 &amp; " US Equity","PX_LAST",$B56,$B56)</f>
        <v>22.47</v>
      </c>
      <c r="S56" cm="1">
        <f t="array" ref="S56">_xll.BDH(S$2 &amp; " US Equity","PX_LAST",$B56,$B56)</f>
        <v>154.91</v>
      </c>
      <c r="T56" cm="1">
        <f t="array" ref="T56">_xll.BDH(T$2 &amp; " US Equity","PX_LAST",$B56,$B56)</f>
        <v>62.65</v>
      </c>
      <c r="U56" cm="1">
        <f t="array" ref="U56">_xll.BDH(U$2 &amp; " US Equity","PX_LAST",$B56,$B56)</f>
        <v>122.76</v>
      </c>
      <c r="V56" cm="1">
        <f t="array" ref="V56">_xll.BDH(V$2 &amp; " US Equity","PX_LAST",$B56,$B56)</f>
        <v>45.695</v>
      </c>
      <c r="W56" cm="1">
        <f t="array" ref="W56">_xll.BDH(W$2 &amp; " US Equity","PX_LAST",$B56,$B56)</f>
        <v>184.63</v>
      </c>
      <c r="X56" cm="1">
        <f t="array" ref="X56">_xll.BDH(X$2 &amp; " US Equity","PX_LAST",$B56,$B56)</f>
        <v>57.12</v>
      </c>
      <c r="Y56" cm="1">
        <f t="array" ref="Y56">_xll.BDH(Y$2 &amp; " US Equity","PX_LAST",$B56,$B56)</f>
        <v>45.11</v>
      </c>
      <c r="Z56" cm="1">
        <f t="array" ref="Z56">_xll.BDH(Z$2 &amp; " US Equity","PX_LAST",$B56,$B56)</f>
        <v>351.14</v>
      </c>
      <c r="AA56" cm="1">
        <f t="array" ref="AA56">_xll.BDH(AA$2 &amp; " PE Equity","PX_LAST",$B56,$B56)</f>
        <v>0.51</v>
      </c>
      <c r="AB56" cm="1">
        <f t="array" ref="AB56">_xll.BDH(AB$2 &amp; " PE Equity","PX_LAST",$B56,$B56)</f>
        <v>25.5</v>
      </c>
      <c r="AC56" cm="1">
        <f t="array" ref="AC56">_xll.BDH(AC$2 &amp; " US Equity","PX_LAST",$B56,$B56)</f>
        <v>69.849999999999994</v>
      </c>
      <c r="AD56" cm="1">
        <f t="array" ref="AD56">_xll.BDH(AD$2 &amp; " US Equity","PX_LAST",$B56,$B56)</f>
        <v>677.25</v>
      </c>
      <c r="AE56" t="str" cm="1">
        <f t="array" ref="AE56">_xll.BDH(AE$2 &amp; " PE Equity","PX_LAST",$B56,$B56)</f>
        <v>#N/A Connection</v>
      </c>
      <c r="AF56" cm="1">
        <f t="array" ref="AF56">_xll.BDH(AF$2 &amp; " US Equity","PX_LAST",$B56,$B56)</f>
        <v>55.119199999999999</v>
      </c>
      <c r="AG56" cm="1">
        <f t="array" ref="AG56">_xll.BDH(AG$2 &amp; " US Equity","PX_LAST",$B56,$B56)</f>
        <v>13.5318</v>
      </c>
      <c r="AH56" cm="1">
        <f t="array" ref="AH56">_xll.BDH(AH$2 &amp; " US Equity","PX_LAST",$B56,$B56)</f>
        <v>617.1</v>
      </c>
      <c r="AI56" cm="1">
        <f t="array" ref="AI56">_xll.BDH(AI$2 &amp; " US Equity","PX_LAST",$B56,$B56)</f>
        <v>102.18</v>
      </c>
      <c r="AJ56" cm="1">
        <f t="array" ref="AJ56">_xll.BDH(AJ$2 &amp; " US Equity","PX_LAST",$B56,$B56)</f>
        <v>111.68</v>
      </c>
      <c r="AK56" cm="1">
        <f t="array" ref="AK56">_xll.BDH(AK$2 &amp; " US Equity","PX_LAST",$B56,$B56)</f>
        <v>118.83</v>
      </c>
      <c r="AL56" cm="1">
        <f t="array" ref="AL56">_xll.BDH(AL$2 &amp; " US Equity","PX_LAST",$B56,$B56)</f>
        <v>224.21</v>
      </c>
      <c r="AM56" cm="1">
        <f t="array" ref="AM56">_xll.BDH(AM$2 &amp; " US Equity","PX_LAST",$B56,$B56)</f>
        <v>55.28</v>
      </c>
      <c r="AN56" cm="1">
        <f t="array" ref="AN56">_xll.BDH(AN$2 &amp; " US Equity","PX_LAST",$B56,$B56)</f>
        <v>25.67</v>
      </c>
      <c r="AO56" cm="1">
        <f t="array" ref="AO56">_xll.BDH(AO$2 &amp; " US Equity","PX_LAST",$B56,$B56)</f>
        <v>56.55</v>
      </c>
      <c r="AP56" cm="1">
        <f t="array" ref="AP56">_xll.BDH(AP$2 &amp; " US Equity","PX_LAST",$B56,$B56)</f>
        <v>6.16</v>
      </c>
      <c r="AQ56" cm="1">
        <f t="array" ref="AQ56">_xll.BDH(AQ$2 &amp; " US Equity","PX_LAST",$B56,$B56)</f>
        <v>118.93</v>
      </c>
      <c r="AR56" cm="1">
        <f t="array" ref="AR56">_xll.BDH(AR$2 &amp; " US Equity","PX_LAST",$B56,$B56)</f>
        <v>56.07</v>
      </c>
      <c r="AS56" cm="1">
        <f t="array" ref="AS56">_xll.BDH(AS$2 &amp; " US Equity","PX_LAST",$B56,$B56)</f>
        <v>109.46899999999999</v>
      </c>
      <c r="AT56" cm="1">
        <f t="array" ref="AT56">_xll.BDH(AT$2 &amp; " US Equity","PX_LAST",$B56,$B56)</f>
        <v>6.9</v>
      </c>
      <c r="AU56" cm="1">
        <f t="array" ref="AU56">_xll.BDH(AU$2 &amp; " US Equity","PX_LAST",$B56,$B56)</f>
        <v>362.5</v>
      </c>
      <c r="AV56" cm="1">
        <f t="array" ref="AV56">_xll.BDH(AV$2 &amp; " US Equity","PX_LAST",$B56,$B56)</f>
        <v>255.12</v>
      </c>
      <c r="AW56" cm="1">
        <f t="array" ref="AW56">_xll.BDH(AW$2 &amp; " US Equity","PX_LAST",$B56,$B56)</f>
        <v>121.24</v>
      </c>
    </row>
    <row r="57" spans="2:49">
      <c r="B57" s="13">
        <v>45955</v>
      </c>
      <c r="C57" t="str" cm="1">
        <f t="array" ref="C57">_xll.BDH(C$2 &amp; " US Equity","PX_LAST",$B57,$B57)</f>
        <v>#N/A N/A</v>
      </c>
      <c r="D57" t="str" cm="1">
        <f t="array" ref="D57">_xll.BDH(D$2 &amp; " PE Equity","PX_LAST",$B57,$B57)</f>
        <v>#N/A N/A</v>
      </c>
      <c r="E57" t="str" cm="1">
        <f t="array" ref="E57">_xll.BDH(E$2 &amp; " PE Equity","PX_LAST",$B57,$B57)</f>
        <v>#N/A N/A</v>
      </c>
      <c r="F57" t="str" cm="1">
        <f t="array" ref="F57">_xll.BDH(F$2 &amp; " PE Equity","PX_LAST",$B57,$B57)</f>
        <v>#N/A N/A</v>
      </c>
      <c r="G57" t="str" cm="1">
        <f t="array" ref="G57">_xll.BDH(G$2 &amp; " US Equity","PX_LAST",$B57,$B57)</f>
        <v>#N/A N/A</v>
      </c>
      <c r="H57" t="str" cm="1">
        <f t="array" ref="H57">_xll.BDH(H$2 &amp; " PE Equity","PX_LAST",$B57,$B57)</f>
        <v>#N/A N/A</v>
      </c>
      <c r="I57" t="str" cm="1">
        <f t="array" ref="I57">_xll.BDH(I$2 &amp; " US Equity","PX_LAST",$B57,$B57)</f>
        <v>#N/A N/A</v>
      </c>
      <c r="J57" t="str" cm="1">
        <f t="array" ref="J57">_xll.BDH(J$2 &amp; " US Equity","PX_LAST",$B57,$B57)</f>
        <v>#N/A N/A</v>
      </c>
      <c r="K57" t="str" cm="1">
        <f t="array" ref="K57">_xll.BDH(K$2 &amp; " US Equity","PX_LAST",$B57,$B57)</f>
        <v>#N/A N/A</v>
      </c>
      <c r="L57" t="str" cm="1">
        <f t="array" ref="L57">_xll.BDH(L$2 &amp; " US Equity","PX_LAST",$B57,$B57)</f>
        <v>#N/A N/A</v>
      </c>
      <c r="M57" t="str" cm="1">
        <f t="array" ref="M57">_xll.BDH(M$2 &amp; " US Equity","PX_LAST",$B57,$B57)</f>
        <v>#N/A N/A</v>
      </c>
      <c r="N57" t="str" cm="1">
        <f t="array" ref="N57">_xll.BDH(N$2 &amp; " US Equity","PX_LAST",$B57,$B57)</f>
        <v>#N/A N/A</v>
      </c>
      <c r="O57" t="str" cm="1">
        <f t="array" ref="O57">_xll.BDH(O$2 &amp; " US Equity","PX_LAST",$B57,$B57)</f>
        <v>#N/A N/A</v>
      </c>
      <c r="P57" t="str" cm="1">
        <f t="array" ref="P57">_xll.BDH(P$2 &amp; " US Equity","PX_LAST",$B57,$B57)</f>
        <v>#N/A N/A</v>
      </c>
      <c r="Q57" t="str" cm="1">
        <f t="array" ref="Q57">_xll.BDH(Q$2 &amp; " US Equity","PX_LAST",$B57,$B57)</f>
        <v>#N/A N/A</v>
      </c>
      <c r="R57" t="str" cm="1">
        <f t="array" ref="R57">_xll.BDH(R$2 &amp; " US Equity","PX_LAST",$B57,$B57)</f>
        <v>#N/A N/A</v>
      </c>
      <c r="S57" t="str" cm="1">
        <f t="array" ref="S57">_xll.BDH(S$2 &amp; " US Equity","PX_LAST",$B57,$B57)</f>
        <v>#N/A N/A</v>
      </c>
      <c r="T57" t="str" cm="1">
        <f t="array" ref="T57">_xll.BDH(T$2 &amp; " US Equity","PX_LAST",$B57,$B57)</f>
        <v>#N/A N/A</v>
      </c>
      <c r="U57" t="str" cm="1">
        <f t="array" ref="U57">_xll.BDH(U$2 &amp; " US Equity","PX_LAST",$B57,$B57)</f>
        <v>#N/A N/A</v>
      </c>
      <c r="V57" t="str" cm="1">
        <f t="array" ref="V57">_xll.BDH(V$2 &amp; " US Equity","PX_LAST",$B57,$B57)</f>
        <v>#N/A N/A</v>
      </c>
      <c r="W57" t="str" cm="1">
        <f t="array" ref="W57">_xll.BDH(W$2 &amp; " US Equity","PX_LAST",$B57,$B57)</f>
        <v>#N/A N/A</v>
      </c>
      <c r="X57" t="str" cm="1">
        <f t="array" ref="X57">_xll.BDH(X$2 &amp; " US Equity","PX_LAST",$B57,$B57)</f>
        <v>#N/A N/A</v>
      </c>
      <c r="Y57" t="str" cm="1">
        <f t="array" ref="Y57">_xll.BDH(Y$2 &amp; " US Equity","PX_LAST",$B57,$B57)</f>
        <v>#N/A N/A</v>
      </c>
      <c r="Z57" t="str" cm="1">
        <f t="array" ref="Z57">_xll.BDH(Z$2 &amp; " US Equity","PX_LAST",$B57,$B57)</f>
        <v>#N/A N/A</v>
      </c>
      <c r="AA57" t="str" cm="1">
        <f t="array" ref="AA57">_xll.BDH(AA$2 &amp; " PE Equity","PX_LAST",$B57,$B57)</f>
        <v>#N/A N/A</v>
      </c>
      <c r="AB57" t="str" cm="1">
        <f t="array" ref="AB57">_xll.BDH(AB$2 &amp; " PE Equity","PX_LAST",$B57,$B57)</f>
        <v>#N/A N/A</v>
      </c>
      <c r="AC57" t="str" cm="1">
        <f t="array" ref="AC57">_xll.BDH(AC$2 &amp; " US Equity","PX_LAST",$B57,$B57)</f>
        <v>#N/A N/A</v>
      </c>
      <c r="AD57" t="str" cm="1">
        <f t="array" ref="AD57">_xll.BDH(AD$2 &amp; " US Equity","PX_LAST",$B57,$B57)</f>
        <v>#N/A N/A</v>
      </c>
      <c r="AE57" t="str" cm="1">
        <f t="array" ref="AE57">_xll.BDH(AE$2 &amp; " PE Equity","PX_LAST",$B57,$B57)</f>
        <v>#N/A Connection</v>
      </c>
      <c r="AF57" t="str" cm="1">
        <f t="array" ref="AF57">_xll.BDH(AF$2 &amp; " US Equity","PX_LAST",$B57,$B57)</f>
        <v>#N/A N/A</v>
      </c>
      <c r="AG57" t="str" cm="1">
        <f t="array" ref="AG57">_xll.BDH(AG$2 &amp; " US Equity","PX_LAST",$B57,$B57)</f>
        <v>#N/A N/A</v>
      </c>
      <c r="AH57" t="str" cm="1">
        <f t="array" ref="AH57">_xll.BDH(AH$2 &amp; " US Equity","PX_LAST",$B57,$B57)</f>
        <v>#N/A N/A</v>
      </c>
      <c r="AI57" t="str" cm="1">
        <f t="array" ref="AI57">_xll.BDH(AI$2 &amp; " US Equity","PX_LAST",$B57,$B57)</f>
        <v>#N/A N/A</v>
      </c>
      <c r="AJ57" t="str" cm="1">
        <f t="array" ref="AJ57">_xll.BDH(AJ$2 &amp; " US Equity","PX_LAST",$B57,$B57)</f>
        <v>#N/A N/A</v>
      </c>
      <c r="AK57" t="str" cm="1">
        <f t="array" ref="AK57">_xll.BDH(AK$2 &amp; " US Equity","PX_LAST",$B57,$B57)</f>
        <v>#N/A N/A</v>
      </c>
      <c r="AL57" t="str" cm="1">
        <f t="array" ref="AL57">_xll.BDH(AL$2 &amp; " US Equity","PX_LAST",$B57,$B57)</f>
        <v>#N/A N/A</v>
      </c>
      <c r="AM57" t="str" cm="1">
        <f t="array" ref="AM57">_xll.BDH(AM$2 &amp; " US Equity","PX_LAST",$B57,$B57)</f>
        <v>#N/A N/A</v>
      </c>
      <c r="AN57" t="str" cm="1">
        <f t="array" ref="AN57">_xll.BDH(AN$2 &amp; " US Equity","PX_LAST",$B57,$B57)</f>
        <v>#N/A N/A</v>
      </c>
      <c r="AO57" t="str" cm="1">
        <f t="array" ref="AO57">_xll.BDH(AO$2 &amp; " US Equity","PX_LAST",$B57,$B57)</f>
        <v>#N/A N/A</v>
      </c>
      <c r="AP57" t="str" cm="1">
        <f t="array" ref="AP57">_xll.BDH(AP$2 &amp; " US Equity","PX_LAST",$B57,$B57)</f>
        <v>#N/A N/A</v>
      </c>
      <c r="AQ57" t="str" cm="1">
        <f t="array" ref="AQ57">_xll.BDH(AQ$2 &amp; " US Equity","PX_LAST",$B57,$B57)</f>
        <v>#N/A N/A</v>
      </c>
      <c r="AR57" t="str" cm="1">
        <f t="array" ref="AR57">_xll.BDH(AR$2 &amp; " US Equity","PX_LAST",$B57,$B57)</f>
        <v>#N/A N/A</v>
      </c>
      <c r="AS57" t="str" cm="1">
        <f t="array" ref="AS57">_xll.BDH(AS$2 &amp; " US Equity","PX_LAST",$B57,$B57)</f>
        <v>#N/A N/A</v>
      </c>
      <c r="AT57" t="str" cm="1">
        <f t="array" ref="AT57">_xll.BDH(AT$2 &amp; " US Equity","PX_LAST",$B57,$B57)</f>
        <v>#N/A N/A</v>
      </c>
      <c r="AU57" t="str" cm="1">
        <f t="array" ref="AU57">_xll.BDH(AU$2 &amp; " US Equity","PX_LAST",$B57,$B57)</f>
        <v>#N/A N/A</v>
      </c>
      <c r="AV57" t="str" cm="1">
        <f t="array" ref="AV57">_xll.BDH(AV$2 &amp; " US Equity","PX_LAST",$B57,$B57)</f>
        <v>#N/A N/A</v>
      </c>
      <c r="AW57" t="str" cm="1">
        <f t="array" ref="AW57">_xll.BDH(AW$2 &amp; " US Equity","PX_LAST",$B57,$B57)</f>
        <v>#N/A N/A</v>
      </c>
    </row>
    <row r="58" spans="2:49">
      <c r="B58" s="13">
        <v>45956</v>
      </c>
      <c r="C58" t="str" cm="1">
        <f t="array" ref="C58">_xll.BDH(C$2 &amp; " US Equity","PX_LAST",$B58,$B58)</f>
        <v>#N/A N/A</v>
      </c>
      <c r="D58" t="str" cm="1">
        <f t="array" ref="D58">_xll.BDH(D$2 &amp; " PE Equity","PX_LAST",$B58,$B58)</f>
        <v>#N/A N/A</v>
      </c>
      <c r="E58" t="str" cm="1">
        <f t="array" ref="E58">_xll.BDH(E$2 &amp; " PE Equity","PX_LAST",$B58,$B58)</f>
        <v>#N/A N/A</v>
      </c>
      <c r="F58" t="str" cm="1">
        <f t="array" ref="F58">_xll.BDH(F$2 &amp; " PE Equity","PX_LAST",$B58,$B58)</f>
        <v>#N/A N/A</v>
      </c>
      <c r="G58" t="str" cm="1">
        <f t="array" ref="G58">_xll.BDH(G$2 &amp; " US Equity","PX_LAST",$B58,$B58)</f>
        <v>#N/A N/A</v>
      </c>
      <c r="H58" t="str" cm="1">
        <f t="array" ref="H58">_xll.BDH(H$2 &amp; " PE Equity","PX_LAST",$B58,$B58)</f>
        <v>#N/A N/A</v>
      </c>
      <c r="I58" t="str" cm="1">
        <f t="array" ref="I58">_xll.BDH(I$2 &amp; " US Equity","PX_LAST",$B58,$B58)</f>
        <v>#N/A N/A</v>
      </c>
      <c r="J58" t="str" cm="1">
        <f t="array" ref="J58">_xll.BDH(J$2 &amp; " US Equity","PX_LAST",$B58,$B58)</f>
        <v>#N/A N/A</v>
      </c>
      <c r="K58" t="str" cm="1">
        <f t="array" ref="K58">_xll.BDH(K$2 &amp; " US Equity","PX_LAST",$B58,$B58)</f>
        <v>#N/A N/A</v>
      </c>
      <c r="L58" t="str" cm="1">
        <f t="array" ref="L58">_xll.BDH(L$2 &amp; " US Equity","PX_LAST",$B58,$B58)</f>
        <v>#N/A N/A</v>
      </c>
      <c r="M58" t="str" cm="1">
        <f t="array" ref="M58">_xll.BDH(M$2 &amp; " US Equity","PX_LAST",$B58,$B58)</f>
        <v>#N/A N/A</v>
      </c>
      <c r="N58" t="str" cm="1">
        <f t="array" ref="N58">_xll.BDH(N$2 &amp; " US Equity","PX_LAST",$B58,$B58)</f>
        <v>#N/A N/A</v>
      </c>
      <c r="O58" t="str" cm="1">
        <f t="array" ref="O58">_xll.BDH(O$2 &amp; " US Equity","PX_LAST",$B58,$B58)</f>
        <v>#N/A N/A</v>
      </c>
      <c r="P58" t="str" cm="1">
        <f t="array" ref="P58">_xll.BDH(P$2 &amp; " US Equity","PX_LAST",$B58,$B58)</f>
        <v>#N/A N/A</v>
      </c>
      <c r="Q58" t="str" cm="1">
        <f t="array" ref="Q58">_xll.BDH(Q$2 &amp; " US Equity","PX_LAST",$B58,$B58)</f>
        <v>#N/A N/A</v>
      </c>
      <c r="R58" t="str" cm="1">
        <f t="array" ref="R58">_xll.BDH(R$2 &amp; " US Equity","PX_LAST",$B58,$B58)</f>
        <v>#N/A N/A</v>
      </c>
      <c r="S58" t="str" cm="1">
        <f t="array" ref="S58">_xll.BDH(S$2 &amp; " US Equity","PX_LAST",$B58,$B58)</f>
        <v>#N/A N/A</v>
      </c>
      <c r="T58" t="str" cm="1">
        <f t="array" ref="T58">_xll.BDH(T$2 &amp; " US Equity","PX_LAST",$B58,$B58)</f>
        <v>#N/A N/A</v>
      </c>
      <c r="U58" t="str" cm="1">
        <f t="array" ref="U58">_xll.BDH(U$2 &amp; " US Equity","PX_LAST",$B58,$B58)</f>
        <v>#N/A N/A</v>
      </c>
      <c r="V58" t="str" cm="1">
        <f t="array" ref="V58">_xll.BDH(V$2 &amp; " US Equity","PX_LAST",$B58,$B58)</f>
        <v>#N/A N/A</v>
      </c>
      <c r="W58" t="str" cm="1">
        <f t="array" ref="W58">_xll.BDH(W$2 &amp; " US Equity","PX_LAST",$B58,$B58)</f>
        <v>#N/A N/A</v>
      </c>
      <c r="X58" t="str" cm="1">
        <f t="array" ref="X58">_xll.BDH(X$2 &amp; " US Equity","PX_LAST",$B58,$B58)</f>
        <v>#N/A N/A</v>
      </c>
      <c r="Y58" t="str" cm="1">
        <f t="array" ref="Y58">_xll.BDH(Y$2 &amp; " US Equity","PX_LAST",$B58,$B58)</f>
        <v>#N/A N/A</v>
      </c>
      <c r="Z58" t="str" cm="1">
        <f t="array" ref="Z58">_xll.BDH(Z$2 &amp; " US Equity","PX_LAST",$B58,$B58)</f>
        <v>#N/A N/A</v>
      </c>
      <c r="AA58" t="str" cm="1">
        <f t="array" ref="AA58">_xll.BDH(AA$2 &amp; " PE Equity","PX_LAST",$B58,$B58)</f>
        <v>#N/A N/A</v>
      </c>
      <c r="AB58" t="str" cm="1">
        <f t="array" ref="AB58">_xll.BDH(AB$2 &amp; " PE Equity","PX_LAST",$B58,$B58)</f>
        <v>#N/A N/A</v>
      </c>
      <c r="AC58" t="str" cm="1">
        <f t="array" ref="AC58">_xll.BDH(AC$2 &amp; " US Equity","PX_LAST",$B58,$B58)</f>
        <v>#N/A N/A</v>
      </c>
      <c r="AD58" t="str" cm="1">
        <f t="array" ref="AD58">_xll.BDH(AD$2 &amp; " US Equity","PX_LAST",$B58,$B58)</f>
        <v>#N/A N/A</v>
      </c>
      <c r="AE58" t="str" cm="1">
        <f t="array" ref="AE58">_xll.BDH(AE$2 &amp; " PE Equity","PX_LAST",$B58,$B58)</f>
        <v>#N/A Connection</v>
      </c>
      <c r="AF58" t="str" cm="1">
        <f t="array" ref="AF58">_xll.BDH(AF$2 &amp; " US Equity","PX_LAST",$B58,$B58)</f>
        <v>#N/A N/A</v>
      </c>
      <c r="AG58" t="str" cm="1">
        <f t="array" ref="AG58">_xll.BDH(AG$2 &amp; " US Equity","PX_LAST",$B58,$B58)</f>
        <v>#N/A N/A</v>
      </c>
      <c r="AH58" t="str" cm="1">
        <f t="array" ref="AH58">_xll.BDH(AH$2 &amp; " US Equity","PX_LAST",$B58,$B58)</f>
        <v>#N/A N/A</v>
      </c>
      <c r="AI58" t="str" cm="1">
        <f t="array" ref="AI58">_xll.BDH(AI$2 &amp; " US Equity","PX_LAST",$B58,$B58)</f>
        <v>#N/A N/A</v>
      </c>
      <c r="AJ58" t="str" cm="1">
        <f t="array" ref="AJ58">_xll.BDH(AJ$2 &amp; " US Equity","PX_LAST",$B58,$B58)</f>
        <v>#N/A N/A</v>
      </c>
      <c r="AK58" t="str" cm="1">
        <f t="array" ref="AK58">_xll.BDH(AK$2 &amp; " US Equity","PX_LAST",$B58,$B58)</f>
        <v>#N/A N/A</v>
      </c>
      <c r="AL58" t="str" cm="1">
        <f t="array" ref="AL58">_xll.BDH(AL$2 &amp; " US Equity","PX_LAST",$B58,$B58)</f>
        <v>#N/A N/A</v>
      </c>
      <c r="AM58" t="str" cm="1">
        <f t="array" ref="AM58">_xll.BDH(AM$2 &amp; " US Equity","PX_LAST",$B58,$B58)</f>
        <v>#N/A N/A</v>
      </c>
      <c r="AN58" t="str" cm="1">
        <f t="array" ref="AN58">_xll.BDH(AN$2 &amp; " US Equity","PX_LAST",$B58,$B58)</f>
        <v>#N/A N/A</v>
      </c>
      <c r="AO58" t="str" cm="1">
        <f t="array" ref="AO58">_xll.BDH(AO$2 &amp; " US Equity","PX_LAST",$B58,$B58)</f>
        <v>#N/A N/A</v>
      </c>
      <c r="AP58" t="str" cm="1">
        <f t="array" ref="AP58">_xll.BDH(AP$2 &amp; " US Equity","PX_LAST",$B58,$B58)</f>
        <v>#N/A N/A</v>
      </c>
      <c r="AQ58" t="str" cm="1">
        <f t="array" ref="AQ58">_xll.BDH(AQ$2 &amp; " US Equity","PX_LAST",$B58,$B58)</f>
        <v>#N/A N/A</v>
      </c>
      <c r="AR58" t="str" cm="1">
        <f t="array" ref="AR58">_xll.BDH(AR$2 &amp; " US Equity","PX_LAST",$B58,$B58)</f>
        <v>#N/A N/A</v>
      </c>
      <c r="AS58" t="str" cm="1">
        <f t="array" ref="AS58">_xll.BDH(AS$2 &amp; " US Equity","PX_LAST",$B58,$B58)</f>
        <v>#N/A N/A</v>
      </c>
      <c r="AT58" t="str" cm="1">
        <f t="array" ref="AT58">_xll.BDH(AT$2 &amp; " US Equity","PX_LAST",$B58,$B58)</f>
        <v>#N/A N/A</v>
      </c>
      <c r="AU58" t="str" cm="1">
        <f t="array" ref="AU58">_xll.BDH(AU$2 &amp; " US Equity","PX_LAST",$B58,$B58)</f>
        <v>#N/A N/A</v>
      </c>
      <c r="AV58" t="str" cm="1">
        <f t="array" ref="AV58">_xll.BDH(AV$2 &amp; " US Equity","PX_LAST",$B58,$B58)</f>
        <v>#N/A N/A</v>
      </c>
      <c r="AW58" t="str" cm="1">
        <f t="array" ref="AW58">_xll.BDH(AW$2 &amp; " US Equity","PX_LAST",$B58,$B58)</f>
        <v>#N/A N/A</v>
      </c>
    </row>
    <row r="59" spans="2:49">
      <c r="B59" s="13">
        <v>45957</v>
      </c>
      <c r="C59" cm="1">
        <f t="array" ref="C59">_xll.BDH(C$2 &amp; " US Equity","PX_LAST",$B59,$B59)</f>
        <v>247.34</v>
      </c>
      <c r="D59" cm="1">
        <f t="array" ref="D59">_xll.BDH(D$2 &amp; " PE Equity","PX_LAST",$B59,$B59)</f>
        <v>4.2300000000000004</v>
      </c>
      <c r="E59" t="str" cm="1">
        <f t="array" ref="E59">_xll.BDH(E$2 &amp; " PE Equity","PX_LAST",$B59,$B59)</f>
        <v>#N/A N/A</v>
      </c>
      <c r="F59" cm="1">
        <f t="array" ref="F59">_xll.BDH(F$2 &amp; " PE Equity","PX_LAST",$B59,$B59)</f>
        <v>2.4500000000000002</v>
      </c>
      <c r="G59" cm="1">
        <f t="array" ref="G59">_xll.BDH(G$2 &amp; " US Equity","PX_LAST",$B59,$B59)</f>
        <v>23.02</v>
      </c>
      <c r="H59" cm="1">
        <f t="array" ref="H59">_xll.BDH(H$2 &amp; " PE Equity","PX_LAST",$B59,$B59)</f>
        <v>3.32</v>
      </c>
      <c r="I59" cm="1">
        <f t="array" ref="I59">_xll.BDH(I$2 &amp; " US Equity","PX_LAST",$B59,$B59)</f>
        <v>48.91</v>
      </c>
      <c r="J59" cm="1">
        <f t="array" ref="J59">_xll.BDH(J$2 &amp; " US Equity","PX_LAST",$B59,$B59)</f>
        <v>6.9320000000000004</v>
      </c>
      <c r="K59" cm="1">
        <f t="array" ref="K59">_xll.BDH(K$2 &amp; " US Equity","PX_LAST",$B59,$B59)</f>
        <v>50.23</v>
      </c>
      <c r="L59" cm="1">
        <f t="array" ref="L59">_xll.BDH(L$2 &amp; " US Equity","PX_LAST",$B59,$B59)</f>
        <v>55.71</v>
      </c>
      <c r="M59" cm="1">
        <f t="array" ref="M59">_xll.BDH(M$2 &amp; " US Equity","PX_LAST",$B59,$B59)</f>
        <v>256.49</v>
      </c>
      <c r="N59" cm="1">
        <f t="array" ref="N59">_xll.BDH(N$2 &amp; " US Equity","PX_LAST",$B59,$B59)</f>
        <v>33.94</v>
      </c>
      <c r="O59" cm="1">
        <f t="array" ref="O59">_xll.BDH(O$2 &amp; " US Equity","PX_LAST",$B59,$B59)</f>
        <v>30.77</v>
      </c>
      <c r="P59" cm="1">
        <f t="array" ref="P59">_xll.BDH(P$2 &amp; " US Equity","PX_LAST",$B59,$B59)</f>
        <v>16.75</v>
      </c>
      <c r="Q59" cm="1">
        <f t="array" ref="Q59">_xll.BDH(Q$2 &amp; " US Equity","PX_LAST",$B59,$B59)</f>
        <v>24.77</v>
      </c>
      <c r="R59" cm="1">
        <f t="array" ref="R59">_xll.BDH(R$2 &amp; " US Equity","PX_LAST",$B59,$B59)</f>
        <v>21.5</v>
      </c>
      <c r="S59" cm="1">
        <f t="array" ref="S59">_xll.BDH(S$2 &amp; " US Equity","PX_LAST",$B59,$B59)</f>
        <v>155.79</v>
      </c>
      <c r="T59" cm="1">
        <f t="array" ref="T59">_xll.BDH(T$2 &amp; " US Equity","PX_LAST",$B59,$B59)</f>
        <v>63.13</v>
      </c>
      <c r="U59" cm="1">
        <f t="array" ref="U59">_xll.BDH(U$2 &amp; " US Equity","PX_LAST",$B59,$B59)</f>
        <v>128.66</v>
      </c>
      <c r="V59" cm="1">
        <f t="array" ref="V59">_xll.BDH(V$2 &amp; " US Equity","PX_LAST",$B59,$B59)</f>
        <v>45.82</v>
      </c>
      <c r="W59" cm="1">
        <f t="array" ref="W59">_xll.BDH(W$2 &amp; " US Equity","PX_LAST",$B59,$B59)</f>
        <v>189.18</v>
      </c>
      <c r="X59" cm="1">
        <f t="array" ref="X59">_xll.BDH(X$2 &amp; " US Equity","PX_LAST",$B59,$B59)</f>
        <v>56.94</v>
      </c>
      <c r="Y59" cm="1">
        <f t="array" ref="Y59">_xll.BDH(Y$2 &amp; " US Equity","PX_LAST",$B59,$B59)</f>
        <v>45.33</v>
      </c>
      <c r="Z59" cm="1">
        <f t="array" ref="Z59">_xll.BDH(Z$2 &amp; " US Equity","PX_LAST",$B59,$B59)</f>
        <v>359.94</v>
      </c>
      <c r="AA59" cm="1">
        <f t="array" ref="AA59">_xll.BDH(AA$2 &amp; " PE Equity","PX_LAST",$B59,$B59)</f>
        <v>0.498</v>
      </c>
      <c r="AB59" cm="1">
        <f t="array" ref="AB59">_xll.BDH(AB$2 &amp; " PE Equity","PX_LAST",$B59,$B59)</f>
        <v>25.8</v>
      </c>
      <c r="AC59" cm="1">
        <f t="array" ref="AC59">_xll.BDH(AC$2 &amp; " US Equity","PX_LAST",$B59,$B59)</f>
        <v>70.11</v>
      </c>
      <c r="AD59" cm="1">
        <f t="array" ref="AD59">_xll.BDH(AD$2 &amp; " US Equity","PX_LAST",$B59,$B59)</f>
        <v>685.24</v>
      </c>
      <c r="AE59" t="str" cm="1">
        <f t="array" ref="AE59">_xll.BDH(AE$2 &amp; " PE Equity","PX_LAST",$B59,$B59)</f>
        <v>#N/A Connection</v>
      </c>
      <c r="AF59" cm="1">
        <f t="array" ref="AF59">_xll.BDH(AF$2 &amp; " US Equity","PX_LAST",$B59,$B59)</f>
        <v>55.671599999999998</v>
      </c>
      <c r="AG59" cm="1">
        <f t="array" ref="AG59">_xll.BDH(AG$2 &amp; " US Equity","PX_LAST",$B59,$B59)</f>
        <v>13.7</v>
      </c>
      <c r="AH59" cm="1">
        <f t="array" ref="AH59">_xll.BDH(AH$2 &amp; " US Equity","PX_LAST",$B59,$B59)</f>
        <v>628.09</v>
      </c>
      <c r="AI59" cm="1">
        <f t="array" ref="AI59">_xll.BDH(AI$2 &amp; " US Equity","PX_LAST",$B59,$B59)</f>
        <v>102.21</v>
      </c>
      <c r="AJ59" cm="1">
        <f t="array" ref="AJ59">_xll.BDH(AJ$2 &amp; " US Equity","PX_LAST",$B59,$B59)</f>
        <v>112.34</v>
      </c>
      <c r="AK59" cm="1">
        <f t="array" ref="AK59">_xll.BDH(AK$2 &amp; " US Equity","PX_LAST",$B59,$B59)</f>
        <v>120.54</v>
      </c>
      <c r="AL59" cm="1">
        <f t="array" ref="AL59">_xll.BDH(AL$2 &amp; " US Equity","PX_LAST",$B59,$B59)</f>
        <v>226.97</v>
      </c>
      <c r="AM59" cm="1">
        <f t="array" ref="AM59">_xll.BDH(AM$2 &amp; " US Equity","PX_LAST",$B59,$B59)</f>
        <v>58.215000000000003</v>
      </c>
      <c r="AN59" cm="1">
        <f t="array" ref="AN59">_xll.BDH(AN$2 &amp; " US Equity","PX_LAST",$B59,$B59)</f>
        <v>26.215</v>
      </c>
      <c r="AO59" cm="1">
        <f t="array" ref="AO59">_xll.BDH(AO$2 &amp; " US Equity","PX_LAST",$B59,$B59)</f>
        <v>57.94</v>
      </c>
      <c r="AP59" cm="1">
        <f t="array" ref="AP59">_xll.BDH(AP$2 &amp; " US Equity","PX_LAST",$B59,$B59)</f>
        <v>6.03</v>
      </c>
      <c r="AQ59" cm="1">
        <f t="array" ref="AQ59">_xll.BDH(AQ$2 &amp; " US Equity","PX_LAST",$B59,$B59)</f>
        <v>120.62</v>
      </c>
      <c r="AR59" cm="1">
        <f t="array" ref="AR59">_xll.BDH(AR$2 &amp; " US Equity","PX_LAST",$B59,$B59)</f>
        <v>56.92</v>
      </c>
      <c r="AS59" cm="1">
        <f t="array" ref="AS59">_xll.BDH(AS$2 &amp; " US Equity","PX_LAST",$B59,$B59)</f>
        <v>109.456</v>
      </c>
      <c r="AT59" cm="1">
        <f t="array" ref="AT59">_xll.BDH(AT$2 &amp; " US Equity","PX_LAST",$B59,$B59)</f>
        <v>7.04</v>
      </c>
      <c r="AU59" cm="1">
        <f t="array" ref="AU59">_xll.BDH(AU$2 &amp; " US Equity","PX_LAST",$B59,$B59)</f>
        <v>365.98</v>
      </c>
      <c r="AV59" cm="1">
        <f t="array" ref="AV59">_xll.BDH(AV$2 &amp; " US Equity","PX_LAST",$B59,$B59)</f>
        <v>254.27</v>
      </c>
      <c r="AW59" cm="1">
        <f t="array" ref="AW59">_xll.BDH(AW$2 &amp; " US Equity","PX_LAST",$B59,$B59)</f>
        <v>122.26</v>
      </c>
    </row>
    <row r="60" spans="2:49">
      <c r="B60" s="13">
        <v>45958</v>
      </c>
      <c r="C60" cm="1">
        <f t="array" ref="C60">_xll.BDH(C$2 &amp; " US Equity","PX_LAST",$B60,$B60)</f>
        <v>249.55</v>
      </c>
      <c r="D60" cm="1">
        <f t="array" ref="D60">_xll.BDH(D$2 &amp; " PE Equity","PX_LAST",$B60,$B60)</f>
        <v>4.22</v>
      </c>
      <c r="E60" t="str" cm="1">
        <f t="array" ref="E60">_xll.BDH(E$2 &amp; " PE Equity","PX_LAST",$B60,$B60)</f>
        <v>#N/A N/A</v>
      </c>
      <c r="F60" cm="1">
        <f t="array" ref="F60">_xll.BDH(F$2 &amp; " PE Equity","PX_LAST",$B60,$B60)</f>
        <v>2.4500000000000002</v>
      </c>
      <c r="G60" cm="1">
        <f t="array" ref="G60">_xll.BDH(G$2 &amp; " US Equity","PX_LAST",$B60,$B60)</f>
        <v>23.34</v>
      </c>
      <c r="H60" cm="1">
        <f t="array" ref="H60">_xll.BDH(H$2 &amp; " PE Equity","PX_LAST",$B60,$B60)</f>
        <v>3.31</v>
      </c>
      <c r="I60" cm="1">
        <f t="array" ref="I60">_xll.BDH(I$2 &amp; " US Equity","PX_LAST",$B60,$B60)</f>
        <v>48.45</v>
      </c>
      <c r="J60" cm="1">
        <f t="array" ref="J60">_xll.BDH(J$2 &amp; " US Equity","PX_LAST",$B60,$B60)</f>
        <v>6.9611999999999998</v>
      </c>
      <c r="K60" cm="1">
        <f t="array" ref="K60">_xll.BDH(K$2 &amp; " US Equity","PX_LAST",$B60,$B60)</f>
        <v>50.6</v>
      </c>
      <c r="L60" cm="1">
        <f t="array" ref="L60">_xll.BDH(L$2 &amp; " US Equity","PX_LAST",$B60,$B60)</f>
        <v>55.69</v>
      </c>
      <c r="M60" cm="1">
        <f t="array" ref="M60">_xll.BDH(M$2 &amp; " US Equity","PX_LAST",$B60,$B60)</f>
        <v>260.33999999999997</v>
      </c>
      <c r="N60" cm="1">
        <f t="array" ref="N60">_xll.BDH(N$2 &amp; " US Equity","PX_LAST",$B60,$B60)</f>
        <v>34.04</v>
      </c>
      <c r="O60" cm="1">
        <f t="array" ref="O60">_xll.BDH(O$2 &amp; " US Equity","PX_LAST",$B60,$B60)</f>
        <v>30.92</v>
      </c>
      <c r="P60" cm="1">
        <f t="array" ref="P60">_xll.BDH(P$2 &amp; " US Equity","PX_LAST",$B60,$B60)</f>
        <v>16.89</v>
      </c>
      <c r="Q60" cm="1">
        <f t="array" ref="Q60">_xll.BDH(Q$2 &amp; " US Equity","PX_LAST",$B60,$B60)</f>
        <v>24.5</v>
      </c>
      <c r="R60" cm="1">
        <f t="array" ref="R60">_xll.BDH(R$2 &amp; " US Equity","PX_LAST",$B60,$B60)</f>
        <v>22.11</v>
      </c>
      <c r="S60" cm="1">
        <f t="array" ref="S60">_xll.BDH(S$2 &amp; " US Equity","PX_LAST",$B60,$B60)</f>
        <v>154.68</v>
      </c>
      <c r="T60" cm="1">
        <f t="array" ref="T60">_xll.BDH(T$2 &amp; " US Equity","PX_LAST",$B60,$B60)</f>
        <v>63.04</v>
      </c>
      <c r="U60" cm="1">
        <f t="array" ref="U60">_xll.BDH(U$2 &amp; " US Equity","PX_LAST",$B60,$B60)</f>
        <v>126.82</v>
      </c>
      <c r="V60" cm="1">
        <f t="array" ref="V60">_xll.BDH(V$2 &amp; " US Equity","PX_LAST",$B60,$B60)</f>
        <v>45.064999999999998</v>
      </c>
      <c r="W60" cm="1">
        <f t="array" ref="W60">_xll.BDH(W$2 &amp; " US Equity","PX_LAST",$B60,$B60)</f>
        <v>189.6</v>
      </c>
      <c r="X60" cm="1">
        <f t="array" ref="X60">_xll.BDH(X$2 &amp; " US Equity","PX_LAST",$B60,$B60)</f>
        <v>56.17</v>
      </c>
      <c r="Y60" cm="1">
        <f t="array" ref="Y60">_xll.BDH(Y$2 &amp; " US Equity","PX_LAST",$B60,$B60)</f>
        <v>45.14</v>
      </c>
      <c r="Z60" cm="1">
        <f t="array" ref="Z60">_xll.BDH(Z$2 &amp; " US Equity","PX_LAST",$B60,$B60)</f>
        <v>363.11</v>
      </c>
      <c r="AA60" cm="1">
        <f t="array" ref="AA60">_xll.BDH(AA$2 &amp; " PE Equity","PX_LAST",$B60,$B60)</f>
        <v>0.49399999999999999</v>
      </c>
      <c r="AB60" cm="1">
        <f t="array" ref="AB60">_xll.BDH(AB$2 &amp; " PE Equity","PX_LAST",$B60,$B60)</f>
        <v>25.8</v>
      </c>
      <c r="AC60" cm="1">
        <f t="array" ref="AC60">_xll.BDH(AC$2 &amp; " US Equity","PX_LAST",$B60,$B60)</f>
        <v>69.62</v>
      </c>
      <c r="AD60" cm="1">
        <f t="array" ref="AD60">_xll.BDH(AD$2 &amp; " US Equity","PX_LAST",$B60,$B60)</f>
        <v>687.06</v>
      </c>
      <c r="AE60" t="str" cm="1">
        <f t="array" ref="AE60">_xll.BDH(AE$2 &amp; " PE Equity","PX_LAST",$B60,$B60)</f>
        <v>#N/A Connection</v>
      </c>
      <c r="AF60" cm="1">
        <f t="array" ref="AF60">_xll.BDH(AF$2 &amp; " US Equity","PX_LAST",$B60,$B60)</f>
        <v>55.255499999999998</v>
      </c>
      <c r="AG60" cm="1">
        <f t="array" ref="AG60">_xll.BDH(AG$2 &amp; " US Equity","PX_LAST",$B60,$B60)</f>
        <v>13.645</v>
      </c>
      <c r="AH60" cm="1">
        <f t="array" ref="AH60">_xll.BDH(AH$2 &amp; " US Equity","PX_LAST",$B60,$B60)</f>
        <v>632.91999999999996</v>
      </c>
      <c r="AI60" cm="1">
        <f t="array" ref="AI60">_xll.BDH(AI$2 &amp; " US Equity","PX_LAST",$B60,$B60)</f>
        <v>101.45</v>
      </c>
      <c r="AJ60" cm="1">
        <f t="array" ref="AJ60">_xll.BDH(AJ$2 &amp; " US Equity","PX_LAST",$B60,$B60)</f>
        <v>111.65</v>
      </c>
      <c r="AK60" cm="1">
        <f t="array" ref="AK60">_xll.BDH(AK$2 &amp; " US Equity","PX_LAST",$B60,$B60)</f>
        <v>120.57</v>
      </c>
      <c r="AL60" cm="1">
        <f t="array" ref="AL60">_xll.BDH(AL$2 &amp; " US Equity","PX_LAST",$B60,$B60)</f>
        <v>229.25</v>
      </c>
      <c r="AM60" cm="1">
        <f t="array" ref="AM60">_xll.BDH(AM$2 &amp; " US Equity","PX_LAST",$B60,$B60)</f>
        <v>59.545000000000002</v>
      </c>
      <c r="AN60" cm="1">
        <f t="array" ref="AN60">_xll.BDH(AN$2 &amp; " US Equity","PX_LAST",$B60,$B60)</f>
        <v>26.13</v>
      </c>
      <c r="AO60" cm="1">
        <f t="array" ref="AO60">_xll.BDH(AO$2 &amp; " US Equity","PX_LAST",$B60,$B60)</f>
        <v>57.98</v>
      </c>
      <c r="AP60" cm="1">
        <f t="array" ref="AP60">_xll.BDH(AP$2 &amp; " US Equity","PX_LAST",$B60,$B60)</f>
        <v>6.11</v>
      </c>
      <c r="AQ60" cm="1">
        <f t="array" ref="AQ60">_xll.BDH(AQ$2 &amp; " US Equity","PX_LAST",$B60,$B60)</f>
        <v>120.66</v>
      </c>
      <c r="AR60" cm="1">
        <f t="array" ref="AR60">_xll.BDH(AR$2 &amp; " US Equity","PX_LAST",$B60,$B60)</f>
        <v>56.73</v>
      </c>
      <c r="AS60" cm="1">
        <f t="array" ref="AS60">_xll.BDH(AS$2 &amp; " US Equity","PX_LAST",$B60,$B60)</f>
        <v>110.25</v>
      </c>
      <c r="AT60" cm="1">
        <f t="array" ref="AT60">_xll.BDH(AT$2 &amp; " US Equity","PX_LAST",$B60,$B60)</f>
        <v>7.09</v>
      </c>
      <c r="AU60" cm="1">
        <f t="array" ref="AU60">_xll.BDH(AU$2 &amp; " US Equity","PX_LAST",$B60,$B60)</f>
        <v>367.84</v>
      </c>
      <c r="AV60" cm="1">
        <f t="array" ref="AV60">_xll.BDH(AV$2 &amp; " US Equity","PX_LAST",$B60,$B60)</f>
        <v>251.57</v>
      </c>
      <c r="AW60" cm="1">
        <f t="array" ref="AW60">_xll.BDH(AW$2 &amp; " US Equity","PX_LAST",$B60,$B60)</f>
        <v>120.61</v>
      </c>
    </row>
    <row r="61" spans="2:49">
      <c r="B61" s="13">
        <v>45959</v>
      </c>
      <c r="C61" cm="1">
        <f t="array" ref="C61">_xll.BDH(C$2 &amp; " US Equity","PX_LAST",$B61,$B61)</f>
        <v>249.64</v>
      </c>
      <c r="D61" cm="1">
        <f t="array" ref="D61">_xll.BDH(D$2 &amp; " PE Equity","PX_LAST",$B61,$B61)</f>
        <v>4.28</v>
      </c>
      <c r="E61" t="str" cm="1">
        <f t="array" ref="E61">_xll.BDH(E$2 &amp; " PE Equity","PX_LAST",$B61,$B61)</f>
        <v>#N/A N/A</v>
      </c>
      <c r="F61" cm="1">
        <f t="array" ref="F61">_xll.BDH(F$2 &amp; " PE Equity","PX_LAST",$B61,$B61)</f>
        <v>2.4500000000000002</v>
      </c>
      <c r="G61" cm="1">
        <f t="array" ref="G61">_xll.BDH(G$2 &amp; " US Equity","PX_LAST",$B61,$B61)</f>
        <v>23.18</v>
      </c>
      <c r="H61" cm="1">
        <f t="array" ref="H61">_xll.BDH(H$2 &amp; " PE Equity","PX_LAST",$B61,$B61)</f>
        <v>3.32</v>
      </c>
      <c r="I61" cm="1">
        <f t="array" ref="I61">_xll.BDH(I$2 &amp; " US Equity","PX_LAST",$B61,$B61)</f>
        <v>48.6</v>
      </c>
      <c r="J61" cm="1">
        <f t="array" ref="J61">_xll.BDH(J$2 &amp; " US Equity","PX_LAST",$B61,$B61)</f>
        <v>7.1359000000000004</v>
      </c>
      <c r="K61" cm="1">
        <f t="array" ref="K61">_xll.BDH(K$2 &amp; " US Equity","PX_LAST",$B61,$B61)</f>
        <v>50.65</v>
      </c>
      <c r="L61" cm="1">
        <f t="array" ref="L61">_xll.BDH(L$2 &amp; " US Equity","PX_LAST",$B61,$B61)</f>
        <v>56.01</v>
      </c>
      <c r="M61" cm="1">
        <f t="array" ref="M61">_xll.BDH(M$2 &amp; " US Equity","PX_LAST",$B61,$B61)</f>
        <v>263.36</v>
      </c>
      <c r="N61" cm="1">
        <f t="array" ref="N61">_xll.BDH(N$2 &amp; " US Equity","PX_LAST",$B61,$B61)</f>
        <v>34.06</v>
      </c>
      <c r="O61" cm="1">
        <f t="array" ref="O61">_xll.BDH(O$2 &amp; " US Equity","PX_LAST",$B61,$B61)</f>
        <v>31.18</v>
      </c>
      <c r="P61" cm="1">
        <f t="array" ref="P61">_xll.BDH(P$2 &amp; " US Equity","PX_LAST",$B61,$B61)</f>
        <v>17.32</v>
      </c>
      <c r="Q61" cm="1">
        <f t="array" ref="Q61">_xll.BDH(Q$2 &amp; " US Equity","PX_LAST",$B61,$B61)</f>
        <v>24.29</v>
      </c>
      <c r="R61" cm="1">
        <f t="array" ref="R61">_xll.BDH(R$2 &amp; " US Equity","PX_LAST",$B61,$B61)</f>
        <v>22.26</v>
      </c>
      <c r="S61" cm="1">
        <f t="array" ref="S61">_xll.BDH(S$2 &amp; " US Equity","PX_LAST",$B61,$B61)</f>
        <v>155.08000000000001</v>
      </c>
      <c r="T61" cm="1">
        <f t="array" ref="T61">_xll.BDH(T$2 &amp; " US Equity","PX_LAST",$B61,$B61)</f>
        <v>62.83</v>
      </c>
      <c r="U61" cm="1">
        <f t="array" ref="U61">_xll.BDH(U$2 &amp; " US Equity","PX_LAST",$B61,$B61)</f>
        <v>127.6</v>
      </c>
      <c r="V61" cm="1">
        <f t="array" ref="V61">_xll.BDH(V$2 &amp; " US Equity","PX_LAST",$B61,$B61)</f>
        <v>45.05</v>
      </c>
      <c r="W61" cm="1">
        <f t="array" ref="W61">_xll.BDH(W$2 &amp; " US Equity","PX_LAST",$B61,$B61)</f>
        <v>198.81</v>
      </c>
      <c r="X61" cm="1">
        <f t="array" ref="X61">_xll.BDH(X$2 &amp; " US Equity","PX_LAST",$B61,$B61)</f>
        <v>55.66</v>
      </c>
      <c r="Y61" cm="1">
        <f t="array" ref="Y61">_xll.BDH(Y$2 &amp; " US Equity","PX_LAST",$B61,$B61)</f>
        <v>44.86</v>
      </c>
      <c r="Z61" cm="1">
        <f t="array" ref="Z61">_xll.BDH(Z$2 &amp; " US Equity","PX_LAST",$B61,$B61)</f>
        <v>368.61</v>
      </c>
      <c r="AA61" cm="1">
        <f t="array" ref="AA61">_xll.BDH(AA$2 &amp; " PE Equity","PX_LAST",$B61,$B61)</f>
        <v>0.5</v>
      </c>
      <c r="AB61" cm="1">
        <f t="array" ref="AB61">_xll.BDH(AB$2 &amp; " PE Equity","PX_LAST",$B61,$B61)</f>
        <v>25.8</v>
      </c>
      <c r="AC61" cm="1">
        <f t="array" ref="AC61">_xll.BDH(AC$2 &amp; " US Equity","PX_LAST",$B61,$B61)</f>
        <v>69.41</v>
      </c>
      <c r="AD61" cm="1">
        <f t="array" ref="AD61">_xll.BDH(AD$2 &amp; " US Equity","PX_LAST",$B61,$B61)</f>
        <v>687.39</v>
      </c>
      <c r="AE61" t="str" cm="1">
        <f t="array" ref="AE61">_xll.BDH(AE$2 &amp; " PE Equity","PX_LAST",$B61,$B61)</f>
        <v>#N/A Connection</v>
      </c>
      <c r="AF61" cm="1">
        <f t="array" ref="AF61">_xll.BDH(AF$2 &amp; " US Equity","PX_LAST",$B61,$B61)</f>
        <v>54.741399999999999</v>
      </c>
      <c r="AG61" cm="1">
        <f t="array" ref="AG61">_xll.BDH(AG$2 &amp; " US Equity","PX_LAST",$B61,$B61)</f>
        <v>13.654299999999999</v>
      </c>
      <c r="AH61" cm="1">
        <f t="array" ref="AH61">_xll.BDH(AH$2 &amp; " US Equity","PX_LAST",$B61,$B61)</f>
        <v>635.77</v>
      </c>
      <c r="AI61" cm="1">
        <f t="array" ref="AI61">_xll.BDH(AI$2 &amp; " US Equity","PX_LAST",$B61,$B61)</f>
        <v>101.19</v>
      </c>
      <c r="AJ61" cm="1">
        <f t="array" ref="AJ61">_xll.BDH(AJ$2 &amp; " US Equity","PX_LAST",$B61,$B61)</f>
        <v>110.24</v>
      </c>
      <c r="AK61" cm="1">
        <f t="array" ref="AK61">_xll.BDH(AK$2 &amp; " US Equity","PX_LAST",$B61,$B61)</f>
        <v>119.575</v>
      </c>
      <c r="AL61" cm="1">
        <f t="array" ref="AL61">_xll.BDH(AL$2 &amp; " US Equity","PX_LAST",$B61,$B61)</f>
        <v>230.3</v>
      </c>
      <c r="AM61" cm="1">
        <f t="array" ref="AM61">_xll.BDH(AM$2 &amp; " US Equity","PX_LAST",$B61,$B61)</f>
        <v>60.305</v>
      </c>
      <c r="AN61" cm="1">
        <f t="array" ref="AN61">_xll.BDH(AN$2 &amp; " US Equity","PX_LAST",$B61,$B61)</f>
        <v>26.364999999999998</v>
      </c>
      <c r="AO61" cm="1">
        <f t="array" ref="AO61">_xll.BDH(AO$2 &amp; " US Equity","PX_LAST",$B61,$B61)</f>
        <v>58.39</v>
      </c>
      <c r="AP61" cm="1">
        <f t="array" ref="AP61">_xll.BDH(AP$2 &amp; " US Equity","PX_LAST",$B61,$B61)</f>
        <v>5.92</v>
      </c>
      <c r="AQ61" cm="1">
        <f t="array" ref="AQ61">_xll.BDH(AQ$2 &amp; " US Equity","PX_LAST",$B61,$B61)</f>
        <v>116.72</v>
      </c>
      <c r="AR61" cm="1">
        <f t="array" ref="AR61">_xll.BDH(AR$2 &amp; " US Equity","PX_LAST",$B61,$B61)</f>
        <v>57.4</v>
      </c>
      <c r="AS61" cm="1">
        <f t="array" ref="AS61">_xll.BDH(AS$2 &amp; " US Equity","PX_LAST",$B61,$B61)</f>
        <v>110.041</v>
      </c>
      <c r="AT61" cm="1">
        <f t="array" ref="AT61">_xll.BDH(AT$2 &amp; " US Equity","PX_LAST",$B61,$B61)</f>
        <v>7.14</v>
      </c>
      <c r="AU61" cm="1">
        <f t="array" ref="AU61">_xll.BDH(AU$2 &amp; " US Equity","PX_LAST",$B61,$B61)</f>
        <v>355.26</v>
      </c>
      <c r="AV61" cm="1">
        <f t="array" ref="AV61">_xll.BDH(AV$2 &amp; " US Equity","PX_LAST",$B61,$B61)</f>
        <v>251.73</v>
      </c>
      <c r="AW61" cm="1">
        <f t="array" ref="AW61">_xll.BDH(AW$2 &amp; " US Equity","PX_LAST",$B61,$B61)</f>
        <v>118.55</v>
      </c>
    </row>
    <row r="62" spans="2:49">
      <c r="B62" s="13">
        <v>45960</v>
      </c>
      <c r="C62" cm="1">
        <f t="array" ref="C62">_xll.BDH(C$2 &amp; " US Equity","PX_LAST",$B62,$B62)</f>
        <v>248.93</v>
      </c>
      <c r="D62" cm="1">
        <f t="array" ref="D62">_xll.BDH(D$2 &amp; " PE Equity","PX_LAST",$B62,$B62)</f>
        <v>4.37</v>
      </c>
      <c r="E62" cm="1">
        <f t="array" ref="E62">_xll.BDH(E$2 &amp; " PE Equity","PX_LAST",$B62,$B62)</f>
        <v>1.65</v>
      </c>
      <c r="F62" cm="1">
        <f t="array" ref="F62">_xll.BDH(F$2 &amp; " PE Equity","PX_LAST",$B62,$B62)</f>
        <v>2.44</v>
      </c>
      <c r="G62" cm="1">
        <f t="array" ref="G62">_xll.BDH(G$2 &amp; " US Equity","PX_LAST",$B62,$B62)</f>
        <v>22.95</v>
      </c>
      <c r="H62" cm="1">
        <f t="array" ref="H62">_xll.BDH(H$2 &amp; " PE Equity","PX_LAST",$B62,$B62)</f>
        <v>3.32</v>
      </c>
      <c r="I62" cm="1">
        <f t="array" ref="I62">_xll.BDH(I$2 &amp; " US Equity","PX_LAST",$B62,$B62)</f>
        <v>47.73</v>
      </c>
      <c r="J62" cm="1">
        <f t="array" ref="J62">_xll.BDH(J$2 &amp; " US Equity","PX_LAST",$B62,$B62)</f>
        <v>7.1165000000000003</v>
      </c>
      <c r="K62" cm="1">
        <f t="array" ref="K62">_xll.BDH(K$2 &amp; " US Equity","PX_LAST",$B62,$B62)</f>
        <v>50.28</v>
      </c>
      <c r="L62" cm="1">
        <f t="array" ref="L62">_xll.BDH(L$2 &amp; " US Equity","PX_LAST",$B62,$B62)</f>
        <v>55.43</v>
      </c>
      <c r="M62" cm="1">
        <f t="array" ref="M62">_xll.BDH(M$2 &amp; " US Equity","PX_LAST",$B62,$B62)</f>
        <v>260</v>
      </c>
      <c r="N62" cm="1">
        <f t="array" ref="N62">_xll.BDH(N$2 &amp; " US Equity","PX_LAST",$B62,$B62)</f>
        <v>33.97</v>
      </c>
      <c r="O62" cm="1">
        <f t="array" ref="O62">_xll.BDH(O$2 &amp; " US Equity","PX_LAST",$B62,$B62)</f>
        <v>31.05</v>
      </c>
      <c r="P62" cm="1">
        <f t="array" ref="P62">_xll.BDH(P$2 &amp; " US Equity","PX_LAST",$B62,$B62)</f>
        <v>17.03</v>
      </c>
      <c r="Q62" cm="1">
        <f t="array" ref="Q62">_xll.BDH(Q$2 &amp; " US Equity","PX_LAST",$B62,$B62)</f>
        <v>24.29</v>
      </c>
      <c r="R62" cm="1">
        <f t="array" ref="R62">_xll.BDH(R$2 &amp; " US Equity","PX_LAST",$B62,$B62)</f>
        <v>22.73</v>
      </c>
      <c r="S62" cm="1">
        <f t="array" ref="S62">_xll.BDH(S$2 &amp; " US Equity","PX_LAST",$B62,$B62)</f>
        <v>154.69</v>
      </c>
      <c r="T62" cm="1">
        <f t="array" ref="T62">_xll.BDH(T$2 &amp; " US Equity","PX_LAST",$B62,$B62)</f>
        <v>62.42</v>
      </c>
      <c r="U62" cm="1">
        <f t="array" ref="U62">_xll.BDH(U$2 &amp; " US Equity","PX_LAST",$B62,$B62)</f>
        <v>121.81</v>
      </c>
      <c r="V62" cm="1">
        <f t="array" ref="V62">_xll.BDH(V$2 &amp; " US Equity","PX_LAST",$B62,$B62)</f>
        <v>44.86</v>
      </c>
      <c r="W62" cm="1">
        <f t="array" ref="W62">_xll.BDH(W$2 &amp; " US Equity","PX_LAST",$B62,$B62)</f>
        <v>194.55</v>
      </c>
      <c r="X62" cm="1">
        <f t="array" ref="X62">_xll.BDH(X$2 &amp; " US Equity","PX_LAST",$B62,$B62)</f>
        <v>55.6</v>
      </c>
      <c r="Y62" cm="1">
        <f t="array" ref="Y62">_xll.BDH(Y$2 &amp; " US Equity","PX_LAST",$B62,$B62)</f>
        <v>44.44</v>
      </c>
      <c r="Z62" cm="1">
        <f t="array" ref="Z62">_xll.BDH(Z$2 &amp; " US Equity","PX_LAST",$B62,$B62)</f>
        <v>363.73</v>
      </c>
      <c r="AA62" cm="1">
        <f t="array" ref="AA62">_xll.BDH(AA$2 &amp; " PE Equity","PX_LAST",$B62,$B62)</f>
        <v>0.51</v>
      </c>
      <c r="AB62" cm="1">
        <f t="array" ref="AB62">_xll.BDH(AB$2 &amp; " PE Equity","PX_LAST",$B62,$B62)</f>
        <v>25.8</v>
      </c>
      <c r="AC62" cm="1">
        <f t="array" ref="AC62">_xll.BDH(AC$2 &amp; " US Equity","PX_LAST",$B62,$B62)</f>
        <v>69.069999999999993</v>
      </c>
      <c r="AD62" cm="1">
        <f t="array" ref="AD62">_xll.BDH(AD$2 &amp; " US Equity","PX_LAST",$B62,$B62)</f>
        <v>679.83</v>
      </c>
      <c r="AE62" t="str" cm="1">
        <f t="array" ref="AE62">_xll.BDH(AE$2 &amp; " PE Equity","PX_LAST",$B62,$B62)</f>
        <v>#N/A Connection</v>
      </c>
      <c r="AF62" cm="1">
        <f t="array" ref="AF62">_xll.BDH(AF$2 &amp; " US Equity","PX_LAST",$B62,$B62)</f>
        <v>54.983400000000003</v>
      </c>
      <c r="AG62" cm="1">
        <f t="array" ref="AG62">_xll.BDH(AG$2 &amp; " US Equity","PX_LAST",$B62,$B62)</f>
        <v>13.65</v>
      </c>
      <c r="AH62" cm="1">
        <f t="array" ref="AH62">_xll.BDH(AH$2 &amp; " US Equity","PX_LAST",$B62,$B62)</f>
        <v>626.04999999999995</v>
      </c>
      <c r="AI62" cm="1">
        <f t="array" ref="AI62">_xll.BDH(AI$2 &amp; " US Equity","PX_LAST",$B62,$B62)</f>
        <v>103.09</v>
      </c>
      <c r="AJ62" cm="1">
        <f t="array" ref="AJ62">_xll.BDH(AJ$2 &amp; " US Equity","PX_LAST",$B62,$B62)</f>
        <v>111.84</v>
      </c>
      <c r="AK62" cm="1">
        <f t="array" ref="AK62">_xll.BDH(AK$2 &amp; " US Equity","PX_LAST",$B62,$B62)</f>
        <v>116.875</v>
      </c>
      <c r="AL62" cm="1">
        <f t="array" ref="AL62">_xll.BDH(AL$2 &amp; " US Equity","PX_LAST",$B62,$B62)</f>
        <v>222.86</v>
      </c>
      <c r="AM62" cm="1">
        <f t="array" ref="AM62">_xll.BDH(AM$2 &amp; " US Equity","PX_LAST",$B62,$B62)</f>
        <v>57.545000000000002</v>
      </c>
      <c r="AN62" cm="1">
        <f t="array" ref="AN62">_xll.BDH(AN$2 &amp; " US Equity","PX_LAST",$B62,$B62)</f>
        <v>25.785499999999999</v>
      </c>
      <c r="AO62" cm="1">
        <f t="array" ref="AO62">_xll.BDH(AO$2 &amp; " US Equity","PX_LAST",$B62,$B62)</f>
        <v>57.11</v>
      </c>
      <c r="AP62" cm="1">
        <f t="array" ref="AP62">_xll.BDH(AP$2 &amp; " US Equity","PX_LAST",$B62,$B62)</f>
        <v>5.79</v>
      </c>
      <c r="AQ62" cm="1">
        <f t="array" ref="AQ62">_xll.BDH(AQ$2 &amp; " US Equity","PX_LAST",$B62,$B62)</f>
        <v>120.21</v>
      </c>
      <c r="AR62" cm="1">
        <f t="array" ref="AR62">_xll.BDH(AR$2 &amp; " US Equity","PX_LAST",$B62,$B62)</f>
        <v>57.87</v>
      </c>
      <c r="AS62" cm="1">
        <f t="array" ref="AS62">_xll.BDH(AS$2 &amp; " US Equity","PX_LAST",$B62,$B62)</f>
        <v>108.9</v>
      </c>
      <c r="AT62" cm="1">
        <f t="array" ref="AT62">_xll.BDH(AT$2 &amp; " US Equity","PX_LAST",$B62,$B62)</f>
        <v>7.01</v>
      </c>
      <c r="AU62" cm="1">
        <f t="array" ref="AU62">_xll.BDH(AU$2 &amp; " US Equity","PX_LAST",$B62,$B62)</f>
        <v>344.75</v>
      </c>
      <c r="AV62" cm="1">
        <f t="array" ref="AV62">_xll.BDH(AV$2 &amp; " US Equity","PX_LAST",$B62,$B62)</f>
        <v>252.78</v>
      </c>
      <c r="AW62" cm="1">
        <f t="array" ref="AW62">_xll.BDH(AW$2 &amp; " US Equity","PX_LAST",$B62,$B62)</f>
        <v>118.11</v>
      </c>
    </row>
    <row r="63" spans="2:49">
      <c r="B63" s="13">
        <v>45961</v>
      </c>
      <c r="C63" cm="1">
        <f t="array" ref="C63">_xll.BDH(C$2 &amp; " US Equity","PX_LAST",$B63,$B63)</f>
        <v>253.82</v>
      </c>
      <c r="D63" cm="1">
        <f t="array" ref="D63">_xll.BDH(D$2 &amp; " PE Equity","PX_LAST",$B63,$B63)</f>
        <v>4.3</v>
      </c>
      <c r="E63" t="str" cm="1">
        <f t="array" ref="E63">_xll.BDH(E$2 &amp; " PE Equity","PX_LAST",$B63,$B63)</f>
        <v>#N/A N/A</v>
      </c>
      <c r="F63" cm="1">
        <f t="array" ref="F63">_xll.BDH(F$2 &amp; " PE Equity","PX_LAST",$B63,$B63)</f>
        <v>2.46</v>
      </c>
      <c r="G63" cm="1">
        <f t="array" ref="G63">_xll.BDH(G$2 &amp; " US Equity","PX_LAST",$B63,$B63)</f>
        <v>23.49</v>
      </c>
      <c r="H63" cm="1">
        <f t="array" ref="H63">_xll.BDH(H$2 &amp; " PE Equity","PX_LAST",$B63,$B63)</f>
        <v>3.29</v>
      </c>
      <c r="I63" cm="1">
        <f t="array" ref="I63">_xll.BDH(I$2 &amp; " US Equity","PX_LAST",$B63,$B63)</f>
        <v>49.12</v>
      </c>
      <c r="J63" cm="1">
        <f t="array" ref="J63">_xll.BDH(J$2 &amp; " US Equity","PX_LAST",$B63,$B63)</f>
        <v>7.1456</v>
      </c>
      <c r="K63" cm="1">
        <f t="array" ref="K63">_xll.BDH(K$2 &amp; " US Equity","PX_LAST",$B63,$B63)</f>
        <v>50.17</v>
      </c>
      <c r="L63" cm="1">
        <f t="array" ref="L63">_xll.BDH(L$2 &amp; " US Equity","PX_LAST",$B63,$B63)</f>
        <v>55.3</v>
      </c>
      <c r="M63" cm="1">
        <f t="array" ref="M63">_xll.BDH(M$2 &amp; " US Equity","PX_LAST",$B63,$B63)</f>
        <v>261</v>
      </c>
      <c r="N63" cm="1">
        <f t="array" ref="N63">_xll.BDH(N$2 &amp; " US Equity","PX_LAST",$B63,$B63)</f>
        <v>33.85</v>
      </c>
      <c r="O63" cm="1">
        <f t="array" ref="O63">_xll.BDH(O$2 &amp; " US Equity","PX_LAST",$B63,$B63)</f>
        <v>31.17</v>
      </c>
      <c r="P63" cm="1">
        <f t="array" ref="P63">_xll.BDH(P$2 &amp; " US Equity","PX_LAST",$B63,$B63)</f>
        <v>17.3</v>
      </c>
      <c r="Q63" cm="1">
        <f t="array" ref="Q63">_xll.BDH(Q$2 &amp; " US Equity","PX_LAST",$B63,$B63)</f>
        <v>24.65</v>
      </c>
      <c r="R63" cm="1">
        <f t="array" ref="R63">_xll.BDH(R$2 &amp; " US Equity","PX_LAST",$B63,$B63)</f>
        <v>22.77</v>
      </c>
      <c r="S63" cm="1">
        <f t="array" ref="S63">_xll.BDH(S$2 &amp; " US Equity","PX_LAST",$B63,$B63)</f>
        <v>155.06</v>
      </c>
      <c r="T63" cm="1">
        <f t="array" ref="T63">_xll.BDH(T$2 &amp; " US Equity","PX_LAST",$B63,$B63)</f>
        <v>62.17</v>
      </c>
      <c r="U63" cm="1">
        <f t="array" ref="U63">_xll.BDH(U$2 &amp; " US Equity","PX_LAST",$B63,$B63)</f>
        <v>120.87</v>
      </c>
      <c r="V63" cm="1">
        <f t="array" ref="V63">_xll.BDH(V$2 &amp; " US Equity","PX_LAST",$B63,$B63)</f>
        <v>44.55</v>
      </c>
      <c r="W63" cm="1">
        <f t="array" ref="W63">_xll.BDH(W$2 &amp; " US Equity","PX_LAST",$B63,$B63)</f>
        <v>200.47</v>
      </c>
      <c r="X63" cm="1">
        <f t="array" ref="X63">_xll.BDH(X$2 &amp; " US Equity","PX_LAST",$B63,$B63)</f>
        <v>55.36</v>
      </c>
      <c r="Y63" cm="1">
        <f t="array" ref="Y63">_xll.BDH(Y$2 &amp; " US Equity","PX_LAST",$B63,$B63)</f>
        <v>44.28</v>
      </c>
      <c r="Z63" cm="1">
        <f t="array" ref="Z63">_xll.BDH(Z$2 &amp; " US Equity","PX_LAST",$B63,$B63)</f>
        <v>363.02</v>
      </c>
      <c r="AA63" cm="1">
        <f t="array" ref="AA63">_xll.BDH(AA$2 &amp; " PE Equity","PX_LAST",$B63,$B63)</f>
        <v>0.53</v>
      </c>
      <c r="AB63" cm="1">
        <f t="array" ref="AB63">_xll.BDH(AB$2 &amp; " PE Equity","PX_LAST",$B63,$B63)</f>
        <v>25.5</v>
      </c>
      <c r="AC63" cm="1">
        <f t="array" ref="AC63">_xll.BDH(AC$2 &amp; " US Equity","PX_LAST",$B63,$B63)</f>
        <v>69.349999999999994</v>
      </c>
      <c r="AD63" cm="1">
        <f t="array" ref="AD63">_xll.BDH(AD$2 &amp; " US Equity","PX_LAST",$B63,$B63)</f>
        <v>682.06</v>
      </c>
      <c r="AE63" t="str" cm="1">
        <f t="array" ref="AE63">_xll.BDH(AE$2 &amp; " PE Equity","PX_LAST",$B63,$B63)</f>
        <v>#N/A Connection</v>
      </c>
      <c r="AF63" cm="1">
        <f t="array" ref="AF63">_xll.BDH(AF$2 &amp; " US Equity","PX_LAST",$B63,$B63)</f>
        <v>54.834000000000003</v>
      </c>
      <c r="AG63" cm="1">
        <f t="array" ref="AG63">_xll.BDH(AG$2 &amp; " US Equity","PX_LAST",$B63,$B63)</f>
        <v>13.725</v>
      </c>
      <c r="AH63" cm="1">
        <f t="array" ref="AH63">_xll.BDH(AH$2 &amp; " US Equity","PX_LAST",$B63,$B63)</f>
        <v>629.07000000000005</v>
      </c>
      <c r="AI63" cm="1">
        <f t="array" ref="AI63">_xll.BDH(AI$2 &amp; " US Equity","PX_LAST",$B63,$B63)</f>
        <v>104</v>
      </c>
      <c r="AJ63" cm="1">
        <f t="array" ref="AJ63">_xll.BDH(AJ$2 &amp; " US Equity","PX_LAST",$B63,$B63)</f>
        <v>112.62</v>
      </c>
      <c r="AK63" cm="1">
        <f t="array" ref="AK63">_xll.BDH(AK$2 &amp; " US Equity","PX_LAST",$B63,$B63)</f>
        <v>119.965</v>
      </c>
      <c r="AL63" cm="1">
        <f t="array" ref="AL63">_xll.BDH(AL$2 &amp; " US Equity","PX_LAST",$B63,$B63)</f>
        <v>244.22</v>
      </c>
      <c r="AM63" cm="1">
        <f t="array" ref="AM63">_xll.BDH(AM$2 &amp; " US Equity","PX_LAST",$B63,$B63)</f>
        <v>58.36</v>
      </c>
      <c r="AN63" cm="1">
        <f t="array" ref="AN63">_xll.BDH(AN$2 &amp; " US Equity","PX_LAST",$B63,$B63)</f>
        <v>25.344999999999999</v>
      </c>
      <c r="AO63" cm="1">
        <f t="array" ref="AO63">_xll.BDH(AO$2 &amp; " US Equity","PX_LAST",$B63,$B63)</f>
        <v>56.11</v>
      </c>
      <c r="AP63" cm="1">
        <f t="array" ref="AP63">_xll.BDH(AP$2 &amp; " US Equity","PX_LAST",$B63,$B63)</f>
        <v>5.91</v>
      </c>
      <c r="AQ63" cm="1">
        <f t="array" ref="AQ63">_xll.BDH(AQ$2 &amp; " US Equity","PX_LAST",$B63,$B63)</f>
        <v>119.71</v>
      </c>
      <c r="AR63" cm="1">
        <f t="array" ref="AR63">_xll.BDH(AR$2 &amp; " US Equity","PX_LAST",$B63,$B63)</f>
        <v>58.04</v>
      </c>
      <c r="AS63" cm="1">
        <f t="array" ref="AS63">_xll.BDH(AS$2 &amp; " US Equity","PX_LAST",$B63,$B63)</f>
        <v>111.886</v>
      </c>
      <c r="AT63" cm="1">
        <f t="array" ref="AT63">_xll.BDH(AT$2 &amp; " US Equity","PX_LAST",$B63,$B63)</f>
        <v>7.25</v>
      </c>
      <c r="AU63" cm="1">
        <f t="array" ref="AU63">_xll.BDH(AU$2 &amp; " US Equity","PX_LAST",$B63,$B63)</f>
        <v>341.56</v>
      </c>
      <c r="AV63" cm="1">
        <f t="array" ref="AV63">_xll.BDH(AV$2 &amp; " US Equity","PX_LAST",$B63,$B63)</f>
        <v>256.37</v>
      </c>
      <c r="AW63" cm="1">
        <f t="array" ref="AW63">_xll.BDH(AW$2 &amp; " US Equity","PX_LAST",$B63,$B63)</f>
        <v>118.33</v>
      </c>
    </row>
    <row r="64" spans="2:49">
      <c r="B64" s="13">
        <v>45962</v>
      </c>
      <c r="C64" t="str" cm="1">
        <f t="array" ref="C64">_xll.BDH(C$2 &amp; " US Equity","PX_LAST",$B64,$B64)</f>
        <v>#N/A N/A</v>
      </c>
      <c r="D64" t="str" cm="1">
        <f t="array" ref="D64">_xll.BDH(D$2 &amp; " PE Equity","PX_LAST",$B64,$B64)</f>
        <v>#N/A N/A</v>
      </c>
      <c r="E64" t="str" cm="1">
        <f t="array" ref="E64">_xll.BDH(E$2 &amp; " PE Equity","PX_LAST",$B64,$B64)</f>
        <v>#N/A N/A</v>
      </c>
      <c r="F64" t="str" cm="1">
        <f t="array" ref="F64">_xll.BDH(F$2 &amp; " PE Equity","PX_LAST",$B64,$B64)</f>
        <v>#N/A N/A</v>
      </c>
      <c r="G64" t="str" cm="1">
        <f t="array" ref="G64">_xll.BDH(G$2 &amp; " US Equity","PX_LAST",$B64,$B64)</f>
        <v>#N/A N/A</v>
      </c>
      <c r="H64" t="str" cm="1">
        <f t="array" ref="H64">_xll.BDH(H$2 &amp; " PE Equity","PX_LAST",$B64,$B64)</f>
        <v>#N/A N/A</v>
      </c>
      <c r="I64" t="str" cm="1">
        <f t="array" ref="I64">_xll.BDH(I$2 &amp; " US Equity","PX_LAST",$B64,$B64)</f>
        <v>#N/A N/A</v>
      </c>
      <c r="J64" t="str" cm="1">
        <f t="array" ref="J64">_xll.BDH(J$2 &amp; " US Equity","PX_LAST",$B64,$B64)</f>
        <v>#N/A N/A</v>
      </c>
      <c r="K64" t="str" cm="1">
        <f t="array" ref="K64">_xll.BDH(K$2 &amp; " US Equity","PX_LAST",$B64,$B64)</f>
        <v>#N/A N/A</v>
      </c>
      <c r="L64" t="str" cm="1">
        <f t="array" ref="L64">_xll.BDH(L$2 &amp; " US Equity","PX_LAST",$B64,$B64)</f>
        <v>#N/A N/A</v>
      </c>
      <c r="M64" t="str" cm="1">
        <f t="array" ref="M64">_xll.BDH(M$2 &amp; " US Equity","PX_LAST",$B64,$B64)</f>
        <v>#N/A N/A</v>
      </c>
      <c r="N64" t="str" cm="1">
        <f t="array" ref="N64">_xll.BDH(N$2 &amp; " US Equity","PX_LAST",$B64,$B64)</f>
        <v>#N/A N/A</v>
      </c>
      <c r="O64" t="str" cm="1">
        <f t="array" ref="O64">_xll.BDH(O$2 &amp; " US Equity","PX_LAST",$B64,$B64)</f>
        <v>#N/A N/A</v>
      </c>
      <c r="P64" t="str" cm="1">
        <f t="array" ref="P64">_xll.BDH(P$2 &amp; " US Equity","PX_LAST",$B64,$B64)</f>
        <v>#N/A N/A</v>
      </c>
      <c r="Q64" t="str" cm="1">
        <f t="array" ref="Q64">_xll.BDH(Q$2 &amp; " US Equity","PX_LAST",$B64,$B64)</f>
        <v>#N/A N/A</v>
      </c>
      <c r="R64" t="str" cm="1">
        <f t="array" ref="R64">_xll.BDH(R$2 &amp; " US Equity","PX_LAST",$B64,$B64)</f>
        <v>#N/A N/A</v>
      </c>
      <c r="S64" t="str" cm="1">
        <f t="array" ref="S64">_xll.BDH(S$2 &amp; " US Equity","PX_LAST",$B64,$B64)</f>
        <v>#N/A N/A</v>
      </c>
      <c r="T64" t="str" cm="1">
        <f t="array" ref="T64">_xll.BDH(T$2 &amp; " US Equity","PX_LAST",$B64,$B64)</f>
        <v>#N/A N/A</v>
      </c>
      <c r="U64" t="str" cm="1">
        <f t="array" ref="U64">_xll.BDH(U$2 &amp; " US Equity","PX_LAST",$B64,$B64)</f>
        <v>#N/A N/A</v>
      </c>
      <c r="V64" t="str" cm="1">
        <f t="array" ref="V64">_xll.BDH(V$2 &amp; " US Equity","PX_LAST",$B64,$B64)</f>
        <v>#N/A N/A</v>
      </c>
      <c r="W64" t="str" cm="1">
        <f t="array" ref="W64">_xll.BDH(W$2 &amp; " US Equity","PX_LAST",$B64,$B64)</f>
        <v>#N/A N/A</v>
      </c>
      <c r="X64" t="str" cm="1">
        <f t="array" ref="X64">_xll.BDH(X$2 &amp; " US Equity","PX_LAST",$B64,$B64)</f>
        <v>#N/A N/A</v>
      </c>
      <c r="Y64" t="str" cm="1">
        <f t="array" ref="Y64">_xll.BDH(Y$2 &amp; " US Equity","PX_LAST",$B64,$B64)</f>
        <v>#N/A N/A</v>
      </c>
      <c r="Z64" t="str" cm="1">
        <f t="array" ref="Z64">_xll.BDH(Z$2 &amp; " US Equity","PX_LAST",$B64,$B64)</f>
        <v>#N/A N/A</v>
      </c>
      <c r="AA64" t="str" cm="1">
        <f t="array" ref="AA64">_xll.BDH(AA$2 &amp; " PE Equity","PX_LAST",$B64,$B64)</f>
        <v>#N/A N/A</v>
      </c>
      <c r="AB64" t="str" cm="1">
        <f t="array" ref="AB64">_xll.BDH(AB$2 &amp; " PE Equity","PX_LAST",$B64,$B64)</f>
        <v>#N/A N/A</v>
      </c>
      <c r="AC64" t="str" cm="1">
        <f t="array" ref="AC64">_xll.BDH(AC$2 &amp; " US Equity","PX_LAST",$B64,$B64)</f>
        <v>#N/A N/A</v>
      </c>
      <c r="AD64" t="str" cm="1">
        <f t="array" ref="AD64">_xll.BDH(AD$2 &amp; " US Equity","PX_LAST",$B64,$B64)</f>
        <v>#N/A N/A</v>
      </c>
      <c r="AE64" t="str" cm="1">
        <f t="array" ref="AE64">_xll.BDH(AE$2 &amp; " PE Equity","PX_LAST",$B64,$B64)</f>
        <v>#N/A Connection</v>
      </c>
      <c r="AF64" t="str" cm="1">
        <f t="array" ref="AF64">_xll.BDH(AF$2 &amp; " US Equity","PX_LAST",$B64,$B64)</f>
        <v>#N/A N/A</v>
      </c>
      <c r="AG64" t="str" cm="1">
        <f t="array" ref="AG64">_xll.BDH(AG$2 &amp; " US Equity","PX_LAST",$B64,$B64)</f>
        <v>#N/A N/A</v>
      </c>
      <c r="AH64" t="str" cm="1">
        <f t="array" ref="AH64">_xll.BDH(AH$2 &amp; " US Equity","PX_LAST",$B64,$B64)</f>
        <v>#N/A N/A</v>
      </c>
      <c r="AI64" t="str" cm="1">
        <f t="array" ref="AI64">_xll.BDH(AI$2 &amp; " US Equity","PX_LAST",$B64,$B64)</f>
        <v>#N/A N/A</v>
      </c>
      <c r="AJ64" t="str" cm="1">
        <f t="array" ref="AJ64">_xll.BDH(AJ$2 &amp; " US Equity","PX_LAST",$B64,$B64)</f>
        <v>#N/A N/A</v>
      </c>
      <c r="AK64" t="str" cm="1">
        <f t="array" ref="AK64">_xll.BDH(AK$2 &amp; " US Equity","PX_LAST",$B64,$B64)</f>
        <v>#N/A N/A</v>
      </c>
      <c r="AL64" t="str" cm="1">
        <f t="array" ref="AL64">_xll.BDH(AL$2 &amp; " US Equity","PX_LAST",$B64,$B64)</f>
        <v>#N/A N/A</v>
      </c>
      <c r="AM64" t="str" cm="1">
        <f t="array" ref="AM64">_xll.BDH(AM$2 &amp; " US Equity","PX_LAST",$B64,$B64)</f>
        <v>#N/A N/A</v>
      </c>
      <c r="AN64" t="str" cm="1">
        <f t="array" ref="AN64">_xll.BDH(AN$2 &amp; " US Equity","PX_LAST",$B64,$B64)</f>
        <v>#N/A N/A</v>
      </c>
      <c r="AO64" t="str" cm="1">
        <f t="array" ref="AO64">_xll.BDH(AO$2 &amp; " US Equity","PX_LAST",$B64,$B64)</f>
        <v>#N/A N/A</v>
      </c>
      <c r="AP64" t="str" cm="1">
        <f t="array" ref="AP64">_xll.BDH(AP$2 &amp; " US Equity","PX_LAST",$B64,$B64)</f>
        <v>#N/A N/A</v>
      </c>
      <c r="AQ64" t="str" cm="1">
        <f t="array" ref="AQ64">_xll.BDH(AQ$2 &amp; " US Equity","PX_LAST",$B64,$B64)</f>
        <v>#N/A N/A</v>
      </c>
      <c r="AR64" t="str" cm="1">
        <f t="array" ref="AR64">_xll.BDH(AR$2 &amp; " US Equity","PX_LAST",$B64,$B64)</f>
        <v>#N/A N/A</v>
      </c>
      <c r="AS64" t="str" cm="1">
        <f t="array" ref="AS64">_xll.BDH(AS$2 &amp; " US Equity","PX_LAST",$B64,$B64)</f>
        <v>#N/A N/A</v>
      </c>
      <c r="AT64" t="str" cm="1">
        <f t="array" ref="AT64">_xll.BDH(AT$2 &amp; " US Equity","PX_LAST",$B64,$B64)</f>
        <v>#N/A N/A</v>
      </c>
      <c r="AU64" t="str" cm="1">
        <f t="array" ref="AU64">_xll.BDH(AU$2 &amp; " US Equity","PX_LAST",$B64,$B64)</f>
        <v>#N/A N/A</v>
      </c>
      <c r="AV64" t="str" cm="1">
        <f t="array" ref="AV64">_xll.BDH(AV$2 &amp; " US Equity","PX_LAST",$B64,$B64)</f>
        <v>#N/A N/A</v>
      </c>
      <c r="AW64" t="str" cm="1">
        <f t="array" ref="AW64">_xll.BDH(AW$2 &amp; " US Equity","PX_LAST",$B64,$B64)</f>
        <v>#N/A N/A</v>
      </c>
    </row>
    <row r="65" spans="2:49">
      <c r="B65" s="13">
        <v>45963</v>
      </c>
      <c r="C65" t="str" cm="1">
        <f t="array" ref="C65">_xll.BDH(C$2 &amp; " US Equity","PX_LAST",$B65,$B65)</f>
        <v>#N/A N/A</v>
      </c>
      <c r="D65" t="str" cm="1">
        <f t="array" ref="D65">_xll.BDH(D$2 &amp; " PE Equity","PX_LAST",$B65,$B65)</f>
        <v>#N/A N/A</v>
      </c>
      <c r="E65" t="str" cm="1">
        <f t="array" ref="E65">_xll.BDH(E$2 &amp; " PE Equity","PX_LAST",$B65,$B65)</f>
        <v>#N/A N/A</v>
      </c>
      <c r="F65" t="str" cm="1">
        <f t="array" ref="F65">_xll.BDH(F$2 &amp; " PE Equity","PX_LAST",$B65,$B65)</f>
        <v>#N/A N/A</v>
      </c>
      <c r="G65" t="str" cm="1">
        <f t="array" ref="G65">_xll.BDH(G$2 &amp; " US Equity","PX_LAST",$B65,$B65)</f>
        <v>#N/A N/A</v>
      </c>
      <c r="H65" t="str" cm="1">
        <f t="array" ref="H65">_xll.BDH(H$2 &amp; " PE Equity","PX_LAST",$B65,$B65)</f>
        <v>#N/A N/A</v>
      </c>
      <c r="I65" t="str" cm="1">
        <f t="array" ref="I65">_xll.BDH(I$2 &amp; " US Equity","PX_LAST",$B65,$B65)</f>
        <v>#N/A N/A</v>
      </c>
      <c r="J65" t="str" cm="1">
        <f t="array" ref="J65">_xll.BDH(J$2 &amp; " US Equity","PX_LAST",$B65,$B65)</f>
        <v>#N/A N/A</v>
      </c>
      <c r="K65" t="str" cm="1">
        <f t="array" ref="K65">_xll.BDH(K$2 &amp; " US Equity","PX_LAST",$B65,$B65)</f>
        <v>#N/A N/A</v>
      </c>
      <c r="L65" t="str" cm="1">
        <f t="array" ref="L65">_xll.BDH(L$2 &amp; " US Equity","PX_LAST",$B65,$B65)</f>
        <v>#N/A N/A</v>
      </c>
      <c r="M65" t="str" cm="1">
        <f t="array" ref="M65">_xll.BDH(M$2 &amp; " US Equity","PX_LAST",$B65,$B65)</f>
        <v>#N/A N/A</v>
      </c>
      <c r="N65" t="str" cm="1">
        <f t="array" ref="N65">_xll.BDH(N$2 &amp; " US Equity","PX_LAST",$B65,$B65)</f>
        <v>#N/A N/A</v>
      </c>
      <c r="O65" t="str" cm="1">
        <f t="array" ref="O65">_xll.BDH(O$2 &amp; " US Equity","PX_LAST",$B65,$B65)</f>
        <v>#N/A N/A</v>
      </c>
      <c r="P65" t="str" cm="1">
        <f t="array" ref="P65">_xll.BDH(P$2 &amp; " US Equity","PX_LAST",$B65,$B65)</f>
        <v>#N/A N/A</v>
      </c>
      <c r="Q65" t="str" cm="1">
        <f t="array" ref="Q65">_xll.BDH(Q$2 &amp; " US Equity","PX_LAST",$B65,$B65)</f>
        <v>#N/A N/A</v>
      </c>
      <c r="R65" t="str" cm="1">
        <f t="array" ref="R65">_xll.BDH(R$2 &amp; " US Equity","PX_LAST",$B65,$B65)</f>
        <v>#N/A N/A</v>
      </c>
      <c r="S65" t="str" cm="1">
        <f t="array" ref="S65">_xll.BDH(S$2 &amp; " US Equity","PX_LAST",$B65,$B65)</f>
        <v>#N/A N/A</v>
      </c>
      <c r="T65" t="str" cm="1">
        <f t="array" ref="T65">_xll.BDH(T$2 &amp; " US Equity","PX_LAST",$B65,$B65)</f>
        <v>#N/A N/A</v>
      </c>
      <c r="U65" t="str" cm="1">
        <f t="array" ref="U65">_xll.BDH(U$2 &amp; " US Equity","PX_LAST",$B65,$B65)</f>
        <v>#N/A N/A</v>
      </c>
      <c r="V65" t="str" cm="1">
        <f t="array" ref="V65">_xll.BDH(V$2 &amp; " US Equity","PX_LAST",$B65,$B65)</f>
        <v>#N/A N/A</v>
      </c>
      <c r="W65" t="str" cm="1">
        <f t="array" ref="W65">_xll.BDH(W$2 &amp; " US Equity","PX_LAST",$B65,$B65)</f>
        <v>#N/A N/A</v>
      </c>
      <c r="X65" t="str" cm="1">
        <f t="array" ref="X65">_xll.BDH(X$2 &amp; " US Equity","PX_LAST",$B65,$B65)</f>
        <v>#N/A N/A</v>
      </c>
      <c r="Y65" t="str" cm="1">
        <f t="array" ref="Y65">_xll.BDH(Y$2 &amp; " US Equity","PX_LAST",$B65,$B65)</f>
        <v>#N/A N/A</v>
      </c>
      <c r="Z65" t="str" cm="1">
        <f t="array" ref="Z65">_xll.BDH(Z$2 &amp; " US Equity","PX_LAST",$B65,$B65)</f>
        <v>#N/A N/A</v>
      </c>
      <c r="AA65" t="str" cm="1">
        <f t="array" ref="AA65">_xll.BDH(AA$2 &amp; " PE Equity","PX_LAST",$B65,$B65)</f>
        <v>#N/A N/A</v>
      </c>
      <c r="AB65" t="str" cm="1">
        <f t="array" ref="AB65">_xll.BDH(AB$2 &amp; " PE Equity","PX_LAST",$B65,$B65)</f>
        <v>#N/A N/A</v>
      </c>
      <c r="AC65" t="str" cm="1">
        <f t="array" ref="AC65">_xll.BDH(AC$2 &amp; " US Equity","PX_LAST",$B65,$B65)</f>
        <v>#N/A N/A</v>
      </c>
      <c r="AD65" t="str" cm="1">
        <f t="array" ref="AD65">_xll.BDH(AD$2 &amp; " US Equity","PX_LAST",$B65,$B65)</f>
        <v>#N/A N/A</v>
      </c>
      <c r="AE65" t="str" cm="1">
        <f t="array" ref="AE65">_xll.BDH(AE$2 &amp; " PE Equity","PX_LAST",$B65,$B65)</f>
        <v>#N/A Connection</v>
      </c>
      <c r="AF65" t="str" cm="1">
        <f t="array" ref="AF65">_xll.BDH(AF$2 &amp; " US Equity","PX_LAST",$B65,$B65)</f>
        <v>#N/A N/A</v>
      </c>
      <c r="AG65" t="str" cm="1">
        <f t="array" ref="AG65">_xll.BDH(AG$2 &amp; " US Equity","PX_LAST",$B65,$B65)</f>
        <v>#N/A N/A</v>
      </c>
      <c r="AH65" t="str" cm="1">
        <f t="array" ref="AH65">_xll.BDH(AH$2 &amp; " US Equity","PX_LAST",$B65,$B65)</f>
        <v>#N/A N/A</v>
      </c>
      <c r="AI65" t="str" cm="1">
        <f t="array" ref="AI65">_xll.BDH(AI$2 &amp; " US Equity","PX_LAST",$B65,$B65)</f>
        <v>#N/A N/A</v>
      </c>
      <c r="AJ65" t="str" cm="1">
        <f t="array" ref="AJ65">_xll.BDH(AJ$2 &amp; " US Equity","PX_LAST",$B65,$B65)</f>
        <v>#N/A N/A</v>
      </c>
      <c r="AK65" t="str" cm="1">
        <f t="array" ref="AK65">_xll.BDH(AK$2 &amp; " US Equity","PX_LAST",$B65,$B65)</f>
        <v>#N/A N/A</v>
      </c>
      <c r="AL65" t="str" cm="1">
        <f t="array" ref="AL65">_xll.BDH(AL$2 &amp; " US Equity","PX_LAST",$B65,$B65)</f>
        <v>#N/A N/A</v>
      </c>
      <c r="AM65" t="str" cm="1">
        <f t="array" ref="AM65">_xll.BDH(AM$2 &amp; " US Equity","PX_LAST",$B65,$B65)</f>
        <v>#N/A N/A</v>
      </c>
      <c r="AN65" t="str" cm="1">
        <f t="array" ref="AN65">_xll.BDH(AN$2 &amp; " US Equity","PX_LAST",$B65,$B65)</f>
        <v>#N/A N/A</v>
      </c>
      <c r="AO65" t="str" cm="1">
        <f t="array" ref="AO65">_xll.BDH(AO$2 &amp; " US Equity","PX_LAST",$B65,$B65)</f>
        <v>#N/A N/A</v>
      </c>
      <c r="AP65" t="str" cm="1">
        <f t="array" ref="AP65">_xll.BDH(AP$2 &amp; " US Equity","PX_LAST",$B65,$B65)</f>
        <v>#N/A N/A</v>
      </c>
      <c r="AQ65" t="str" cm="1">
        <f t="array" ref="AQ65">_xll.BDH(AQ$2 &amp; " US Equity","PX_LAST",$B65,$B65)</f>
        <v>#N/A N/A</v>
      </c>
      <c r="AR65" t="str" cm="1">
        <f t="array" ref="AR65">_xll.BDH(AR$2 &amp; " US Equity","PX_LAST",$B65,$B65)</f>
        <v>#N/A N/A</v>
      </c>
      <c r="AS65" t="str" cm="1">
        <f t="array" ref="AS65">_xll.BDH(AS$2 &amp; " US Equity","PX_LAST",$B65,$B65)</f>
        <v>#N/A N/A</v>
      </c>
      <c r="AT65" t="str" cm="1">
        <f t="array" ref="AT65">_xll.BDH(AT$2 &amp; " US Equity","PX_LAST",$B65,$B65)</f>
        <v>#N/A N/A</v>
      </c>
      <c r="AU65" t="str" cm="1">
        <f t="array" ref="AU65">_xll.BDH(AU$2 &amp; " US Equity","PX_LAST",$B65,$B65)</f>
        <v>#N/A N/A</v>
      </c>
      <c r="AV65" t="str" cm="1">
        <f t="array" ref="AV65">_xll.BDH(AV$2 &amp; " US Equity","PX_LAST",$B65,$B65)</f>
        <v>#N/A N/A</v>
      </c>
      <c r="AW65" t="str" cm="1">
        <f t="array" ref="AW65">_xll.BDH(AW$2 &amp; " US Equity","PX_LAST",$B65,$B65)</f>
        <v>#N/A N/A</v>
      </c>
    </row>
    <row r="66" spans="2:49">
      <c r="B66" s="13">
        <v>45964</v>
      </c>
      <c r="C66" cm="1">
        <f t="array" ref="C66">_xll.BDH(C$2 &amp; " US Equity","PX_LAST",$B66,$B66)</f>
        <v>252.99</v>
      </c>
      <c r="D66" cm="1">
        <f t="array" ref="D66">_xll.BDH(D$2 &amp; " PE Equity","PX_LAST",$B66,$B66)</f>
        <v>4.2699999999999996</v>
      </c>
      <c r="E66" cm="1">
        <f t="array" ref="E66">_xll.BDH(E$2 &amp; " PE Equity","PX_LAST",$B66,$B66)</f>
        <v>1.78</v>
      </c>
      <c r="F66" cm="1">
        <f t="array" ref="F66">_xll.BDH(F$2 &amp; " PE Equity","PX_LAST",$B66,$B66)</f>
        <v>2.4700000000000002</v>
      </c>
      <c r="G66" cm="1">
        <f t="array" ref="G66">_xll.BDH(G$2 &amp; " US Equity","PX_LAST",$B66,$B66)</f>
        <v>23.61</v>
      </c>
      <c r="H66" cm="1">
        <f t="array" ref="H66">_xll.BDH(H$2 &amp; " PE Equity","PX_LAST",$B66,$B66)</f>
        <v>3.27</v>
      </c>
      <c r="I66" cm="1">
        <f t="array" ref="I66">_xll.BDH(I$2 &amp; " US Equity","PX_LAST",$B66,$B66)</f>
        <v>49.14</v>
      </c>
      <c r="J66" cm="1">
        <f t="array" ref="J66">_xll.BDH(J$2 &amp; " US Equity","PX_LAST",$B66,$B66)</f>
        <v>7.2523999999999997</v>
      </c>
      <c r="K66" cm="1">
        <f t="array" ref="K66">_xll.BDH(K$2 &amp; " US Equity","PX_LAST",$B66,$B66)</f>
        <v>50.13</v>
      </c>
      <c r="L66" cm="1">
        <f t="array" ref="L66">_xll.BDH(L$2 &amp; " US Equity","PX_LAST",$B66,$B66)</f>
        <v>55.65</v>
      </c>
      <c r="M66" cm="1">
        <f t="array" ref="M66">_xll.BDH(M$2 &amp; " US Equity","PX_LAST",$B66,$B66)</f>
        <v>260.45</v>
      </c>
      <c r="N66" cm="1">
        <f t="array" ref="N66">_xll.BDH(N$2 &amp; " US Equity","PX_LAST",$B66,$B66)</f>
        <v>33.81</v>
      </c>
      <c r="O66" cm="1">
        <f t="array" ref="O66">_xll.BDH(O$2 &amp; " US Equity","PX_LAST",$B66,$B66)</f>
        <v>31.52</v>
      </c>
      <c r="P66" cm="1">
        <f t="array" ref="P66">_xll.BDH(P$2 &amp; " US Equity","PX_LAST",$B66,$B66)</f>
        <v>17.600000000000001</v>
      </c>
      <c r="Q66" cm="1">
        <f t="array" ref="Q66">_xll.BDH(Q$2 &amp; " US Equity","PX_LAST",$B66,$B66)</f>
        <v>24.66</v>
      </c>
      <c r="R66" cm="1">
        <f t="array" ref="R66">_xll.BDH(R$2 &amp; " US Equity","PX_LAST",$B66,$B66)</f>
        <v>21.92</v>
      </c>
      <c r="S66" cm="1">
        <f t="array" ref="S66">_xll.BDH(S$2 &amp; " US Equity","PX_LAST",$B66,$B66)</f>
        <v>154.4</v>
      </c>
      <c r="T66" cm="1">
        <f t="array" ref="T66">_xll.BDH(T$2 &amp; " US Equity","PX_LAST",$B66,$B66)</f>
        <v>62.145000000000003</v>
      </c>
      <c r="U66" cm="1">
        <f t="array" ref="U66">_xll.BDH(U$2 &amp; " US Equity","PX_LAST",$B66,$B66)</f>
        <v>121.23</v>
      </c>
      <c r="V66" cm="1">
        <f t="array" ref="V66">_xll.BDH(V$2 &amp; " US Equity","PX_LAST",$B66,$B66)</f>
        <v>44.575000000000003</v>
      </c>
      <c r="W66" cm="1">
        <f t="array" ref="W66">_xll.BDH(W$2 &amp; " US Equity","PX_LAST",$B66,$B66)</f>
        <v>207.18</v>
      </c>
      <c r="X66" cm="1">
        <f t="array" ref="X66">_xll.BDH(X$2 &amp; " US Equity","PX_LAST",$B66,$B66)</f>
        <v>55.12</v>
      </c>
      <c r="Y66" cm="1">
        <f t="array" ref="Y66">_xll.BDH(Y$2 &amp; " US Equity","PX_LAST",$B66,$B66)</f>
        <v>44.07</v>
      </c>
      <c r="Z66" cm="1">
        <f t="array" ref="Z66">_xll.BDH(Z$2 &amp; " US Equity","PX_LAST",$B66,$B66)</f>
        <v>366.1</v>
      </c>
      <c r="AA66" cm="1">
        <f t="array" ref="AA66">_xll.BDH(AA$2 &amp; " PE Equity","PX_LAST",$B66,$B66)</f>
        <v>0.495</v>
      </c>
      <c r="AB66" cm="1">
        <f t="array" ref="AB66">_xll.BDH(AB$2 &amp; " PE Equity","PX_LAST",$B66,$B66)</f>
        <v>25.5</v>
      </c>
      <c r="AC66" cm="1">
        <f t="array" ref="AC66">_xll.BDH(AC$2 &amp; " US Equity","PX_LAST",$B66,$B66)</f>
        <v>69.31</v>
      </c>
      <c r="AD66" cm="1">
        <f t="array" ref="AD66">_xll.BDH(AD$2 &amp; " US Equity","PX_LAST",$B66,$B66)</f>
        <v>683.34</v>
      </c>
      <c r="AE66" t="str" cm="1">
        <f t="array" ref="AE66">_xll.BDH(AE$2 &amp; " PE Equity","PX_LAST",$B66,$B66)</f>
        <v>#N/A Connection</v>
      </c>
      <c r="AF66" cm="1">
        <f t="array" ref="AF66">_xll.BDH(AF$2 &amp; " US Equity","PX_LAST",$B66,$B66)</f>
        <v>54.514699999999998</v>
      </c>
      <c r="AG66" cm="1">
        <f t="array" ref="AG66">_xll.BDH(AG$2 &amp; " US Equity","PX_LAST",$B66,$B66)</f>
        <v>13.7</v>
      </c>
      <c r="AH66" cm="1">
        <f t="array" ref="AH66">_xll.BDH(AH$2 &amp; " US Equity","PX_LAST",$B66,$B66)</f>
        <v>632.08000000000004</v>
      </c>
      <c r="AI66" cm="1">
        <f t="array" ref="AI66">_xll.BDH(AI$2 &amp; " US Equity","PX_LAST",$B66,$B66)</f>
        <v>104.63</v>
      </c>
      <c r="AJ66" cm="1">
        <f t="array" ref="AJ66">_xll.BDH(AJ$2 &amp; " US Equity","PX_LAST",$B66,$B66)</f>
        <v>112.12</v>
      </c>
      <c r="AK66" cm="1">
        <f t="array" ref="AK66">_xll.BDH(AK$2 &amp; " US Equity","PX_LAST",$B66,$B66)</f>
        <v>121.09</v>
      </c>
      <c r="AL66" cm="1">
        <f t="array" ref="AL66">_xll.BDH(AL$2 &amp; " US Equity","PX_LAST",$B66,$B66)</f>
        <v>254</v>
      </c>
      <c r="AM66" cm="1">
        <f t="array" ref="AM66">_xll.BDH(AM$2 &amp; " US Equity","PX_LAST",$B66,$B66)</f>
        <v>59.16</v>
      </c>
      <c r="AN66" cm="1">
        <f t="array" ref="AN66">_xll.BDH(AN$2 &amp; " US Equity","PX_LAST",$B66,$B66)</f>
        <v>25.2742</v>
      </c>
      <c r="AO66" cm="1">
        <f t="array" ref="AO66">_xll.BDH(AO$2 &amp; " US Equity","PX_LAST",$B66,$B66)</f>
        <v>55.78</v>
      </c>
      <c r="AP66" cm="1">
        <f t="array" ref="AP66">_xll.BDH(AP$2 &amp; " US Equity","PX_LAST",$B66,$B66)</f>
        <v>5.59</v>
      </c>
      <c r="AQ66" cm="1">
        <f t="array" ref="AQ66">_xll.BDH(AQ$2 &amp; " US Equity","PX_LAST",$B66,$B66)</f>
        <v>102.27</v>
      </c>
      <c r="AR66" cm="1">
        <f t="array" ref="AR66">_xll.BDH(AR$2 &amp; " US Equity","PX_LAST",$B66,$B66)</f>
        <v>57.95</v>
      </c>
      <c r="AS66" cm="1">
        <f t="array" ref="AS66">_xll.BDH(AS$2 &amp; " US Equity","PX_LAST",$B66,$B66)</f>
        <v>110.009</v>
      </c>
      <c r="AT66" cm="1">
        <f t="array" ref="AT66">_xll.BDH(AT$2 &amp; " US Equity","PX_LAST",$B66,$B66)</f>
        <v>7.42</v>
      </c>
      <c r="AU66" cm="1">
        <f t="array" ref="AU66">_xll.BDH(AU$2 &amp; " US Equity","PX_LAST",$B66,$B66)</f>
        <v>333.79</v>
      </c>
      <c r="AV66" cm="1">
        <f t="array" ref="AV66">_xll.BDH(AV$2 &amp; " US Equity","PX_LAST",$B66,$B66)</f>
        <v>255.65</v>
      </c>
      <c r="AW66" cm="1">
        <f t="array" ref="AW66">_xll.BDH(AW$2 &amp; " US Equity","PX_LAST",$B66,$B66)</f>
        <v>117.63</v>
      </c>
    </row>
    <row r="67" spans="2:49">
      <c r="B67" s="13">
        <v>45965</v>
      </c>
      <c r="C67" cm="1">
        <f t="array" ref="C67">_xll.BDH(C$2 &amp; " US Equity","PX_LAST",$B67,$B67)</f>
        <v>251.88</v>
      </c>
      <c r="D67" cm="1">
        <f t="array" ref="D67">_xll.BDH(D$2 &amp; " PE Equity","PX_LAST",$B67,$B67)</f>
        <v>4.3</v>
      </c>
      <c r="E67" cm="1">
        <f t="array" ref="E67">_xll.BDH(E$2 &amp; " PE Equity","PX_LAST",$B67,$B67)</f>
        <v>1.7</v>
      </c>
      <c r="F67" cm="1">
        <f t="array" ref="F67">_xll.BDH(F$2 &amp; " PE Equity","PX_LAST",$B67,$B67)</f>
        <v>2.44</v>
      </c>
      <c r="G67" cm="1">
        <f t="array" ref="G67">_xll.BDH(G$2 &amp; " US Equity","PX_LAST",$B67,$B67)</f>
        <v>22.69</v>
      </c>
      <c r="H67" cm="1">
        <f t="array" ref="H67">_xll.BDH(H$2 &amp; " PE Equity","PX_LAST",$B67,$B67)</f>
        <v>3.27</v>
      </c>
      <c r="I67" cm="1">
        <f t="array" ref="I67">_xll.BDH(I$2 &amp; " US Equity","PX_LAST",$B67,$B67)</f>
        <v>47.93</v>
      </c>
      <c r="J67" cm="1">
        <f t="array" ref="J67">_xll.BDH(J$2 &amp; " US Equity","PX_LAST",$B67,$B67)</f>
        <v>7.165</v>
      </c>
      <c r="K67" cm="1">
        <f t="array" ref="K67">_xll.BDH(K$2 &amp; " US Equity","PX_LAST",$B67,$B67)</f>
        <v>49.73</v>
      </c>
      <c r="L67" cm="1">
        <f t="array" ref="L67">_xll.BDH(L$2 &amp; " US Equity","PX_LAST",$B67,$B67)</f>
        <v>54.63</v>
      </c>
      <c r="M67" cm="1">
        <f t="array" ref="M67">_xll.BDH(M$2 &amp; " US Equity","PX_LAST",$B67,$B67)</f>
        <v>257.38</v>
      </c>
      <c r="N67" cm="1">
        <f t="array" ref="N67">_xll.BDH(N$2 &amp; " US Equity","PX_LAST",$B67,$B67)</f>
        <v>33.56</v>
      </c>
      <c r="O67" cm="1">
        <f t="array" ref="O67">_xll.BDH(O$2 &amp; " US Equity","PX_LAST",$B67,$B67)</f>
        <v>31.18</v>
      </c>
      <c r="P67" cm="1">
        <f t="array" ref="P67">_xll.BDH(P$2 &amp; " US Equity","PX_LAST",$B67,$B67)</f>
        <v>17.170000000000002</v>
      </c>
      <c r="Q67" cm="1">
        <f t="array" ref="Q67">_xll.BDH(Q$2 &amp; " US Equity","PX_LAST",$B67,$B67)</f>
        <v>24.3</v>
      </c>
      <c r="R67" cm="1">
        <f t="array" ref="R67">_xll.BDH(R$2 &amp; " US Equity","PX_LAST",$B67,$B67)</f>
        <v>21.16</v>
      </c>
      <c r="S67" cm="1">
        <f t="array" ref="S67">_xll.BDH(S$2 &amp; " US Equity","PX_LAST",$B67,$B67)</f>
        <v>152.61000000000001</v>
      </c>
      <c r="T67" cm="1">
        <f t="array" ref="T67">_xll.BDH(T$2 &amp; " US Equity","PX_LAST",$B67,$B67)</f>
        <v>61.42</v>
      </c>
      <c r="U67" cm="1">
        <f t="array" ref="U67">_xll.BDH(U$2 &amp; " US Equity","PX_LAST",$B67,$B67)</f>
        <v>124.99</v>
      </c>
      <c r="V67" cm="1">
        <f t="array" ref="V67">_xll.BDH(V$2 &amp; " US Equity","PX_LAST",$B67,$B67)</f>
        <v>44.414999999999999</v>
      </c>
      <c r="W67" cm="1">
        <f t="array" ref="W67">_xll.BDH(W$2 &amp; " US Equity","PX_LAST",$B67,$B67)</f>
        <v>190.74</v>
      </c>
      <c r="X67" cm="1">
        <f t="array" ref="X67">_xll.BDH(X$2 &amp; " US Equity","PX_LAST",$B67,$B67)</f>
        <v>55.06</v>
      </c>
      <c r="Y67" cm="1">
        <f t="array" ref="Y67">_xll.BDH(Y$2 &amp; " US Equity","PX_LAST",$B67,$B67)</f>
        <v>43.63</v>
      </c>
      <c r="Z67" cm="1">
        <f t="array" ref="Z67">_xll.BDH(Z$2 &amp; " US Equity","PX_LAST",$B67,$B67)</f>
        <v>352.76</v>
      </c>
      <c r="AA67" cm="1">
        <f t="array" ref="AA67">_xll.BDH(AA$2 &amp; " PE Equity","PX_LAST",$B67,$B67)</f>
        <v>0.47</v>
      </c>
      <c r="AB67" cm="1">
        <f t="array" ref="AB67">_xll.BDH(AB$2 &amp; " PE Equity","PX_LAST",$B67,$B67)</f>
        <v>25.5</v>
      </c>
      <c r="AC67" cm="1">
        <f t="array" ref="AC67">_xll.BDH(AC$2 &amp; " US Equity","PX_LAST",$B67,$B67)</f>
        <v>68.98</v>
      </c>
      <c r="AD67" cm="1">
        <f t="array" ref="AD67">_xll.BDH(AD$2 &amp; " US Equity","PX_LAST",$B67,$B67)</f>
        <v>675.24</v>
      </c>
      <c r="AE67" t="str" cm="1">
        <f t="array" ref="AE67">_xll.BDH(AE$2 &amp; " PE Equity","PX_LAST",$B67,$B67)</f>
        <v>#N/A Connection</v>
      </c>
      <c r="AF67" cm="1">
        <f t="array" ref="AF67">_xll.BDH(AF$2 &amp; " US Equity","PX_LAST",$B67,$B67)</f>
        <v>54.548000000000002</v>
      </c>
      <c r="AG67" cm="1">
        <f t="array" ref="AG67">_xll.BDH(AG$2 &amp; " US Equity","PX_LAST",$B67,$B67)</f>
        <v>13.594200000000001</v>
      </c>
      <c r="AH67" cm="1">
        <f t="array" ref="AH67">_xll.BDH(AH$2 &amp; " US Equity","PX_LAST",$B67,$B67)</f>
        <v>619.25</v>
      </c>
      <c r="AI67" cm="1">
        <f t="array" ref="AI67">_xll.BDH(AI$2 &amp; " US Equity","PX_LAST",$B67,$B67)</f>
        <v>105.04</v>
      </c>
      <c r="AJ67" cm="1">
        <f t="array" ref="AJ67">_xll.BDH(AJ$2 &amp; " US Equity","PX_LAST",$B67,$B67)</f>
        <v>111.47</v>
      </c>
      <c r="AK67" cm="1">
        <f t="array" ref="AK67">_xll.BDH(AK$2 &amp; " US Equity","PX_LAST",$B67,$B67)</f>
        <v>119.08</v>
      </c>
      <c r="AL67" cm="1">
        <f t="array" ref="AL67">_xll.BDH(AL$2 &amp; " US Equity","PX_LAST",$B67,$B67)</f>
        <v>249.32</v>
      </c>
      <c r="AM67" cm="1">
        <f t="array" ref="AM67">_xll.BDH(AM$2 &amp; " US Equity","PX_LAST",$B67,$B67)</f>
        <v>55.54</v>
      </c>
      <c r="AN67" cm="1">
        <f t="array" ref="AN67">_xll.BDH(AN$2 &amp; " US Equity","PX_LAST",$B67,$B67)</f>
        <v>24.8</v>
      </c>
      <c r="AO67" cm="1">
        <f t="array" ref="AO67">_xll.BDH(AO$2 &amp; " US Equity","PX_LAST",$B67,$B67)</f>
        <v>54.78</v>
      </c>
      <c r="AP67" cm="1">
        <f t="array" ref="AP67">_xll.BDH(AP$2 &amp; " US Equity","PX_LAST",$B67,$B67)</f>
        <v>5.6</v>
      </c>
      <c r="AQ67" cm="1">
        <f t="array" ref="AQ67">_xll.BDH(AQ$2 &amp; " US Equity","PX_LAST",$B67,$B67)</f>
        <v>100.64</v>
      </c>
      <c r="AR67" cm="1">
        <f t="array" ref="AR67">_xll.BDH(AR$2 &amp; " US Equity","PX_LAST",$B67,$B67)</f>
        <v>58.06</v>
      </c>
      <c r="AS67" cm="1">
        <f t="array" ref="AS67">_xll.BDH(AS$2 &amp; " US Equity","PX_LAST",$B67,$B67)</f>
        <v>109.29600000000001</v>
      </c>
      <c r="AT67" cm="1">
        <f t="array" ref="AT67">_xll.BDH(AT$2 &amp; " US Equity","PX_LAST",$B67,$B67)</f>
        <v>7.16</v>
      </c>
      <c r="AU67" cm="1">
        <f t="array" ref="AU67">_xll.BDH(AU$2 &amp; " US Equity","PX_LAST",$B67,$B67)</f>
        <v>330.83</v>
      </c>
      <c r="AV67" cm="1">
        <f t="array" ref="AV67">_xll.BDH(AV$2 &amp; " US Equity","PX_LAST",$B67,$B67)</f>
        <v>252.43</v>
      </c>
      <c r="AW67" cm="1">
        <f t="array" ref="AW67">_xll.BDH(AW$2 &amp; " US Equity","PX_LAST",$B67,$B67)</f>
        <v>118.29</v>
      </c>
    </row>
    <row r="68" spans="2:49">
      <c r="B68" s="13">
        <v>45966</v>
      </c>
      <c r="C68" cm="1">
        <f t="array" ref="C68">_xll.BDH(C$2 &amp; " US Equity","PX_LAST",$B68,$B68)</f>
        <v>256.10000000000002</v>
      </c>
      <c r="D68" cm="1">
        <f t="array" ref="D68">_xll.BDH(D$2 &amp; " PE Equity","PX_LAST",$B68,$B68)</f>
        <v>4.4000000000000004</v>
      </c>
      <c r="E68" cm="1">
        <f t="array" ref="E68">_xll.BDH(E$2 &amp; " PE Equity","PX_LAST",$B68,$B68)</f>
        <v>1.78</v>
      </c>
      <c r="F68" cm="1">
        <f t="array" ref="F68">_xll.BDH(F$2 &amp; " PE Equity","PX_LAST",$B68,$B68)</f>
        <v>2.4300000000000002</v>
      </c>
      <c r="G68" cm="1">
        <f t="array" ref="G68">_xll.BDH(G$2 &amp; " US Equity","PX_LAST",$B68,$B68)</f>
        <v>21.79</v>
      </c>
      <c r="H68" cm="1">
        <f t="array" ref="H68">_xll.BDH(H$2 &amp; " PE Equity","PX_LAST",$B68,$B68)</f>
        <v>3.24</v>
      </c>
      <c r="I68" cm="1">
        <f t="array" ref="I68">_xll.BDH(I$2 &amp; " US Equity","PX_LAST",$B68,$B68)</f>
        <v>51.28</v>
      </c>
      <c r="J68" cm="1">
        <f t="array" ref="J68">_xll.BDH(J$2 &amp; " US Equity","PX_LAST",$B68,$B68)</f>
        <v>7.2621000000000002</v>
      </c>
      <c r="K68" cm="1">
        <f t="array" ref="K68">_xll.BDH(K$2 &amp; " US Equity","PX_LAST",$B68,$B68)</f>
        <v>50.4</v>
      </c>
      <c r="L68" cm="1">
        <f t="array" ref="L68">_xll.BDH(L$2 &amp; " US Equity","PX_LAST",$B68,$B68)</f>
        <v>55.12</v>
      </c>
      <c r="M68" cm="1">
        <f t="array" ref="M68">_xll.BDH(M$2 &amp; " US Equity","PX_LAST",$B68,$B68)</f>
        <v>258.82</v>
      </c>
      <c r="N68" cm="1">
        <f t="array" ref="N68">_xll.BDH(N$2 &amp; " US Equity","PX_LAST",$B68,$B68)</f>
        <v>34</v>
      </c>
      <c r="O68" cm="1">
        <f t="array" ref="O68">_xll.BDH(O$2 &amp; " US Equity","PX_LAST",$B68,$B68)</f>
        <v>32.1</v>
      </c>
      <c r="P68" cm="1">
        <f t="array" ref="P68">_xll.BDH(P$2 &amp; " US Equity","PX_LAST",$B68,$B68)</f>
        <v>18.100000000000001</v>
      </c>
      <c r="Q68" cm="1">
        <f t="array" ref="Q68">_xll.BDH(Q$2 &amp; " US Equity","PX_LAST",$B68,$B68)</f>
        <v>24.61</v>
      </c>
      <c r="R68" cm="1">
        <f t="array" ref="R68">_xll.BDH(R$2 &amp; " US Equity","PX_LAST",$B68,$B68)</f>
        <v>21.68</v>
      </c>
      <c r="S68" cm="1">
        <f t="array" ref="S68">_xll.BDH(S$2 &amp; " US Equity","PX_LAST",$B68,$B68)</f>
        <v>153.19999999999999</v>
      </c>
      <c r="T68" cm="1">
        <f t="array" ref="T68">_xll.BDH(T$2 &amp; " US Equity","PX_LAST",$B68,$B68)</f>
        <v>61.93</v>
      </c>
      <c r="U68" cm="1">
        <f t="array" ref="U68">_xll.BDH(U$2 &amp; " US Equity","PX_LAST",$B68,$B68)</f>
        <v>123.33</v>
      </c>
      <c r="V68" cm="1">
        <f t="array" ref="V68">_xll.BDH(V$2 &amp; " US Equity","PX_LAST",$B68,$B68)</f>
        <v>44.424999999999997</v>
      </c>
      <c r="W68" cm="1">
        <f t="array" ref="W68">_xll.BDH(W$2 &amp; " US Equity","PX_LAST",$B68,$B68)</f>
        <v>187.9</v>
      </c>
      <c r="X68" cm="1">
        <f t="array" ref="X68">_xll.BDH(X$2 &amp; " US Equity","PX_LAST",$B68,$B68)</f>
        <v>55.4</v>
      </c>
      <c r="Y68" cm="1">
        <f t="array" ref="Y68">_xll.BDH(Y$2 &amp; " US Equity","PX_LAST",$B68,$B68)</f>
        <v>43.88</v>
      </c>
      <c r="Z68" cm="1">
        <f t="array" ref="Z68">_xll.BDH(Z$2 &amp; " US Equity","PX_LAST",$B68,$B68)</f>
        <v>359.5</v>
      </c>
      <c r="AA68" cm="1">
        <f t="array" ref="AA68">_xll.BDH(AA$2 &amp; " PE Equity","PX_LAST",$B68,$B68)</f>
        <v>0.47699999999999998</v>
      </c>
      <c r="AB68" cm="1">
        <f t="array" ref="AB68">_xll.BDH(AB$2 &amp; " PE Equity","PX_LAST",$B68,$B68)</f>
        <v>25.5</v>
      </c>
      <c r="AC68" cm="1">
        <f t="array" ref="AC68">_xll.BDH(AC$2 &amp; " US Equity","PX_LAST",$B68,$B68)</f>
        <v>69.27</v>
      </c>
      <c r="AD68" cm="1">
        <f t="array" ref="AD68">_xll.BDH(AD$2 &amp; " US Equity","PX_LAST",$B68,$B68)</f>
        <v>677.58</v>
      </c>
      <c r="AE68" t="str" cm="1">
        <f t="array" ref="AE68">_xll.BDH(AE$2 &amp; " PE Equity","PX_LAST",$B68,$B68)</f>
        <v>#N/A Connection</v>
      </c>
      <c r="AF68" cm="1">
        <f t="array" ref="AF68">_xll.BDH(AF$2 &amp; " US Equity","PX_LAST",$B68,$B68)</f>
        <v>54.578499999999998</v>
      </c>
      <c r="AG68" cm="1">
        <f t="array" ref="AG68">_xll.BDH(AG$2 &amp; " US Equity","PX_LAST",$B68,$B68)</f>
        <v>14.015000000000001</v>
      </c>
      <c r="AH68" cm="1">
        <f t="array" ref="AH68">_xll.BDH(AH$2 &amp; " US Equity","PX_LAST",$B68,$B68)</f>
        <v>623.28</v>
      </c>
      <c r="AI68" cm="1">
        <f t="array" ref="AI68">_xll.BDH(AI$2 &amp; " US Equity","PX_LAST",$B68,$B68)</f>
        <v>104.43</v>
      </c>
      <c r="AJ68" cm="1">
        <f t="array" ref="AJ68">_xll.BDH(AJ$2 &amp; " US Equity","PX_LAST",$B68,$B68)</f>
        <v>111.36</v>
      </c>
      <c r="AK68" cm="1">
        <f t="array" ref="AK68">_xll.BDH(AK$2 &amp; " US Equity","PX_LAST",$B68,$B68)</f>
        <v>120.53</v>
      </c>
      <c r="AL68" cm="1">
        <f t="array" ref="AL68">_xll.BDH(AL$2 &amp; " US Equity","PX_LAST",$B68,$B68)</f>
        <v>250.2</v>
      </c>
      <c r="AM68" cm="1">
        <f t="array" ref="AM68">_xll.BDH(AM$2 &amp; " US Equity","PX_LAST",$B68,$B68)</f>
        <v>56.62</v>
      </c>
      <c r="AN68" cm="1">
        <f t="array" ref="AN68">_xll.BDH(AN$2 &amp; " US Equity","PX_LAST",$B68,$B68)</f>
        <v>25.074000000000002</v>
      </c>
      <c r="AO68" cm="1">
        <f t="array" ref="AO68">_xll.BDH(AO$2 &amp; " US Equity","PX_LAST",$B68,$B68)</f>
        <v>55.35</v>
      </c>
      <c r="AP68" cm="1">
        <f t="array" ref="AP68">_xll.BDH(AP$2 &amp; " US Equity","PX_LAST",$B68,$B68)</f>
        <v>5.43</v>
      </c>
      <c r="AQ68" cm="1">
        <f t="array" ref="AQ68">_xll.BDH(AQ$2 &amp; " US Equity","PX_LAST",$B68,$B68)</f>
        <v>100.05</v>
      </c>
      <c r="AR68" cm="1">
        <f t="array" ref="AR68">_xll.BDH(AR$2 &amp; " US Equity","PX_LAST",$B68,$B68)</f>
        <v>59.13</v>
      </c>
      <c r="AS68" cm="1">
        <f t="array" ref="AS68">_xll.BDH(AS$2 &amp; " US Equity","PX_LAST",$B68,$B68)</f>
        <v>109.846</v>
      </c>
      <c r="AT68" cm="1">
        <f t="array" ref="AT68">_xll.BDH(AT$2 &amp; " US Equity","PX_LAST",$B68,$B68)</f>
        <v>7.29</v>
      </c>
      <c r="AU68" cm="1">
        <f t="array" ref="AU68">_xll.BDH(AU$2 &amp; " US Equity","PX_LAST",$B68,$B68)</f>
        <v>327.74</v>
      </c>
      <c r="AV68" cm="1">
        <f t="array" ref="AV68">_xll.BDH(AV$2 &amp; " US Equity","PX_LAST",$B68,$B68)</f>
        <v>254.76</v>
      </c>
      <c r="AW68" cm="1">
        <f t="array" ref="AW68">_xll.BDH(AW$2 &amp; " US Equity","PX_LAST",$B68,$B68)</f>
        <v>118.89</v>
      </c>
    </row>
    <row r="69" spans="2:49">
      <c r="B69" s="13">
        <v>45967</v>
      </c>
      <c r="C69" cm="1">
        <f t="array" ref="C69">_xll.BDH(C$2 &amp; " US Equity","PX_LAST",$B69,$B69)</f>
        <v>258.86</v>
      </c>
      <c r="D69" cm="1">
        <f t="array" ref="D69">_xll.BDH(D$2 &amp; " PE Equity","PX_LAST",$B69,$B69)</f>
        <v>4.45</v>
      </c>
      <c r="E69" cm="1">
        <f t="array" ref="E69">_xll.BDH(E$2 &amp; " PE Equity","PX_LAST",$B69,$B69)</f>
        <v>1.66</v>
      </c>
      <c r="F69" cm="1">
        <f t="array" ref="F69">_xll.BDH(F$2 &amp; " PE Equity","PX_LAST",$B69,$B69)</f>
        <v>2.42</v>
      </c>
      <c r="G69" cm="1">
        <f t="array" ref="G69">_xll.BDH(G$2 &amp; " US Equity","PX_LAST",$B69,$B69)</f>
        <v>23.89</v>
      </c>
      <c r="H69" cm="1">
        <f t="array" ref="H69">_xll.BDH(H$2 &amp; " PE Equity","PX_LAST",$B69,$B69)</f>
        <v>3.27</v>
      </c>
      <c r="I69" cm="1">
        <f t="array" ref="I69">_xll.BDH(I$2 &amp; " US Equity","PX_LAST",$B69,$B69)</f>
        <v>50.24</v>
      </c>
      <c r="J69" cm="1">
        <f t="array" ref="J69">_xll.BDH(J$2 &amp; " US Equity","PX_LAST",$B69,$B69)</f>
        <v>7.2717999999999998</v>
      </c>
      <c r="K69" cm="1">
        <f t="array" ref="K69">_xll.BDH(K$2 &amp; " US Equity","PX_LAST",$B69,$B69)</f>
        <v>50.65</v>
      </c>
      <c r="L69" cm="1">
        <f t="array" ref="L69">_xll.BDH(L$2 &amp; " US Equity","PX_LAST",$B69,$B69)</f>
        <v>54.71</v>
      </c>
      <c r="M69" cm="1">
        <f t="array" ref="M69">_xll.BDH(M$2 &amp; " US Equity","PX_LAST",$B69,$B69)</f>
        <v>258.83999999999997</v>
      </c>
      <c r="N69" cm="1">
        <f t="array" ref="N69">_xll.BDH(N$2 &amp; " US Equity","PX_LAST",$B69,$B69)</f>
        <v>34.04</v>
      </c>
      <c r="O69" cm="1">
        <f t="array" ref="O69">_xll.BDH(O$2 &amp; " US Equity","PX_LAST",$B69,$B69)</f>
        <v>32.04</v>
      </c>
      <c r="P69" cm="1">
        <f t="array" ref="P69">_xll.BDH(P$2 &amp; " US Equity","PX_LAST",$B69,$B69)</f>
        <v>17.77</v>
      </c>
      <c r="Q69" cm="1">
        <f t="array" ref="Q69">_xll.BDH(Q$2 &amp; " US Equity","PX_LAST",$B69,$B69)</f>
        <v>24.85</v>
      </c>
      <c r="R69" cm="1">
        <f t="array" ref="R69">_xll.BDH(R$2 &amp; " US Equity","PX_LAST",$B69,$B69)</f>
        <v>21.7</v>
      </c>
      <c r="S69" cm="1">
        <f t="array" ref="S69">_xll.BDH(S$2 &amp; " US Equity","PX_LAST",$B69,$B69)</f>
        <v>152.59</v>
      </c>
      <c r="T69" cm="1">
        <f t="array" ref="T69">_xll.BDH(T$2 &amp; " US Equity","PX_LAST",$B69,$B69)</f>
        <v>61.55</v>
      </c>
      <c r="U69" cm="1">
        <f t="array" ref="U69">_xll.BDH(U$2 &amp; " US Equity","PX_LAST",$B69,$B69)</f>
        <v>127.04</v>
      </c>
      <c r="V69" cm="1">
        <f t="array" ref="V69">_xll.BDH(V$2 &amp; " US Equity","PX_LAST",$B69,$B69)</f>
        <v>44.23</v>
      </c>
      <c r="W69" cm="1">
        <f t="array" ref="W69">_xll.BDH(W$2 &amp; " US Equity","PX_LAST",$B69,$B69)</f>
        <v>175.05</v>
      </c>
      <c r="X69" cm="1">
        <f t="array" ref="X69">_xll.BDH(X$2 &amp; " US Equity","PX_LAST",$B69,$B69)</f>
        <v>55.22</v>
      </c>
      <c r="Y69" cm="1">
        <f t="array" ref="Y69">_xll.BDH(Y$2 &amp; " US Equity","PX_LAST",$B69,$B69)</f>
        <v>43.42</v>
      </c>
      <c r="Z69" cm="1">
        <f t="array" ref="Z69">_xll.BDH(Z$2 &amp; " US Equity","PX_LAST",$B69,$B69)</f>
        <v>351.09</v>
      </c>
      <c r="AA69" cm="1">
        <f t="array" ref="AA69">_xll.BDH(AA$2 &amp; " PE Equity","PX_LAST",$B69,$B69)</f>
        <v>0.46500000000000002</v>
      </c>
      <c r="AB69" cm="1">
        <f t="array" ref="AB69">_xll.BDH(AB$2 &amp; " PE Equity","PX_LAST",$B69,$B69)</f>
        <v>25.1</v>
      </c>
      <c r="AC69" cm="1">
        <f t="array" ref="AC69">_xll.BDH(AC$2 &amp; " US Equity","PX_LAST",$B69,$B69)</f>
        <v>69.069999999999993</v>
      </c>
      <c r="AD69" cm="1">
        <f t="array" ref="AD69">_xll.BDH(AD$2 &amp; " US Equity","PX_LAST",$B69,$B69)</f>
        <v>670.31</v>
      </c>
      <c r="AE69" t="str" cm="1">
        <f t="array" ref="AE69">_xll.BDH(AE$2 &amp; " PE Equity","PX_LAST",$B69,$B69)</f>
        <v>#N/A Connection</v>
      </c>
      <c r="AF69" cm="1">
        <f t="array" ref="AF69">_xll.BDH(AF$2 &amp; " US Equity","PX_LAST",$B69,$B69)</f>
        <v>54.787799999999997</v>
      </c>
      <c r="AG69" cm="1">
        <f t="array" ref="AG69">_xll.BDH(AG$2 &amp; " US Equity","PX_LAST",$B69,$B69)</f>
        <v>13.818</v>
      </c>
      <c r="AH69" cm="1">
        <f t="array" ref="AH69">_xll.BDH(AH$2 &amp; " US Equity","PX_LAST",$B69,$B69)</f>
        <v>611.66999999999996</v>
      </c>
      <c r="AI69" cm="1">
        <f t="array" ref="AI69">_xll.BDH(AI$2 &amp; " US Equity","PX_LAST",$B69,$B69)</f>
        <v>105.2</v>
      </c>
      <c r="AJ69" cm="1">
        <f t="array" ref="AJ69">_xll.BDH(AJ$2 &amp; " US Equity","PX_LAST",$B69,$B69)</f>
        <v>110.49</v>
      </c>
      <c r="AK69" cm="1">
        <f t="array" ref="AK69">_xll.BDH(AK$2 &amp; " US Equity","PX_LAST",$B69,$B69)</f>
        <v>117.745</v>
      </c>
      <c r="AL69" cm="1">
        <f t="array" ref="AL69">_xll.BDH(AL$2 &amp; " US Equity","PX_LAST",$B69,$B69)</f>
        <v>243.04</v>
      </c>
      <c r="AM69" cm="1">
        <f t="array" ref="AM69">_xll.BDH(AM$2 &amp; " US Equity","PX_LAST",$B69,$B69)</f>
        <v>53.445</v>
      </c>
      <c r="AN69" cm="1">
        <f t="array" ref="AN69">_xll.BDH(AN$2 &amp; " US Equity","PX_LAST",$B69,$B69)</f>
        <v>25.344999999999999</v>
      </c>
      <c r="AO69" cm="1">
        <f t="array" ref="AO69">_xll.BDH(AO$2 &amp; " US Equity","PX_LAST",$B69,$B69)</f>
        <v>56.05</v>
      </c>
      <c r="AP69" cm="1">
        <f t="array" ref="AP69">_xll.BDH(AP$2 &amp; " US Equity","PX_LAST",$B69,$B69)</f>
        <v>5.53</v>
      </c>
      <c r="AQ69" cm="1">
        <f t="array" ref="AQ69">_xll.BDH(AQ$2 &amp; " US Equity","PX_LAST",$B69,$B69)</f>
        <v>100.77</v>
      </c>
      <c r="AR69" cm="1">
        <f t="array" ref="AR69">_xll.BDH(AR$2 &amp; " US Equity","PX_LAST",$B69,$B69)</f>
        <v>60.27</v>
      </c>
      <c r="AS69" cm="1">
        <f t="array" ref="AS69">_xll.BDH(AS$2 &amp; " US Equity","PX_LAST",$B69,$B69)</f>
        <v>109.702</v>
      </c>
      <c r="AT69" cm="1">
        <f t="array" ref="AT69">_xll.BDH(AT$2 &amp; " US Equity","PX_LAST",$B69,$B69)</f>
        <v>7.16</v>
      </c>
      <c r="AU69" cm="1">
        <f t="array" ref="AU69">_xll.BDH(AU$2 &amp; " US Equity","PX_LAST",$B69,$B69)</f>
        <v>321.56</v>
      </c>
      <c r="AV69" cm="1">
        <f t="array" ref="AV69">_xll.BDH(AV$2 &amp; " US Equity","PX_LAST",$B69,$B69)</f>
        <v>252.4</v>
      </c>
      <c r="AW69" cm="1">
        <f t="array" ref="AW69">_xll.BDH(AW$2 &amp; " US Equity","PX_LAST",$B69,$B69)</f>
        <v>119.31</v>
      </c>
    </row>
    <row r="70" spans="2:49">
      <c r="B70" s="13">
        <v>45968</v>
      </c>
      <c r="C70" cm="1">
        <f t="array" ref="C70">_xll.BDH(C$2 &amp; " US Equity","PX_LAST",$B70,$B70)</f>
        <v>262.08999999999997</v>
      </c>
      <c r="D70" cm="1">
        <f t="array" ref="D70">_xll.BDH(D$2 &amp; " PE Equity","PX_LAST",$B70,$B70)</f>
        <v>4.45</v>
      </c>
      <c r="E70" t="str" cm="1">
        <f t="array" ref="E70">_xll.BDH(E$2 &amp; " PE Equity","PX_LAST",$B70,$B70)</f>
        <v>#N/A N/A</v>
      </c>
      <c r="F70" cm="1">
        <f t="array" ref="F70">_xll.BDH(F$2 &amp; " PE Equity","PX_LAST",$B70,$B70)</f>
        <v>2.41</v>
      </c>
      <c r="G70" cm="1">
        <f t="array" ref="G70">_xll.BDH(G$2 &amp; " US Equity","PX_LAST",$B70,$B70)</f>
        <v>22.42</v>
      </c>
      <c r="H70" cm="1">
        <f t="array" ref="H70">_xll.BDH(H$2 &amp; " PE Equity","PX_LAST",$B70,$B70)</f>
        <v>3.26</v>
      </c>
      <c r="I70" cm="1">
        <f t="array" ref="I70">_xll.BDH(I$2 &amp; " US Equity","PX_LAST",$B70,$B70)</f>
        <v>50.39</v>
      </c>
      <c r="J70" cm="1">
        <f t="array" ref="J70">_xll.BDH(J$2 &amp; " US Equity","PX_LAST",$B70,$B70)</f>
        <v>7.3494999999999999</v>
      </c>
      <c r="K70" cm="1">
        <f t="array" ref="K70">_xll.BDH(K$2 &amp; " US Equity","PX_LAST",$B70,$B70)</f>
        <v>50.52</v>
      </c>
      <c r="L70" cm="1">
        <f t="array" ref="L70">_xll.BDH(L$2 &amp; " US Equity","PX_LAST",$B70,$B70)</f>
        <v>54.55</v>
      </c>
      <c r="M70" cm="1">
        <f t="array" ref="M70">_xll.BDH(M$2 &amp; " US Equity","PX_LAST",$B70,$B70)</f>
        <v>259.52</v>
      </c>
      <c r="N70" cm="1">
        <f t="array" ref="N70">_xll.BDH(N$2 &amp; " US Equity","PX_LAST",$B70,$B70)</f>
        <v>34.130000000000003</v>
      </c>
      <c r="O70" cm="1">
        <f t="array" ref="O70">_xll.BDH(O$2 &amp; " US Equity","PX_LAST",$B70,$B70)</f>
        <v>32.299999999999997</v>
      </c>
      <c r="P70" cm="1">
        <f t="array" ref="P70">_xll.BDH(P$2 &amp; " US Equity","PX_LAST",$B70,$B70)</f>
        <v>17.66</v>
      </c>
      <c r="Q70" cm="1">
        <f t="array" ref="Q70">_xll.BDH(Q$2 &amp; " US Equity","PX_LAST",$B70,$B70)</f>
        <v>24.43</v>
      </c>
      <c r="R70" cm="1">
        <f t="array" ref="R70">_xll.BDH(R$2 &amp; " US Equity","PX_LAST",$B70,$B70)</f>
        <v>22.37</v>
      </c>
      <c r="S70" cm="1">
        <f t="array" ref="S70">_xll.BDH(S$2 &amp; " US Equity","PX_LAST",$B70,$B70)</f>
        <v>153.33000000000001</v>
      </c>
      <c r="T70" cm="1">
        <f t="array" ref="T70">_xll.BDH(T$2 &amp; " US Equity","PX_LAST",$B70,$B70)</f>
        <v>61.77</v>
      </c>
      <c r="U70" cm="1">
        <f t="array" ref="U70">_xll.BDH(U$2 &amp; " US Equity","PX_LAST",$B70,$B70)</f>
        <v>125.96</v>
      </c>
      <c r="V70" cm="1">
        <f t="array" ref="V70">_xll.BDH(V$2 &amp; " US Equity","PX_LAST",$B70,$B70)</f>
        <v>44.844999999999999</v>
      </c>
      <c r="W70" cm="1">
        <f t="array" ref="W70">_xll.BDH(W$2 &amp; " US Equity","PX_LAST",$B70,$B70)</f>
        <v>177.93</v>
      </c>
      <c r="X70" cm="1">
        <f t="array" ref="X70">_xll.BDH(X$2 &amp; " US Equity","PX_LAST",$B70,$B70)</f>
        <v>55.74</v>
      </c>
      <c r="Y70" cm="1">
        <f t="array" ref="Y70">_xll.BDH(Y$2 &amp; " US Equity","PX_LAST",$B70,$B70)</f>
        <v>43.78</v>
      </c>
      <c r="Z70" cm="1">
        <f t="array" ref="Z70">_xll.BDH(Z$2 &amp; " US Equity","PX_LAST",$B70,$B70)</f>
        <v>348.12</v>
      </c>
      <c r="AA70" cm="1">
        <f t="array" ref="AA70">_xll.BDH(AA$2 &amp; " PE Equity","PX_LAST",$B70,$B70)</f>
        <v>0.442</v>
      </c>
      <c r="AB70" cm="1">
        <f t="array" ref="AB70">_xll.BDH(AB$2 &amp; " PE Equity","PX_LAST",$B70,$B70)</f>
        <v>25.08</v>
      </c>
      <c r="AC70" cm="1">
        <f t="array" ref="AC70">_xll.BDH(AC$2 &amp; " US Equity","PX_LAST",$B70,$B70)</f>
        <v>69.52</v>
      </c>
      <c r="AD70" cm="1">
        <f t="array" ref="AD70">_xll.BDH(AD$2 &amp; " US Equity","PX_LAST",$B70,$B70)</f>
        <v>670.97</v>
      </c>
      <c r="AE70" t="str" cm="1">
        <f t="array" ref="AE70">_xll.BDH(AE$2 &amp; " PE Equity","PX_LAST",$B70,$B70)</f>
        <v>#N/A Connection</v>
      </c>
      <c r="AF70" cm="1">
        <f t="array" ref="AF70">_xll.BDH(AF$2 &amp; " US Equity","PX_LAST",$B70,$B70)</f>
        <v>54.934699999999999</v>
      </c>
      <c r="AG70" cm="1">
        <f t="array" ref="AG70">_xll.BDH(AG$2 &amp; " US Equity","PX_LAST",$B70,$B70)</f>
        <v>13.705</v>
      </c>
      <c r="AH70" cm="1">
        <f t="array" ref="AH70">_xll.BDH(AH$2 &amp; " US Equity","PX_LAST",$B70,$B70)</f>
        <v>609.74</v>
      </c>
      <c r="AI70" cm="1">
        <f t="array" ref="AI70">_xll.BDH(AI$2 &amp; " US Equity","PX_LAST",$B70,$B70)</f>
        <v>106.29</v>
      </c>
      <c r="AJ70" cm="1">
        <f t="array" ref="AJ70">_xll.BDH(AJ$2 &amp; " US Equity","PX_LAST",$B70,$B70)</f>
        <v>110.74</v>
      </c>
      <c r="AK70" cm="1">
        <f t="array" ref="AK70">_xll.BDH(AK$2 &amp; " US Equity","PX_LAST",$B70,$B70)</f>
        <v>117.93</v>
      </c>
      <c r="AL70" cm="1">
        <f t="array" ref="AL70">_xll.BDH(AL$2 &amp; " US Equity","PX_LAST",$B70,$B70)</f>
        <v>244.41</v>
      </c>
      <c r="AM70" cm="1">
        <f t="array" ref="AM70">_xll.BDH(AM$2 &amp; " US Equity","PX_LAST",$B70,$B70)</f>
        <v>52.89</v>
      </c>
      <c r="AN70" cm="1">
        <f t="array" ref="AN70">_xll.BDH(AN$2 &amp; " US Equity","PX_LAST",$B70,$B70)</f>
        <v>25.035</v>
      </c>
      <c r="AO70" cm="1">
        <f t="array" ref="AO70">_xll.BDH(AO$2 &amp; " US Equity","PX_LAST",$B70,$B70)</f>
        <v>55.08</v>
      </c>
      <c r="AP70" cm="1">
        <f t="array" ref="AP70">_xll.BDH(AP$2 &amp; " US Equity","PX_LAST",$B70,$B70)</f>
        <v>5.42</v>
      </c>
      <c r="AQ70" cm="1">
        <f t="array" ref="AQ70">_xll.BDH(AQ$2 &amp; " US Equity","PX_LAST",$B70,$B70)</f>
        <v>103.85</v>
      </c>
      <c r="AR70" cm="1">
        <f t="array" ref="AR70">_xll.BDH(AR$2 &amp; " US Equity","PX_LAST",$B70,$B70)</f>
        <v>63.22</v>
      </c>
      <c r="AS70" cm="1">
        <f t="array" ref="AS70">_xll.BDH(AS$2 &amp; " US Equity","PX_LAST",$B70,$B70)</f>
        <v>110.366</v>
      </c>
      <c r="AT70" cm="1">
        <f t="array" ref="AT70">_xll.BDH(AT$2 &amp; " US Equity","PX_LAST",$B70,$B70)</f>
        <v>6.86</v>
      </c>
      <c r="AU70" cm="1">
        <f t="array" ref="AU70">_xll.BDH(AU$2 &amp; " US Equity","PX_LAST",$B70,$B70)</f>
        <v>324.20999999999998</v>
      </c>
      <c r="AV70" cm="1">
        <f t="array" ref="AV70">_xll.BDH(AV$2 &amp; " US Equity","PX_LAST",$B70,$B70)</f>
        <v>232</v>
      </c>
      <c r="AW70" cm="1">
        <f t="array" ref="AW70">_xll.BDH(AW$2 &amp; " US Equity","PX_LAST",$B70,$B70)</f>
        <v>121.32</v>
      </c>
    </row>
    <row r="71" spans="2:49">
      <c r="B71" s="13">
        <v>45969</v>
      </c>
      <c r="C71" t="str" cm="1">
        <f t="array" ref="C71">_xll.BDH(C$2 &amp; " US Equity","PX_LAST",$B71,$B71)</f>
        <v>#N/A N/A</v>
      </c>
      <c r="D71" t="str" cm="1">
        <f t="array" ref="D71">_xll.BDH(D$2 &amp; " PE Equity","PX_LAST",$B71,$B71)</f>
        <v>#N/A N/A</v>
      </c>
      <c r="E71" t="str" cm="1">
        <f t="array" ref="E71">_xll.BDH(E$2 &amp; " PE Equity","PX_LAST",$B71,$B71)</f>
        <v>#N/A N/A</v>
      </c>
      <c r="F71" t="str" cm="1">
        <f t="array" ref="F71">_xll.BDH(F$2 &amp; " PE Equity","PX_LAST",$B71,$B71)</f>
        <v>#N/A N/A</v>
      </c>
      <c r="G71" t="str" cm="1">
        <f t="array" ref="G71">_xll.BDH(G$2 &amp; " US Equity","PX_LAST",$B71,$B71)</f>
        <v>#N/A N/A</v>
      </c>
      <c r="H71" t="str" cm="1">
        <f t="array" ref="H71">_xll.BDH(H$2 &amp; " PE Equity","PX_LAST",$B71,$B71)</f>
        <v>#N/A N/A</v>
      </c>
      <c r="I71" t="str" cm="1">
        <f t="array" ref="I71">_xll.BDH(I$2 &amp; " US Equity","PX_LAST",$B71,$B71)</f>
        <v>#N/A N/A</v>
      </c>
      <c r="J71" t="str" cm="1">
        <f t="array" ref="J71">_xll.BDH(J$2 &amp; " US Equity","PX_LAST",$B71,$B71)</f>
        <v>#N/A N/A</v>
      </c>
      <c r="K71" t="str" cm="1">
        <f t="array" ref="K71">_xll.BDH(K$2 &amp; " US Equity","PX_LAST",$B71,$B71)</f>
        <v>#N/A N/A</v>
      </c>
      <c r="L71" t="str" cm="1">
        <f t="array" ref="L71">_xll.BDH(L$2 &amp; " US Equity","PX_LAST",$B71,$B71)</f>
        <v>#N/A N/A</v>
      </c>
      <c r="M71" t="str" cm="1">
        <f t="array" ref="M71">_xll.BDH(M$2 &amp; " US Equity","PX_LAST",$B71,$B71)</f>
        <v>#N/A N/A</v>
      </c>
      <c r="N71" t="str" cm="1">
        <f t="array" ref="N71">_xll.BDH(N$2 &amp; " US Equity","PX_LAST",$B71,$B71)</f>
        <v>#N/A N/A</v>
      </c>
      <c r="O71" t="str" cm="1">
        <f t="array" ref="O71">_xll.BDH(O$2 &amp; " US Equity","PX_LAST",$B71,$B71)</f>
        <v>#N/A N/A</v>
      </c>
      <c r="P71" t="str" cm="1">
        <f t="array" ref="P71">_xll.BDH(P$2 &amp; " US Equity","PX_LAST",$B71,$B71)</f>
        <v>#N/A N/A</v>
      </c>
      <c r="Q71" t="str" cm="1">
        <f t="array" ref="Q71">_xll.BDH(Q$2 &amp; " US Equity","PX_LAST",$B71,$B71)</f>
        <v>#N/A N/A</v>
      </c>
      <c r="R71" t="str" cm="1">
        <f t="array" ref="R71">_xll.BDH(R$2 &amp; " US Equity","PX_LAST",$B71,$B71)</f>
        <v>#N/A N/A</v>
      </c>
      <c r="S71" t="str" cm="1">
        <f t="array" ref="S71">_xll.BDH(S$2 &amp; " US Equity","PX_LAST",$B71,$B71)</f>
        <v>#N/A N/A</v>
      </c>
      <c r="T71" t="str" cm="1">
        <f t="array" ref="T71">_xll.BDH(T$2 &amp; " US Equity","PX_LAST",$B71,$B71)</f>
        <v>#N/A N/A</v>
      </c>
      <c r="U71" t="str" cm="1">
        <f t="array" ref="U71">_xll.BDH(U$2 &amp; " US Equity","PX_LAST",$B71,$B71)</f>
        <v>#N/A N/A</v>
      </c>
      <c r="V71" t="str" cm="1">
        <f t="array" ref="V71">_xll.BDH(V$2 &amp; " US Equity","PX_LAST",$B71,$B71)</f>
        <v>#N/A N/A</v>
      </c>
      <c r="W71" t="str" cm="1">
        <f t="array" ref="W71">_xll.BDH(W$2 &amp; " US Equity","PX_LAST",$B71,$B71)</f>
        <v>#N/A N/A</v>
      </c>
      <c r="X71" t="str" cm="1">
        <f t="array" ref="X71">_xll.BDH(X$2 &amp; " US Equity","PX_LAST",$B71,$B71)</f>
        <v>#N/A N/A</v>
      </c>
      <c r="Y71" t="str" cm="1">
        <f t="array" ref="Y71">_xll.BDH(Y$2 &amp; " US Equity","PX_LAST",$B71,$B71)</f>
        <v>#N/A N/A</v>
      </c>
      <c r="Z71" t="str" cm="1">
        <f t="array" ref="Z71">_xll.BDH(Z$2 &amp; " US Equity","PX_LAST",$B71,$B71)</f>
        <v>#N/A N/A</v>
      </c>
      <c r="AA71" t="str" cm="1">
        <f t="array" ref="AA71">_xll.BDH(AA$2 &amp; " PE Equity","PX_LAST",$B71,$B71)</f>
        <v>#N/A N/A</v>
      </c>
      <c r="AB71" t="str" cm="1">
        <f t="array" ref="AB71">_xll.BDH(AB$2 &amp; " PE Equity","PX_LAST",$B71,$B71)</f>
        <v>#N/A N/A</v>
      </c>
      <c r="AC71" t="str" cm="1">
        <f t="array" ref="AC71">_xll.BDH(AC$2 &amp; " US Equity","PX_LAST",$B71,$B71)</f>
        <v>#N/A N/A</v>
      </c>
      <c r="AD71" t="str" cm="1">
        <f t="array" ref="AD71">_xll.BDH(AD$2 &amp; " US Equity","PX_LAST",$B71,$B71)</f>
        <v>#N/A N/A</v>
      </c>
      <c r="AE71" t="str" cm="1">
        <f t="array" ref="AE71">_xll.BDH(AE$2 &amp; " PE Equity","PX_LAST",$B71,$B71)</f>
        <v>#N/A Connection</v>
      </c>
      <c r="AF71" t="str" cm="1">
        <f t="array" ref="AF71">_xll.BDH(AF$2 &amp; " US Equity","PX_LAST",$B71,$B71)</f>
        <v>#N/A N/A</v>
      </c>
      <c r="AG71" t="str" cm="1">
        <f t="array" ref="AG71">_xll.BDH(AG$2 &amp; " US Equity","PX_LAST",$B71,$B71)</f>
        <v>#N/A N/A</v>
      </c>
      <c r="AH71" t="str" cm="1">
        <f t="array" ref="AH71">_xll.BDH(AH$2 &amp; " US Equity","PX_LAST",$B71,$B71)</f>
        <v>#N/A N/A</v>
      </c>
      <c r="AI71" t="str" cm="1">
        <f t="array" ref="AI71">_xll.BDH(AI$2 &amp; " US Equity","PX_LAST",$B71,$B71)</f>
        <v>#N/A N/A</v>
      </c>
      <c r="AJ71" t="str" cm="1">
        <f t="array" ref="AJ71">_xll.BDH(AJ$2 &amp; " US Equity","PX_LAST",$B71,$B71)</f>
        <v>#N/A N/A</v>
      </c>
      <c r="AK71" t="str" cm="1">
        <f t="array" ref="AK71">_xll.BDH(AK$2 &amp; " US Equity","PX_LAST",$B71,$B71)</f>
        <v>#N/A N/A</v>
      </c>
      <c r="AL71" t="str" cm="1">
        <f t="array" ref="AL71">_xll.BDH(AL$2 &amp; " US Equity","PX_LAST",$B71,$B71)</f>
        <v>#N/A N/A</v>
      </c>
      <c r="AM71" t="str" cm="1">
        <f t="array" ref="AM71">_xll.BDH(AM$2 &amp; " US Equity","PX_LAST",$B71,$B71)</f>
        <v>#N/A N/A</v>
      </c>
      <c r="AN71" t="str" cm="1">
        <f t="array" ref="AN71">_xll.BDH(AN$2 &amp; " US Equity","PX_LAST",$B71,$B71)</f>
        <v>#N/A N/A</v>
      </c>
      <c r="AO71" t="str" cm="1">
        <f t="array" ref="AO71">_xll.BDH(AO$2 &amp; " US Equity","PX_LAST",$B71,$B71)</f>
        <v>#N/A N/A</v>
      </c>
      <c r="AP71" t="str" cm="1">
        <f t="array" ref="AP71">_xll.BDH(AP$2 &amp; " US Equity","PX_LAST",$B71,$B71)</f>
        <v>#N/A N/A</v>
      </c>
      <c r="AQ71" t="str" cm="1">
        <f t="array" ref="AQ71">_xll.BDH(AQ$2 &amp; " US Equity","PX_LAST",$B71,$B71)</f>
        <v>#N/A N/A</v>
      </c>
      <c r="AR71" t="str" cm="1">
        <f t="array" ref="AR71">_xll.BDH(AR$2 &amp; " US Equity","PX_LAST",$B71,$B71)</f>
        <v>#N/A N/A</v>
      </c>
      <c r="AS71" t="str" cm="1">
        <f t="array" ref="AS71">_xll.BDH(AS$2 &amp; " US Equity","PX_LAST",$B71,$B71)</f>
        <v>#N/A N/A</v>
      </c>
      <c r="AT71" t="str" cm="1">
        <f t="array" ref="AT71">_xll.BDH(AT$2 &amp; " US Equity","PX_LAST",$B71,$B71)</f>
        <v>#N/A N/A</v>
      </c>
      <c r="AU71" t="str" cm="1">
        <f t="array" ref="AU71">_xll.BDH(AU$2 &amp; " US Equity","PX_LAST",$B71,$B71)</f>
        <v>#N/A N/A</v>
      </c>
      <c r="AV71" t="str" cm="1">
        <f t="array" ref="AV71">_xll.BDH(AV$2 &amp; " US Equity","PX_LAST",$B71,$B71)</f>
        <v>#N/A N/A</v>
      </c>
      <c r="AW71" t="str" cm="1">
        <f t="array" ref="AW71">_xll.BDH(AW$2 &amp; " US Equity","PX_LAST",$B71,$B71)</f>
        <v>#N/A N/A</v>
      </c>
    </row>
    <row r="72" spans="2:49">
      <c r="B72" s="13">
        <v>45970</v>
      </c>
      <c r="C72" t="str" cm="1">
        <f t="array" ref="C72">_xll.BDH(C$2 &amp; " US Equity","PX_LAST",$B72,$B72)</f>
        <v>#N/A N/A</v>
      </c>
      <c r="D72" t="str" cm="1">
        <f t="array" ref="D72">_xll.BDH(D$2 &amp; " PE Equity","PX_LAST",$B72,$B72)</f>
        <v>#N/A N/A</v>
      </c>
      <c r="E72" t="str" cm="1">
        <f t="array" ref="E72">_xll.BDH(E$2 &amp; " PE Equity","PX_LAST",$B72,$B72)</f>
        <v>#N/A N/A</v>
      </c>
      <c r="F72" t="str" cm="1">
        <f t="array" ref="F72">_xll.BDH(F$2 &amp; " PE Equity","PX_LAST",$B72,$B72)</f>
        <v>#N/A N/A</v>
      </c>
      <c r="G72" t="str" cm="1">
        <f t="array" ref="G72">_xll.BDH(G$2 &amp; " US Equity","PX_LAST",$B72,$B72)</f>
        <v>#N/A N/A</v>
      </c>
      <c r="H72" t="str" cm="1">
        <f t="array" ref="H72">_xll.BDH(H$2 &amp; " PE Equity","PX_LAST",$B72,$B72)</f>
        <v>#N/A N/A</v>
      </c>
      <c r="I72" t="str" cm="1">
        <f t="array" ref="I72">_xll.BDH(I$2 &amp; " US Equity","PX_LAST",$B72,$B72)</f>
        <v>#N/A N/A</v>
      </c>
      <c r="J72" t="str" cm="1">
        <f t="array" ref="J72">_xll.BDH(J$2 &amp; " US Equity","PX_LAST",$B72,$B72)</f>
        <v>#N/A N/A</v>
      </c>
      <c r="K72" t="str" cm="1">
        <f t="array" ref="K72">_xll.BDH(K$2 &amp; " US Equity","PX_LAST",$B72,$B72)</f>
        <v>#N/A N/A</v>
      </c>
      <c r="L72" t="str" cm="1">
        <f t="array" ref="L72">_xll.BDH(L$2 &amp; " US Equity","PX_LAST",$B72,$B72)</f>
        <v>#N/A N/A</v>
      </c>
      <c r="M72" t="str" cm="1">
        <f t="array" ref="M72">_xll.BDH(M$2 &amp; " US Equity","PX_LAST",$B72,$B72)</f>
        <v>#N/A N/A</v>
      </c>
      <c r="N72" t="str" cm="1">
        <f t="array" ref="N72">_xll.BDH(N$2 &amp; " US Equity","PX_LAST",$B72,$B72)</f>
        <v>#N/A N/A</v>
      </c>
      <c r="O72" t="str" cm="1">
        <f t="array" ref="O72">_xll.BDH(O$2 &amp; " US Equity","PX_LAST",$B72,$B72)</f>
        <v>#N/A N/A</v>
      </c>
      <c r="P72" t="str" cm="1">
        <f t="array" ref="P72">_xll.BDH(P$2 &amp; " US Equity","PX_LAST",$B72,$B72)</f>
        <v>#N/A N/A</v>
      </c>
      <c r="Q72" t="str" cm="1">
        <f t="array" ref="Q72">_xll.BDH(Q$2 &amp; " US Equity","PX_LAST",$B72,$B72)</f>
        <v>#N/A N/A</v>
      </c>
      <c r="R72" t="str" cm="1">
        <f t="array" ref="R72">_xll.BDH(R$2 &amp; " US Equity","PX_LAST",$B72,$B72)</f>
        <v>#N/A N/A</v>
      </c>
      <c r="S72" t="str" cm="1">
        <f t="array" ref="S72">_xll.BDH(S$2 &amp; " US Equity","PX_LAST",$B72,$B72)</f>
        <v>#N/A N/A</v>
      </c>
      <c r="T72" t="str" cm="1">
        <f t="array" ref="T72">_xll.BDH(T$2 &amp; " US Equity","PX_LAST",$B72,$B72)</f>
        <v>#N/A N/A</v>
      </c>
      <c r="U72" t="str" cm="1">
        <f t="array" ref="U72">_xll.BDH(U$2 &amp; " US Equity","PX_LAST",$B72,$B72)</f>
        <v>#N/A N/A</v>
      </c>
      <c r="V72" t="str" cm="1">
        <f t="array" ref="V72">_xll.BDH(V$2 &amp; " US Equity","PX_LAST",$B72,$B72)</f>
        <v>#N/A N/A</v>
      </c>
      <c r="W72" t="str" cm="1">
        <f t="array" ref="W72">_xll.BDH(W$2 &amp; " US Equity","PX_LAST",$B72,$B72)</f>
        <v>#N/A N/A</v>
      </c>
      <c r="X72" t="str" cm="1">
        <f t="array" ref="X72">_xll.BDH(X$2 &amp; " US Equity","PX_LAST",$B72,$B72)</f>
        <v>#N/A N/A</v>
      </c>
      <c r="Y72" t="str" cm="1">
        <f t="array" ref="Y72">_xll.BDH(Y$2 &amp; " US Equity","PX_LAST",$B72,$B72)</f>
        <v>#N/A N/A</v>
      </c>
      <c r="Z72" t="str" cm="1">
        <f t="array" ref="Z72">_xll.BDH(Z$2 &amp; " US Equity","PX_LAST",$B72,$B72)</f>
        <v>#N/A N/A</v>
      </c>
      <c r="AA72" t="str" cm="1">
        <f t="array" ref="AA72">_xll.BDH(AA$2 &amp; " PE Equity","PX_LAST",$B72,$B72)</f>
        <v>#N/A N/A</v>
      </c>
      <c r="AB72" t="str" cm="1">
        <f t="array" ref="AB72">_xll.BDH(AB$2 &amp; " PE Equity","PX_LAST",$B72,$B72)</f>
        <v>#N/A N/A</v>
      </c>
      <c r="AC72" t="str" cm="1">
        <f t="array" ref="AC72">_xll.BDH(AC$2 &amp; " US Equity","PX_LAST",$B72,$B72)</f>
        <v>#N/A N/A</v>
      </c>
      <c r="AD72" t="str" cm="1">
        <f t="array" ref="AD72">_xll.BDH(AD$2 &amp; " US Equity","PX_LAST",$B72,$B72)</f>
        <v>#N/A N/A</v>
      </c>
      <c r="AE72" t="str" cm="1">
        <f t="array" ref="AE72">_xll.BDH(AE$2 &amp; " PE Equity","PX_LAST",$B72,$B72)</f>
        <v>#N/A Connection</v>
      </c>
      <c r="AF72" t="str" cm="1">
        <f t="array" ref="AF72">_xll.BDH(AF$2 &amp; " US Equity","PX_LAST",$B72,$B72)</f>
        <v>#N/A N/A</v>
      </c>
      <c r="AG72" t="str" cm="1">
        <f t="array" ref="AG72">_xll.BDH(AG$2 &amp; " US Equity","PX_LAST",$B72,$B72)</f>
        <v>#N/A N/A</v>
      </c>
      <c r="AH72" t="str" cm="1">
        <f t="array" ref="AH72">_xll.BDH(AH$2 &amp; " US Equity","PX_LAST",$B72,$B72)</f>
        <v>#N/A N/A</v>
      </c>
      <c r="AI72" t="str" cm="1">
        <f t="array" ref="AI72">_xll.BDH(AI$2 &amp; " US Equity","PX_LAST",$B72,$B72)</f>
        <v>#N/A N/A</v>
      </c>
      <c r="AJ72" t="str" cm="1">
        <f t="array" ref="AJ72">_xll.BDH(AJ$2 &amp; " US Equity","PX_LAST",$B72,$B72)</f>
        <v>#N/A N/A</v>
      </c>
      <c r="AK72" t="str" cm="1">
        <f t="array" ref="AK72">_xll.BDH(AK$2 &amp; " US Equity","PX_LAST",$B72,$B72)</f>
        <v>#N/A N/A</v>
      </c>
      <c r="AL72" t="str" cm="1">
        <f t="array" ref="AL72">_xll.BDH(AL$2 &amp; " US Equity","PX_LAST",$B72,$B72)</f>
        <v>#N/A N/A</v>
      </c>
      <c r="AM72" t="str" cm="1">
        <f t="array" ref="AM72">_xll.BDH(AM$2 &amp; " US Equity","PX_LAST",$B72,$B72)</f>
        <v>#N/A N/A</v>
      </c>
      <c r="AN72" t="str" cm="1">
        <f t="array" ref="AN72">_xll.BDH(AN$2 &amp; " US Equity","PX_LAST",$B72,$B72)</f>
        <v>#N/A N/A</v>
      </c>
      <c r="AO72" t="str" cm="1">
        <f t="array" ref="AO72">_xll.BDH(AO$2 &amp; " US Equity","PX_LAST",$B72,$B72)</f>
        <v>#N/A N/A</v>
      </c>
      <c r="AP72" t="str" cm="1">
        <f t="array" ref="AP72">_xll.BDH(AP$2 &amp; " US Equity","PX_LAST",$B72,$B72)</f>
        <v>#N/A N/A</v>
      </c>
      <c r="AQ72" t="str" cm="1">
        <f t="array" ref="AQ72">_xll.BDH(AQ$2 &amp; " US Equity","PX_LAST",$B72,$B72)</f>
        <v>#N/A N/A</v>
      </c>
      <c r="AR72" t="str" cm="1">
        <f t="array" ref="AR72">_xll.BDH(AR$2 &amp; " US Equity","PX_LAST",$B72,$B72)</f>
        <v>#N/A N/A</v>
      </c>
      <c r="AS72" t="str" cm="1">
        <f t="array" ref="AS72">_xll.BDH(AS$2 &amp; " US Equity","PX_LAST",$B72,$B72)</f>
        <v>#N/A N/A</v>
      </c>
      <c r="AT72" t="str" cm="1">
        <f t="array" ref="AT72">_xll.BDH(AT$2 &amp; " US Equity","PX_LAST",$B72,$B72)</f>
        <v>#N/A N/A</v>
      </c>
      <c r="AU72" t="str" cm="1">
        <f t="array" ref="AU72">_xll.BDH(AU$2 &amp; " US Equity","PX_LAST",$B72,$B72)</f>
        <v>#N/A N/A</v>
      </c>
      <c r="AV72" t="str" cm="1">
        <f t="array" ref="AV72">_xll.BDH(AV$2 &amp; " US Equity","PX_LAST",$B72,$B72)</f>
        <v>#N/A N/A</v>
      </c>
      <c r="AW72" t="str" cm="1">
        <f t="array" ref="AW72">_xll.BDH(AW$2 &amp; " US Equity","PX_LAST",$B72,$B72)</f>
        <v>#N/A N/A</v>
      </c>
    </row>
    <row r="73" spans="2:49">
      <c r="B73" s="13">
        <v>45971</v>
      </c>
      <c r="C73" cm="1">
        <f t="array" ref="C73">_xll.BDH(C$2 &amp; " US Equity","PX_LAST",$B73,$B73)</f>
        <v>253.89</v>
      </c>
      <c r="D73" cm="1">
        <f t="array" ref="D73">_xll.BDH(D$2 &amp; " PE Equity","PX_LAST",$B73,$B73)</f>
        <v>4.45</v>
      </c>
      <c r="E73" cm="1">
        <f t="array" ref="E73">_xll.BDH(E$2 &amp; " PE Equity","PX_LAST",$B73,$B73)</f>
        <v>1.65</v>
      </c>
      <c r="F73" cm="1">
        <f t="array" ref="F73">_xll.BDH(F$2 &amp; " PE Equity","PX_LAST",$B73,$B73)</f>
        <v>2.4</v>
      </c>
      <c r="G73" cm="1">
        <f t="array" ref="G73">_xll.BDH(G$2 &amp; " US Equity","PX_LAST",$B73,$B73)</f>
        <v>26.04</v>
      </c>
      <c r="H73" cm="1">
        <f t="array" ref="H73">_xll.BDH(H$2 &amp; " PE Equity","PX_LAST",$B73,$B73)</f>
        <v>3.27</v>
      </c>
      <c r="I73" cm="1">
        <f t="array" ref="I73">_xll.BDH(I$2 &amp; " US Equity","PX_LAST",$B73,$B73)</f>
        <v>52.86</v>
      </c>
      <c r="J73" cm="1">
        <f t="array" ref="J73">_xll.BDH(J$2 &amp; " US Equity","PX_LAST",$B73,$B73)</f>
        <v>7.4077999999999999</v>
      </c>
      <c r="K73" cm="1">
        <f t="array" ref="K73">_xll.BDH(K$2 &amp; " US Equity","PX_LAST",$B73,$B73)</f>
        <v>51.26</v>
      </c>
      <c r="L73" cm="1">
        <f t="array" ref="L73">_xll.BDH(L$2 &amp; " US Equity","PX_LAST",$B73,$B73)</f>
        <v>55.51</v>
      </c>
      <c r="M73" cm="1">
        <f t="array" ref="M73">_xll.BDH(M$2 &amp; " US Equity","PX_LAST",$B73,$B73)</f>
        <v>259.01</v>
      </c>
      <c r="N73" cm="1">
        <f t="array" ref="N73">_xll.BDH(N$2 &amp; " US Equity","PX_LAST",$B73,$B73)</f>
        <v>34.700000000000003</v>
      </c>
      <c r="O73" cm="1">
        <f t="array" ref="O73">_xll.BDH(O$2 &amp; " US Equity","PX_LAST",$B73,$B73)</f>
        <v>32.72</v>
      </c>
      <c r="P73" cm="1">
        <f t="array" ref="P73">_xll.BDH(P$2 &amp; " US Equity","PX_LAST",$B73,$B73)</f>
        <v>18.010000000000002</v>
      </c>
      <c r="Q73" cm="1">
        <f t="array" ref="Q73">_xll.BDH(Q$2 &amp; " US Equity","PX_LAST",$B73,$B73)</f>
        <v>24.39</v>
      </c>
      <c r="R73" cm="1">
        <f t="array" ref="R73">_xll.BDH(R$2 &amp; " US Equity","PX_LAST",$B73,$B73)</f>
        <v>23.34</v>
      </c>
      <c r="S73" cm="1">
        <f t="array" ref="S73">_xll.BDH(S$2 &amp; " US Equity","PX_LAST",$B73,$B73)</f>
        <v>154.19999999999999</v>
      </c>
      <c r="T73" cm="1">
        <f t="array" ref="T73">_xll.BDH(T$2 &amp; " US Equity","PX_LAST",$B73,$B73)</f>
        <v>62.54</v>
      </c>
      <c r="U73" cm="1">
        <f t="array" ref="U73">_xll.BDH(U$2 &amp; " US Equity","PX_LAST",$B73,$B73)</f>
        <v>132.32</v>
      </c>
      <c r="V73" cm="1">
        <f t="array" ref="V73">_xll.BDH(V$2 &amp; " US Equity","PX_LAST",$B73,$B73)</f>
        <v>44.83</v>
      </c>
      <c r="W73" cm="1">
        <f t="array" ref="W73">_xll.BDH(W$2 &amp; " US Equity","PX_LAST",$B73,$B73)</f>
        <v>193.61</v>
      </c>
      <c r="X73" cm="1">
        <f t="array" ref="X73">_xll.BDH(X$2 &amp; " US Equity","PX_LAST",$B73,$B73)</f>
        <v>56.36</v>
      </c>
      <c r="Y73" cm="1">
        <f t="array" ref="Y73">_xll.BDH(Y$2 &amp; " US Equity","PX_LAST",$B73,$B73)</f>
        <v>44.19</v>
      </c>
      <c r="Z73" cm="1">
        <f t="array" ref="Z73">_xll.BDH(Z$2 &amp; " US Equity","PX_LAST",$B73,$B73)</f>
        <v>358.79</v>
      </c>
      <c r="AA73" cm="1">
        <f t="array" ref="AA73">_xll.BDH(AA$2 &amp; " PE Equity","PX_LAST",$B73,$B73)</f>
        <v>0.46</v>
      </c>
      <c r="AB73" cm="1">
        <f t="array" ref="AB73">_xll.BDH(AB$2 &amp; " PE Equity","PX_LAST",$B73,$B73)</f>
        <v>25.45</v>
      </c>
      <c r="AC73" cm="1">
        <f t="array" ref="AC73">_xll.BDH(AC$2 &amp; " US Equity","PX_LAST",$B73,$B73)</f>
        <v>70.06</v>
      </c>
      <c r="AD73" cm="1">
        <f t="array" ref="AD73">_xll.BDH(AD$2 &amp; " US Equity","PX_LAST",$B73,$B73)</f>
        <v>681.44</v>
      </c>
      <c r="AE73" t="str" cm="1">
        <f t="array" ref="AE73">_xll.BDH(AE$2 &amp; " PE Equity","PX_LAST",$B73,$B73)</f>
        <v>#N/A Connection</v>
      </c>
      <c r="AF73" cm="1">
        <f t="array" ref="AF73">_xll.BDH(AF$2 &amp; " US Equity","PX_LAST",$B73,$B73)</f>
        <v>55.505000000000003</v>
      </c>
      <c r="AG73" cm="1">
        <f t="array" ref="AG73">_xll.BDH(AG$2 &amp; " US Equity","PX_LAST",$B73,$B73)</f>
        <v>13.9267</v>
      </c>
      <c r="AH73" cm="1">
        <f t="array" ref="AH73">_xll.BDH(AH$2 &amp; " US Equity","PX_LAST",$B73,$B73)</f>
        <v>623.23</v>
      </c>
      <c r="AI73" cm="1">
        <f t="array" ref="AI73">_xll.BDH(AI$2 &amp; " US Equity","PX_LAST",$B73,$B73)</f>
        <v>107</v>
      </c>
      <c r="AJ73" cm="1">
        <f t="array" ref="AJ73">_xll.BDH(AJ$2 &amp; " US Equity","PX_LAST",$B73,$B73)</f>
        <v>112.24</v>
      </c>
      <c r="AK73" cm="1">
        <f t="array" ref="AK73">_xll.BDH(AK$2 &amp; " US Equity","PX_LAST",$B73,$B73)</f>
        <v>119.48</v>
      </c>
      <c r="AL73" cm="1">
        <f t="array" ref="AL73">_xll.BDH(AL$2 &amp; " US Equity","PX_LAST",$B73,$B73)</f>
        <v>248.4</v>
      </c>
      <c r="AM73" cm="1">
        <f t="array" ref="AM73">_xll.BDH(AM$2 &amp; " US Equity","PX_LAST",$B73,$B73)</f>
        <v>56.354999999999997</v>
      </c>
      <c r="AN73" cm="1">
        <f t="array" ref="AN73">_xll.BDH(AN$2 &amp; " US Equity","PX_LAST",$B73,$B73)</f>
        <v>25.245000000000001</v>
      </c>
      <c r="AO73" cm="1">
        <f t="array" ref="AO73">_xll.BDH(AO$2 &amp; " US Equity","PX_LAST",$B73,$B73)</f>
        <v>55.91</v>
      </c>
      <c r="AP73" cm="1">
        <f t="array" ref="AP73">_xll.BDH(AP$2 &amp; " US Equity","PX_LAST",$B73,$B73)</f>
        <v>5.2</v>
      </c>
      <c r="AQ73" cm="1">
        <f t="array" ref="AQ73">_xll.BDH(AQ$2 &amp; " US Equity","PX_LAST",$B73,$B73)</f>
        <v>103.09</v>
      </c>
      <c r="AR73" cm="1">
        <f t="array" ref="AR73">_xll.BDH(AR$2 &amp; " US Equity","PX_LAST",$B73,$B73)</f>
        <v>63.57</v>
      </c>
      <c r="AS73" cm="1">
        <f t="array" ref="AS73">_xll.BDH(AS$2 &amp; " US Equity","PX_LAST",$B73,$B73)</f>
        <v>112.00700000000001</v>
      </c>
      <c r="AT73" cm="1">
        <f t="array" ref="AT73">_xll.BDH(AT$2 &amp; " US Equity","PX_LAST",$B73,$B73)</f>
        <v>6.71</v>
      </c>
      <c r="AU73" cm="1">
        <f t="array" ref="AU73">_xll.BDH(AU$2 &amp; " US Equity","PX_LAST",$B73,$B73)</f>
        <v>321.58</v>
      </c>
      <c r="AV73" cm="1">
        <f t="array" ref="AV73">_xll.BDH(AV$2 &amp; " US Equity","PX_LAST",$B73,$B73)</f>
        <v>234.06</v>
      </c>
      <c r="AW73" cm="1">
        <f t="array" ref="AW73">_xll.BDH(AW$2 &amp; " US Equity","PX_LAST",$B73,$B73)</f>
        <v>120.11</v>
      </c>
    </row>
    <row r="74" spans="2:49">
      <c r="B74" s="13">
        <v>45972</v>
      </c>
      <c r="C74" cm="1">
        <f t="array" ref="C74">_xll.BDH(C$2 &amp; " US Equity","PX_LAST",$B74,$B74)</f>
        <v>267.72000000000003</v>
      </c>
      <c r="D74" cm="1">
        <f t="array" ref="D74">_xll.BDH(D$2 &amp; " PE Equity","PX_LAST",$B74,$B74)</f>
        <v>4.45</v>
      </c>
      <c r="E74" cm="1">
        <f t="array" ref="E74">_xll.BDH(E$2 &amp; " PE Equity","PX_LAST",$B74,$B74)</f>
        <v>1.68</v>
      </c>
      <c r="F74" cm="1">
        <f t="array" ref="F74">_xll.BDH(F$2 &amp; " PE Equity","PX_LAST",$B74,$B74)</f>
        <v>2.4</v>
      </c>
      <c r="G74" cm="1">
        <f t="array" ref="G74">_xll.BDH(G$2 &amp; " US Equity","PX_LAST",$B74,$B74)</f>
        <v>28.07</v>
      </c>
      <c r="H74" cm="1">
        <f t="array" ref="H74">_xll.BDH(H$2 &amp; " PE Equity","PX_LAST",$B74,$B74)</f>
        <v>3.3</v>
      </c>
      <c r="I74" cm="1">
        <f t="array" ref="I74">_xll.BDH(I$2 &amp; " US Equity","PX_LAST",$B74,$B74)</f>
        <v>51.85</v>
      </c>
      <c r="J74" cm="1">
        <f t="array" ref="J74">_xll.BDH(J$2 &amp; " US Equity","PX_LAST",$B74,$B74)</f>
        <v>7.6018999999999997</v>
      </c>
      <c r="K74" cm="1">
        <f t="array" ref="K74">_xll.BDH(K$2 &amp; " US Equity","PX_LAST",$B74,$B74)</f>
        <v>51.9</v>
      </c>
      <c r="L74" cm="1">
        <f t="array" ref="L74">_xll.BDH(L$2 &amp; " US Equity","PX_LAST",$B74,$B74)</f>
        <v>55.57</v>
      </c>
      <c r="M74" cm="1">
        <f t="array" ref="M74">_xll.BDH(M$2 &amp; " US Equity","PX_LAST",$B74,$B74)</f>
        <v>258.16000000000003</v>
      </c>
      <c r="N74" cm="1">
        <f t="array" ref="N74">_xll.BDH(N$2 &amp; " US Equity","PX_LAST",$B74,$B74)</f>
        <v>35.020000000000003</v>
      </c>
      <c r="O74" cm="1">
        <f t="array" ref="O74">_xll.BDH(O$2 &amp; " US Equity","PX_LAST",$B74,$B74)</f>
        <v>33.49</v>
      </c>
      <c r="P74" cm="1">
        <f t="array" ref="P74">_xll.BDH(P$2 &amp; " US Equity","PX_LAST",$B74,$B74)</f>
        <v>17.760000000000002</v>
      </c>
      <c r="Q74" cm="1">
        <f t="array" ref="Q74">_xll.BDH(Q$2 &amp; " US Equity","PX_LAST",$B74,$B74)</f>
        <v>25.51</v>
      </c>
      <c r="R74" cm="1">
        <f t="array" ref="R74">_xll.BDH(R$2 &amp; " US Equity","PX_LAST",$B74,$B74)</f>
        <v>23.38</v>
      </c>
      <c r="S74" cm="1">
        <f t="array" ref="S74">_xll.BDH(S$2 &amp; " US Equity","PX_LAST",$B74,$B74)</f>
        <v>154.24</v>
      </c>
      <c r="T74" cm="1">
        <f t="array" ref="T74">_xll.BDH(T$2 &amp; " US Equity","PX_LAST",$B74,$B74)</f>
        <v>63.09</v>
      </c>
      <c r="U74" cm="1">
        <f t="array" ref="U74">_xll.BDH(U$2 &amp; " US Equity","PX_LAST",$B74,$B74)</f>
        <v>131.94999999999999</v>
      </c>
      <c r="V74" cm="1">
        <f t="array" ref="V74">_xll.BDH(V$2 &amp; " US Equity","PX_LAST",$B74,$B74)</f>
        <v>44.854999999999997</v>
      </c>
      <c r="W74" cm="1">
        <f t="array" ref="W74">_xll.BDH(W$2 &amp; " US Equity","PX_LAST",$B74,$B74)</f>
        <v>190.96</v>
      </c>
      <c r="X74" cm="1">
        <f t="array" ref="X74">_xll.BDH(X$2 &amp; " US Equity","PX_LAST",$B74,$B74)</f>
        <v>57.67</v>
      </c>
      <c r="Y74" cm="1">
        <f t="array" ref="Y74">_xll.BDH(Y$2 &amp; " US Equity","PX_LAST",$B74,$B74)</f>
        <v>44.71</v>
      </c>
      <c r="Z74" cm="1">
        <f t="array" ref="Z74">_xll.BDH(Z$2 &amp; " US Equity","PX_LAST",$B74,$B74)</f>
        <v>351.05</v>
      </c>
      <c r="AA74" cm="1">
        <f t="array" ref="AA74">_xll.BDH(AA$2 &amp; " PE Equity","PX_LAST",$B74,$B74)</f>
        <v>0.46500000000000002</v>
      </c>
      <c r="AB74" cm="1">
        <f t="array" ref="AB74">_xll.BDH(AB$2 &amp; " PE Equity","PX_LAST",$B74,$B74)</f>
        <v>25.43</v>
      </c>
      <c r="AC74" cm="1">
        <f t="array" ref="AC74">_xll.BDH(AC$2 &amp; " US Equity","PX_LAST",$B74,$B74)</f>
        <v>70.510000000000005</v>
      </c>
      <c r="AD74" cm="1">
        <f t="array" ref="AD74">_xll.BDH(AD$2 &amp; " US Equity","PX_LAST",$B74,$B74)</f>
        <v>683</v>
      </c>
      <c r="AE74" t="str" cm="1">
        <f t="array" ref="AE74">_xll.BDH(AE$2 &amp; " PE Equity","PX_LAST",$B74,$B74)</f>
        <v>#N/A Connection</v>
      </c>
      <c r="AF74" cm="1">
        <f t="array" ref="AF74">_xll.BDH(AF$2 &amp; " US Equity","PX_LAST",$B74,$B74)</f>
        <v>56.752200000000002</v>
      </c>
      <c r="AG74" cm="1">
        <f t="array" ref="AG74">_xll.BDH(AG$2 &amp; " US Equity","PX_LAST",$B74,$B74)</f>
        <v>14.233499999999999</v>
      </c>
      <c r="AH74" cm="1">
        <f t="array" ref="AH74">_xll.BDH(AH$2 &amp; " US Equity","PX_LAST",$B74,$B74)</f>
        <v>621.57000000000005</v>
      </c>
      <c r="AI74" cm="1">
        <f t="array" ref="AI74">_xll.BDH(AI$2 &amp; " US Equity","PX_LAST",$B74,$B74)</f>
        <v>106.74</v>
      </c>
      <c r="AJ74" cm="1">
        <f t="array" ref="AJ74">_xll.BDH(AJ$2 &amp; " US Equity","PX_LAST",$B74,$B74)</f>
        <v>114.85</v>
      </c>
      <c r="AK74" cm="1">
        <f t="array" ref="AK74">_xll.BDH(AK$2 &amp; " US Equity","PX_LAST",$B74,$B74)</f>
        <v>119.77500000000001</v>
      </c>
      <c r="AL74" cm="1">
        <f t="array" ref="AL74">_xll.BDH(AL$2 &amp; " US Equity","PX_LAST",$B74,$B74)</f>
        <v>249.1</v>
      </c>
      <c r="AM74" cm="1">
        <f t="array" ref="AM74">_xll.BDH(AM$2 &amp; " US Equity","PX_LAST",$B74,$B74)</f>
        <v>55.89</v>
      </c>
      <c r="AN74" cm="1">
        <f t="array" ref="AN74">_xll.BDH(AN$2 &amp; " US Equity","PX_LAST",$B74,$B74)</f>
        <v>25.004999999999999</v>
      </c>
      <c r="AO74" cm="1">
        <f t="array" ref="AO74">_xll.BDH(AO$2 &amp; " US Equity","PX_LAST",$B74,$B74)</f>
        <v>55.36</v>
      </c>
      <c r="AP74" cm="1">
        <f t="array" ref="AP74">_xll.BDH(AP$2 &amp; " US Equity","PX_LAST",$B74,$B74)</f>
        <v>5.22</v>
      </c>
      <c r="AQ74" cm="1">
        <f t="array" ref="AQ74">_xll.BDH(AQ$2 &amp; " US Equity","PX_LAST",$B74,$B74)</f>
        <v>103.03</v>
      </c>
      <c r="AR74" cm="1">
        <f t="array" ref="AR74">_xll.BDH(AR$2 &amp; " US Equity","PX_LAST",$B74,$B74)</f>
        <v>63.83</v>
      </c>
      <c r="AS74" cm="1">
        <f t="array" ref="AS74">_xll.BDH(AS$2 &amp; " US Equity","PX_LAST",$B74,$B74)</f>
        <v>113.64400000000001</v>
      </c>
      <c r="AT74" cm="1">
        <f t="array" ref="AT74">_xll.BDH(AT$2 &amp; " US Equity","PX_LAST",$B74,$B74)</f>
        <v>6.63</v>
      </c>
      <c r="AU74" cm="1">
        <f t="array" ref="AU74">_xll.BDH(AU$2 &amp; " US Equity","PX_LAST",$B74,$B74)</f>
        <v>327.45</v>
      </c>
      <c r="AV74" cm="1">
        <f t="array" ref="AV74">_xll.BDH(AV$2 &amp; " US Equity","PX_LAST",$B74,$B74)</f>
        <v>240.7</v>
      </c>
      <c r="AW74" cm="1">
        <f t="array" ref="AW74">_xll.BDH(AW$2 &amp; " US Equity","PX_LAST",$B74,$B74)</f>
        <v>121.36</v>
      </c>
    </row>
    <row r="75" spans="2:49">
      <c r="B75" s="13">
        <v>45973</v>
      </c>
      <c r="C75" cm="1">
        <f t="array" ref="C75">_xll.BDH(C$2 &amp; " US Equity","PX_LAST",$B75,$B75)</f>
        <v>268.67</v>
      </c>
      <c r="D75" cm="1">
        <f t="array" ref="D75">_xll.BDH(D$2 &amp; " PE Equity","PX_LAST",$B75,$B75)</f>
        <v>4.45</v>
      </c>
      <c r="E75" cm="1">
        <f t="array" ref="E75">_xll.BDH(E$2 &amp; " PE Equity","PX_LAST",$B75,$B75)</f>
        <v>1.73</v>
      </c>
      <c r="F75" cm="1">
        <f t="array" ref="F75">_xll.BDH(F$2 &amp; " PE Equity","PX_LAST",$B75,$B75)</f>
        <v>2.38</v>
      </c>
      <c r="G75" cm="1">
        <f t="array" ref="G75">_xll.BDH(G$2 &amp; " US Equity","PX_LAST",$B75,$B75)</f>
        <v>27.28</v>
      </c>
      <c r="H75" cm="1">
        <f t="array" ref="H75">_xll.BDH(H$2 &amp; " PE Equity","PX_LAST",$B75,$B75)</f>
        <v>3.3</v>
      </c>
      <c r="I75" cm="1">
        <f t="array" ref="I75">_xll.BDH(I$2 &amp; " US Equity","PX_LAST",$B75,$B75)</f>
        <v>50.57</v>
      </c>
      <c r="J75" cm="1">
        <f t="array" ref="J75">_xll.BDH(J$2 &amp; " US Equity","PX_LAST",$B75,$B75)</f>
        <v>7.4175000000000004</v>
      </c>
      <c r="K75" cm="1">
        <f t="array" ref="K75">_xll.BDH(K$2 &amp; " US Equity","PX_LAST",$B75,$B75)</f>
        <v>52.52</v>
      </c>
      <c r="L75" cm="1">
        <f t="array" ref="L75">_xll.BDH(L$2 &amp; " US Equity","PX_LAST",$B75,$B75)</f>
        <v>55.58</v>
      </c>
      <c r="M75" cm="1">
        <f t="array" ref="M75">_xll.BDH(M$2 &amp; " US Equity","PX_LAST",$B75,$B75)</f>
        <v>262.52</v>
      </c>
      <c r="N75" cm="1">
        <f t="array" ref="N75">_xll.BDH(N$2 &amp; " US Equity","PX_LAST",$B75,$B75)</f>
        <v>35.380000000000003</v>
      </c>
      <c r="O75" cm="1">
        <f t="array" ref="O75">_xll.BDH(O$2 &amp; " US Equity","PX_LAST",$B75,$B75)</f>
        <v>33.22</v>
      </c>
      <c r="P75" cm="1">
        <f t="array" ref="P75">_xll.BDH(P$2 &amp; " US Equity","PX_LAST",$B75,$B75)</f>
        <v>17.66</v>
      </c>
      <c r="Q75" cm="1">
        <f t="array" ref="Q75">_xll.BDH(Q$2 &amp; " US Equity","PX_LAST",$B75,$B75)</f>
        <v>25.87</v>
      </c>
      <c r="R75" cm="1">
        <f t="array" ref="R75">_xll.BDH(R$2 &amp; " US Equity","PX_LAST",$B75,$B75)</f>
        <v>23.51</v>
      </c>
      <c r="S75" cm="1">
        <f t="array" ref="S75">_xll.BDH(S$2 &amp; " US Equity","PX_LAST",$B75,$B75)</f>
        <v>154.38999999999999</v>
      </c>
      <c r="T75" cm="1">
        <f t="array" ref="T75">_xll.BDH(T$2 &amp; " US Equity","PX_LAST",$B75,$B75)</f>
        <v>63.76</v>
      </c>
      <c r="U75" cm="1">
        <f t="array" ref="U75">_xll.BDH(U$2 &amp; " US Equity","PX_LAST",$B75,$B75)</f>
        <v>128.94</v>
      </c>
      <c r="V75" cm="1">
        <f t="array" ref="V75">_xll.BDH(V$2 &amp; " US Equity","PX_LAST",$B75,$B75)</f>
        <v>44.96</v>
      </c>
      <c r="W75" cm="1">
        <f t="array" ref="W75">_xll.BDH(W$2 &amp; " US Equity","PX_LAST",$B75,$B75)</f>
        <v>184.17</v>
      </c>
      <c r="X75" cm="1">
        <f t="array" ref="X75">_xll.BDH(X$2 &amp; " US Equity","PX_LAST",$B75,$B75)</f>
        <v>58.06</v>
      </c>
      <c r="Y75" cm="1">
        <f t="array" ref="Y75">_xll.BDH(Y$2 &amp; " US Equity","PX_LAST",$B75,$B75)</f>
        <v>45.14</v>
      </c>
      <c r="Z75" cm="1">
        <f t="array" ref="Z75">_xll.BDH(Z$2 &amp; " US Equity","PX_LAST",$B75,$B75)</f>
        <v>355.53</v>
      </c>
      <c r="AA75" cm="1">
        <f t="array" ref="AA75">_xll.BDH(AA$2 &amp; " PE Equity","PX_LAST",$B75,$B75)</f>
        <v>0.495</v>
      </c>
      <c r="AB75" cm="1">
        <f t="array" ref="AB75">_xll.BDH(AB$2 &amp; " PE Equity","PX_LAST",$B75,$B75)</f>
        <v>25.78</v>
      </c>
      <c r="AC75" cm="1">
        <f t="array" ref="AC75">_xll.BDH(AC$2 &amp; " US Equity","PX_LAST",$B75,$B75)</f>
        <v>70.77</v>
      </c>
      <c r="AD75" cm="1">
        <f t="array" ref="AD75">_xll.BDH(AD$2 &amp; " US Equity","PX_LAST",$B75,$B75)</f>
        <v>683.38</v>
      </c>
      <c r="AE75" t="str" cm="1">
        <f t="array" ref="AE75">_xll.BDH(AE$2 &amp; " PE Equity","PX_LAST",$B75,$B75)</f>
        <v>#N/A Connection</v>
      </c>
      <c r="AF75" cm="1">
        <f t="array" ref="AF75">_xll.BDH(AF$2 &amp; " US Equity","PX_LAST",$B75,$B75)</f>
        <v>57.335000000000001</v>
      </c>
      <c r="AG75" cm="1">
        <f t="array" ref="AG75">_xll.BDH(AG$2 &amp; " US Equity","PX_LAST",$B75,$B75)</f>
        <v>14.175000000000001</v>
      </c>
      <c r="AH75" cm="1">
        <f t="array" ref="AH75">_xll.BDH(AH$2 &amp; " US Equity","PX_LAST",$B75,$B75)</f>
        <v>621.08000000000004</v>
      </c>
      <c r="AI75" cm="1">
        <f t="array" ref="AI75">_xll.BDH(AI$2 &amp; " US Equity","PX_LAST",$B75,$B75)</f>
        <v>107.79</v>
      </c>
      <c r="AJ75" cm="1">
        <f t="array" ref="AJ75">_xll.BDH(AJ$2 &amp; " US Equity","PX_LAST",$B75,$B75)</f>
        <v>116.65</v>
      </c>
      <c r="AK75" cm="1">
        <f t="array" ref="AK75">_xll.BDH(AK$2 &amp; " US Equity","PX_LAST",$B75,$B75)</f>
        <v>118.97</v>
      </c>
      <c r="AL75" cm="1">
        <f t="array" ref="AL75">_xll.BDH(AL$2 &amp; " US Equity","PX_LAST",$B75,$B75)</f>
        <v>244.2</v>
      </c>
      <c r="AM75" cm="1">
        <f t="array" ref="AM75">_xll.BDH(AM$2 &amp; " US Equity","PX_LAST",$B75,$B75)</f>
        <v>55.774999999999999</v>
      </c>
      <c r="AN75" cm="1">
        <f t="array" ref="AN75">_xll.BDH(AN$2 &amp; " US Equity","PX_LAST",$B75,$B75)</f>
        <v>24.765000000000001</v>
      </c>
      <c r="AO75" cm="1">
        <f t="array" ref="AO75">_xll.BDH(AO$2 &amp; " US Equity","PX_LAST",$B75,$B75)</f>
        <v>54.93</v>
      </c>
      <c r="AP75" cm="1">
        <f t="array" ref="AP75">_xll.BDH(AP$2 &amp; " US Equity","PX_LAST",$B75,$B75)</f>
        <v>5.23</v>
      </c>
      <c r="AQ75" cm="1">
        <f t="array" ref="AQ75">_xll.BDH(AQ$2 &amp; " US Equity","PX_LAST",$B75,$B75)</f>
        <v>104.12</v>
      </c>
      <c r="AR75" cm="1">
        <f t="array" ref="AR75">_xll.BDH(AR$2 &amp; " US Equity","PX_LAST",$B75,$B75)</f>
        <v>64.150000000000006</v>
      </c>
      <c r="AS75" cm="1">
        <f t="array" ref="AS75">_xll.BDH(AS$2 &amp; " US Equity","PX_LAST",$B75,$B75)</f>
        <v>115.75</v>
      </c>
      <c r="AT75" cm="1">
        <f t="array" ref="AT75">_xll.BDH(AT$2 &amp; " US Equity","PX_LAST",$B75,$B75)</f>
        <v>6.45</v>
      </c>
      <c r="AU75" cm="1">
        <f t="array" ref="AU75">_xll.BDH(AU$2 &amp; " US Equity","PX_LAST",$B75,$B75)</f>
        <v>339.06</v>
      </c>
      <c r="AV75" cm="1">
        <f t="array" ref="AV75">_xll.BDH(AV$2 &amp; " US Equity","PX_LAST",$B75,$B75)</f>
        <v>240.34</v>
      </c>
      <c r="AW75" cm="1">
        <f t="array" ref="AW75">_xll.BDH(AW$2 &amp; " US Equity","PX_LAST",$B75,$B75)</f>
        <v>123.07</v>
      </c>
    </row>
    <row r="76" spans="2:49">
      <c r="B76" s="13">
        <v>45974</v>
      </c>
      <c r="C76" cm="1">
        <f t="array" ref="C76">_xll.BDH(C$2 &amp; " US Equity","PX_LAST",$B76,$B76)</f>
        <v>267.33999999999997</v>
      </c>
      <c r="D76" cm="1">
        <f t="array" ref="D76">_xll.BDH(D$2 &amp; " PE Equity","PX_LAST",$B76,$B76)</f>
        <v>4.47</v>
      </c>
      <c r="E76" cm="1">
        <f t="array" ref="E76">_xll.BDH(E$2 &amp; " PE Equity","PX_LAST",$B76,$B76)</f>
        <v>1.78</v>
      </c>
      <c r="F76" cm="1">
        <f t="array" ref="F76">_xll.BDH(F$2 &amp; " PE Equity","PX_LAST",$B76,$B76)</f>
        <v>2.34</v>
      </c>
      <c r="G76" cm="1">
        <f t="array" ref="G76">_xll.BDH(G$2 &amp; " US Equity","PX_LAST",$B76,$B76)</f>
        <v>26.38</v>
      </c>
      <c r="H76" cm="1">
        <f t="array" ref="H76">_xll.BDH(H$2 &amp; " PE Equity","PX_LAST",$B76,$B76)</f>
        <v>3.3</v>
      </c>
      <c r="I76" cm="1">
        <f t="array" ref="I76">_xll.BDH(I$2 &amp; " US Equity","PX_LAST",$B76,$B76)</f>
        <v>48.48</v>
      </c>
      <c r="J76" cm="1">
        <f t="array" ref="J76">_xll.BDH(J$2 &amp; " US Equity","PX_LAST",$B76,$B76)</f>
        <v>7.3689</v>
      </c>
      <c r="K76" cm="1">
        <f t="array" ref="K76">_xll.BDH(K$2 &amp; " US Equity","PX_LAST",$B76,$B76)</f>
        <v>52.21</v>
      </c>
      <c r="L76" cm="1">
        <f t="array" ref="L76">_xll.BDH(L$2 &amp; " US Equity","PX_LAST",$B76,$B76)</f>
        <v>54.93</v>
      </c>
      <c r="M76" cm="1">
        <f t="array" ref="M76">_xll.BDH(M$2 &amp; " US Equity","PX_LAST",$B76,$B76)</f>
        <v>252.15</v>
      </c>
      <c r="N76" cm="1">
        <f t="array" ref="N76">_xll.BDH(N$2 &amp; " US Equity","PX_LAST",$B76,$B76)</f>
        <v>35.119999999999997</v>
      </c>
      <c r="O76" cm="1">
        <f t="array" ref="O76">_xll.BDH(O$2 &amp; " US Equity","PX_LAST",$B76,$B76)</f>
        <v>32.979999999999997</v>
      </c>
      <c r="P76" cm="1">
        <f t="array" ref="P76">_xll.BDH(P$2 &amp; " US Equity","PX_LAST",$B76,$B76)</f>
        <v>16.87</v>
      </c>
      <c r="Q76" cm="1">
        <f t="array" ref="Q76">_xll.BDH(Q$2 &amp; " US Equity","PX_LAST",$B76,$B76)</f>
        <v>25.79</v>
      </c>
      <c r="R76" cm="1">
        <f t="array" ref="R76">_xll.BDH(R$2 &amp; " US Equity","PX_LAST",$B76,$B76)</f>
        <v>23.6</v>
      </c>
      <c r="S76" cm="1">
        <f t="array" ref="S76">_xll.BDH(S$2 &amp; " US Equity","PX_LAST",$B76,$B76)</f>
        <v>152</v>
      </c>
      <c r="T76" cm="1">
        <f t="array" ref="T76">_xll.BDH(T$2 &amp; " US Equity","PX_LAST",$B76,$B76)</f>
        <v>63.34</v>
      </c>
      <c r="U76" cm="1">
        <f t="array" ref="U76">_xll.BDH(U$2 &amp; " US Equity","PX_LAST",$B76,$B76)</f>
        <v>120.65</v>
      </c>
      <c r="V76" cm="1">
        <f t="array" ref="V76">_xll.BDH(V$2 &amp; " US Equity","PX_LAST",$B76,$B76)</f>
        <v>44.34</v>
      </c>
      <c r="W76" cm="1">
        <f t="array" ref="W76">_xll.BDH(W$2 &amp; " US Equity","PX_LAST",$B76,$B76)</f>
        <v>172.14</v>
      </c>
      <c r="X76" cm="1">
        <f t="array" ref="X76">_xll.BDH(X$2 &amp; " US Equity","PX_LAST",$B76,$B76)</f>
        <v>57.85</v>
      </c>
      <c r="Y76" cm="1">
        <f t="array" ref="Y76">_xll.BDH(Y$2 &amp; " US Equity","PX_LAST",$B76,$B76)</f>
        <v>45.04</v>
      </c>
      <c r="Z76" cm="1">
        <f t="array" ref="Z76">_xll.BDH(Z$2 &amp; " US Equity","PX_LAST",$B76,$B76)</f>
        <v>344.82</v>
      </c>
      <c r="AA76" cm="1">
        <f t="array" ref="AA76">_xll.BDH(AA$2 &amp; " PE Equity","PX_LAST",$B76,$B76)</f>
        <v>0.48399999999999999</v>
      </c>
      <c r="AB76" cm="1">
        <f t="array" ref="AB76">_xll.BDH(AB$2 &amp; " PE Equity","PX_LAST",$B76,$B76)</f>
        <v>25.75</v>
      </c>
      <c r="AC76" cm="1">
        <f t="array" ref="AC76">_xll.BDH(AC$2 &amp; " US Equity","PX_LAST",$B76,$B76)</f>
        <v>69.87</v>
      </c>
      <c r="AD76" cm="1">
        <f t="array" ref="AD76">_xll.BDH(AD$2 &amp; " US Equity","PX_LAST",$B76,$B76)</f>
        <v>672.04</v>
      </c>
      <c r="AE76" t="str" cm="1">
        <f t="array" ref="AE76">_xll.BDH(AE$2 &amp; " PE Equity","PX_LAST",$B76,$B76)</f>
        <v>#N/A Connection</v>
      </c>
      <c r="AF76" cm="1">
        <f t="array" ref="AF76">_xll.BDH(AF$2 &amp; " US Equity","PX_LAST",$B76,$B76)</f>
        <v>57.135800000000003</v>
      </c>
      <c r="AG76" cm="1">
        <f t="array" ref="AG76">_xll.BDH(AG$2 &amp; " US Equity","PX_LAST",$B76,$B76)</f>
        <v>13.852399999999999</v>
      </c>
      <c r="AH76" cm="1">
        <f t="array" ref="AH76">_xll.BDH(AH$2 &amp; " US Equity","PX_LAST",$B76,$B76)</f>
        <v>608.4</v>
      </c>
      <c r="AI76" cm="1">
        <f t="array" ref="AI76">_xll.BDH(AI$2 &amp; " US Equity","PX_LAST",$B76,$B76)</f>
        <v>107.85</v>
      </c>
      <c r="AJ76" cm="1">
        <f t="array" ref="AJ76">_xll.BDH(AJ$2 &amp; " US Equity","PX_LAST",$B76,$B76)</f>
        <v>107.61</v>
      </c>
      <c r="AK76" cm="1">
        <f t="array" ref="AK76">_xll.BDH(AK$2 &amp; " US Equity","PX_LAST",$B76,$B76)</f>
        <v>116</v>
      </c>
      <c r="AL76" cm="1">
        <f t="array" ref="AL76">_xll.BDH(AL$2 &amp; " US Equity","PX_LAST",$B76,$B76)</f>
        <v>237.58</v>
      </c>
      <c r="AM76" cm="1">
        <f t="array" ref="AM76">_xll.BDH(AM$2 &amp; " US Equity","PX_LAST",$B76,$B76)</f>
        <v>52.33</v>
      </c>
      <c r="AN76" cm="1">
        <f t="array" ref="AN76">_xll.BDH(AN$2 &amp; " US Equity","PX_LAST",$B76,$B76)</f>
        <v>24.63</v>
      </c>
      <c r="AO76" cm="1">
        <f t="array" ref="AO76">_xll.BDH(AO$2 &amp; " US Equity","PX_LAST",$B76,$B76)</f>
        <v>54.28</v>
      </c>
      <c r="AP76" cm="1">
        <f t="array" ref="AP76">_xll.BDH(AP$2 &amp; " US Equity","PX_LAST",$B76,$B76)</f>
        <v>4.95</v>
      </c>
      <c r="AQ76" cm="1">
        <f t="array" ref="AQ76">_xll.BDH(AQ$2 &amp; " US Equity","PX_LAST",$B76,$B76)</f>
        <v>104.45</v>
      </c>
      <c r="AR76" cm="1">
        <f t="array" ref="AR76">_xll.BDH(AR$2 &amp; " US Equity","PX_LAST",$B76,$B76)</f>
        <v>62.69</v>
      </c>
      <c r="AS76" cm="1">
        <f t="array" ref="AS76">_xll.BDH(AS$2 &amp; " US Equity","PX_LAST",$B76,$B76)</f>
        <v>115.423</v>
      </c>
      <c r="AT76" cm="1">
        <f t="array" ref="AT76">_xll.BDH(AT$2 &amp; " US Equity","PX_LAST",$B76,$B76)</f>
        <v>6.24</v>
      </c>
      <c r="AU76" cm="1">
        <f t="array" ref="AU76">_xll.BDH(AU$2 &amp; " US Equity","PX_LAST",$B76,$B76)</f>
        <v>332.52</v>
      </c>
      <c r="AV76" cm="1">
        <f t="array" ref="AV76">_xll.BDH(AV$2 &amp; " US Equity","PX_LAST",$B76,$B76)</f>
        <v>237.55</v>
      </c>
      <c r="AW76" cm="1">
        <f t="array" ref="AW76">_xll.BDH(AW$2 &amp; " US Equity","PX_LAST",$B76,$B76)</f>
        <v>120.75</v>
      </c>
    </row>
    <row r="77" spans="2:49">
      <c r="B77" s="13">
        <v>45975</v>
      </c>
      <c r="C77" cm="1">
        <f t="array" ref="C77">_xll.BDH(C$2 &amp; " US Equity","PX_LAST",$B77,$B77)</f>
        <v>267.56</v>
      </c>
      <c r="D77" cm="1">
        <f t="array" ref="D77">_xll.BDH(D$2 &amp; " PE Equity","PX_LAST",$B77,$B77)</f>
        <v>4.5</v>
      </c>
      <c r="E77" cm="1">
        <f t="array" ref="E77">_xll.BDH(E$2 &amp; " PE Equity","PX_LAST",$B77,$B77)</f>
        <v>1.7</v>
      </c>
      <c r="F77" cm="1">
        <f t="array" ref="F77">_xll.BDH(F$2 &amp; " PE Equity","PX_LAST",$B77,$B77)</f>
        <v>2.2999999999999998</v>
      </c>
      <c r="G77" cm="1">
        <f t="array" ref="G77">_xll.BDH(G$2 &amp; " US Equity","PX_LAST",$B77,$B77)</f>
        <v>25.01</v>
      </c>
      <c r="H77" cm="1">
        <f t="array" ref="H77">_xll.BDH(H$2 &amp; " PE Equity","PX_LAST",$B77,$B77)</f>
        <v>3.3</v>
      </c>
      <c r="I77" cm="1">
        <f t="array" ref="I77">_xll.BDH(I$2 &amp; " US Equity","PX_LAST",$B77,$B77)</f>
        <v>49.51</v>
      </c>
      <c r="J77" cm="1">
        <f t="array" ref="J77">_xll.BDH(J$2 &amp; " US Equity","PX_LAST",$B77,$B77)</f>
        <v>7.4175000000000004</v>
      </c>
      <c r="K77" cm="1">
        <f t="array" ref="K77">_xll.BDH(K$2 &amp; " US Equity","PX_LAST",$B77,$B77)</f>
        <v>51.65</v>
      </c>
      <c r="L77" cm="1">
        <f t="array" ref="L77">_xll.BDH(L$2 &amp; " US Equity","PX_LAST",$B77,$B77)</f>
        <v>54.96</v>
      </c>
      <c r="M77" cm="1">
        <f t="array" ref="M77">_xll.BDH(M$2 &amp; " US Equity","PX_LAST",$B77,$B77)</f>
        <v>253.8</v>
      </c>
      <c r="N77" cm="1">
        <f t="array" ref="N77">_xll.BDH(N$2 &amp; " US Equity","PX_LAST",$B77,$B77)</f>
        <v>34.65</v>
      </c>
      <c r="O77" cm="1">
        <f t="array" ref="O77">_xll.BDH(O$2 &amp; " US Equity","PX_LAST",$B77,$B77)</f>
        <v>33.18</v>
      </c>
      <c r="P77" cm="1">
        <f t="array" ref="P77">_xll.BDH(P$2 &amp; " US Equity","PX_LAST",$B77,$B77)</f>
        <v>17.02</v>
      </c>
      <c r="Q77" cm="1">
        <f t="array" ref="Q77">_xll.BDH(Q$2 &amp; " US Equity","PX_LAST",$B77,$B77)</f>
        <v>25.06</v>
      </c>
      <c r="R77" cm="1">
        <f t="array" ref="R77">_xll.BDH(R$2 &amp; " US Equity","PX_LAST",$B77,$B77)</f>
        <v>23.56</v>
      </c>
      <c r="S77" cm="1">
        <f t="array" ref="S77">_xll.BDH(S$2 &amp; " US Equity","PX_LAST",$B77,$B77)</f>
        <v>152.01</v>
      </c>
      <c r="T77" cm="1">
        <f t="array" ref="T77">_xll.BDH(T$2 &amp; " US Equity","PX_LAST",$B77,$B77)</f>
        <v>62.79</v>
      </c>
      <c r="U77" cm="1">
        <f t="array" ref="U77">_xll.BDH(U$2 &amp; " US Equity","PX_LAST",$B77,$B77)</f>
        <v>116</v>
      </c>
      <c r="V77" cm="1">
        <f t="array" ref="V77">_xll.BDH(V$2 &amp; " US Equity","PX_LAST",$B77,$B77)</f>
        <v>44.38</v>
      </c>
      <c r="W77" cm="1">
        <f t="array" ref="W77">_xll.BDH(W$2 &amp; " US Equity","PX_LAST",$B77,$B77)</f>
        <v>174.01</v>
      </c>
      <c r="X77" cm="1">
        <f t="array" ref="X77">_xll.BDH(X$2 &amp; " US Equity","PX_LAST",$B77,$B77)</f>
        <v>57.55</v>
      </c>
      <c r="Y77" cm="1">
        <f t="array" ref="Y77">_xll.BDH(Y$2 &amp; " US Equity","PX_LAST",$B77,$B77)</f>
        <v>44.84</v>
      </c>
      <c r="Z77" cm="1">
        <f t="array" ref="Z77">_xll.BDH(Z$2 &amp; " US Equity","PX_LAST",$B77,$B77)</f>
        <v>344.98</v>
      </c>
      <c r="AA77" cm="1">
        <f t="array" ref="AA77">_xll.BDH(AA$2 &amp; " PE Equity","PX_LAST",$B77,$B77)</f>
        <v>0.48</v>
      </c>
      <c r="AB77" cm="1">
        <f t="array" ref="AB77">_xll.BDH(AB$2 &amp; " PE Equity","PX_LAST",$B77,$B77)</f>
        <v>25.5</v>
      </c>
      <c r="AC77" cm="1">
        <f t="array" ref="AC77">_xll.BDH(AC$2 &amp; " US Equity","PX_LAST",$B77,$B77)</f>
        <v>69.59</v>
      </c>
      <c r="AD77" cm="1">
        <f t="array" ref="AD77">_xll.BDH(AD$2 &amp; " US Equity","PX_LAST",$B77,$B77)</f>
        <v>671.93</v>
      </c>
      <c r="AE77" t="str" cm="1">
        <f t="array" ref="AE77">_xll.BDH(AE$2 &amp; " PE Equity","PX_LAST",$B77,$B77)</f>
        <v>#N/A Connection</v>
      </c>
      <c r="AF77" cm="1">
        <f t="array" ref="AF77">_xll.BDH(AF$2 &amp; " US Equity","PX_LAST",$B77,$B77)</f>
        <v>57.1479</v>
      </c>
      <c r="AG77" cm="1">
        <f t="array" ref="AG77">_xll.BDH(AG$2 &amp; " US Equity","PX_LAST",$B77,$B77)</f>
        <v>13.965</v>
      </c>
      <c r="AH77" cm="1">
        <f t="array" ref="AH77">_xll.BDH(AH$2 &amp; " US Equity","PX_LAST",$B77,$B77)</f>
        <v>608.86</v>
      </c>
      <c r="AI77" cm="1">
        <f t="array" ref="AI77">_xll.BDH(AI$2 &amp; " US Equity","PX_LAST",$B77,$B77)</f>
        <v>107.16</v>
      </c>
      <c r="AJ77" cm="1">
        <f t="array" ref="AJ77">_xll.BDH(AJ$2 &amp; " US Equity","PX_LAST",$B77,$B77)</f>
        <v>105.8</v>
      </c>
      <c r="AK77" cm="1">
        <f t="array" ref="AK77">_xll.BDH(AK$2 &amp; " US Equity","PX_LAST",$B77,$B77)</f>
        <v>115.44499999999999</v>
      </c>
      <c r="AL77" cm="1">
        <f t="array" ref="AL77">_xll.BDH(AL$2 &amp; " US Equity","PX_LAST",$B77,$B77)</f>
        <v>234.69</v>
      </c>
      <c r="AM77" cm="1">
        <f t="array" ref="AM77">_xll.BDH(AM$2 &amp; " US Equity","PX_LAST",$B77,$B77)</f>
        <v>52.37</v>
      </c>
      <c r="AN77" cm="1">
        <f t="array" ref="AN77">_xll.BDH(AN$2 &amp; " US Equity","PX_LAST",$B77,$B77)</f>
        <v>24.12</v>
      </c>
      <c r="AO77" cm="1">
        <f t="array" ref="AO77">_xll.BDH(AO$2 &amp; " US Equity","PX_LAST",$B77,$B77)</f>
        <v>53.2</v>
      </c>
      <c r="AP77" cm="1">
        <f t="array" ref="AP77">_xll.BDH(AP$2 &amp; " US Equity","PX_LAST",$B77,$B77)</f>
        <v>5.18</v>
      </c>
      <c r="AQ77" cm="1">
        <f t="array" ref="AQ77">_xll.BDH(AQ$2 &amp; " US Equity","PX_LAST",$B77,$B77)</f>
        <v>104.015</v>
      </c>
      <c r="AR77" cm="1">
        <f t="array" ref="AR77">_xll.BDH(AR$2 &amp; " US Equity","PX_LAST",$B77,$B77)</f>
        <v>62.94</v>
      </c>
      <c r="AS77" cm="1">
        <f t="array" ref="AS77">_xll.BDH(AS$2 &amp; " US Equity","PX_LAST",$B77,$B77)</f>
        <v>111.217</v>
      </c>
      <c r="AT77" cm="1">
        <f t="array" ref="AT77">_xll.BDH(AT$2 &amp; " US Equity","PX_LAST",$B77,$B77)</f>
        <v>6.16</v>
      </c>
      <c r="AU77" cm="1">
        <f t="array" ref="AU77">_xll.BDH(AU$2 &amp; " US Equity","PX_LAST",$B77,$B77)</f>
        <v>321.86</v>
      </c>
      <c r="AV77" cm="1">
        <f t="array" ref="AV77">_xll.BDH(AV$2 &amp; " US Equity","PX_LAST",$B77,$B77)</f>
        <v>235.03</v>
      </c>
      <c r="AW77" cm="1">
        <f t="array" ref="AW77">_xll.BDH(AW$2 &amp; " US Equity","PX_LAST",$B77,$B77)</f>
        <v>119.92</v>
      </c>
    </row>
    <row r="78" spans="2:49">
      <c r="B78" s="13">
        <v>45976</v>
      </c>
      <c r="C78" t="str" cm="1">
        <f t="array" ref="C78">_xll.BDH(C$2 &amp; " US Equity","PX_LAST",$B78,$B78)</f>
        <v>#N/A N/A</v>
      </c>
      <c r="D78" t="str" cm="1">
        <f t="array" ref="D78">_xll.BDH(D$2 &amp; " PE Equity","PX_LAST",$B78,$B78)</f>
        <v>#N/A N/A</v>
      </c>
      <c r="E78" t="str" cm="1">
        <f t="array" ref="E78">_xll.BDH(E$2 &amp; " PE Equity","PX_LAST",$B78,$B78)</f>
        <v>#N/A N/A</v>
      </c>
      <c r="F78" t="str" cm="1">
        <f t="array" ref="F78">_xll.BDH(F$2 &amp; " PE Equity","PX_LAST",$B78,$B78)</f>
        <v>#N/A N/A</v>
      </c>
      <c r="G78" t="str" cm="1">
        <f t="array" ref="G78">_xll.BDH(G$2 &amp; " US Equity","PX_LAST",$B78,$B78)</f>
        <v>#N/A N/A</v>
      </c>
      <c r="H78" t="str" cm="1">
        <f t="array" ref="H78">_xll.BDH(H$2 &amp; " PE Equity","PX_LAST",$B78,$B78)</f>
        <v>#N/A N/A</v>
      </c>
      <c r="I78" t="str" cm="1">
        <f t="array" ref="I78">_xll.BDH(I$2 &amp; " US Equity","PX_LAST",$B78,$B78)</f>
        <v>#N/A N/A</v>
      </c>
      <c r="J78" t="str" cm="1">
        <f t="array" ref="J78">_xll.BDH(J$2 &amp; " US Equity","PX_LAST",$B78,$B78)</f>
        <v>#N/A N/A</v>
      </c>
      <c r="K78" t="str" cm="1">
        <f t="array" ref="K78">_xll.BDH(K$2 &amp; " US Equity","PX_LAST",$B78,$B78)</f>
        <v>#N/A N/A</v>
      </c>
      <c r="L78" t="str" cm="1">
        <f t="array" ref="L78">_xll.BDH(L$2 &amp; " US Equity","PX_LAST",$B78,$B78)</f>
        <v>#N/A N/A</v>
      </c>
      <c r="M78" t="str" cm="1">
        <f t="array" ref="M78">_xll.BDH(M$2 &amp; " US Equity","PX_LAST",$B78,$B78)</f>
        <v>#N/A N/A</v>
      </c>
      <c r="N78" t="str" cm="1">
        <f t="array" ref="N78">_xll.BDH(N$2 &amp; " US Equity","PX_LAST",$B78,$B78)</f>
        <v>#N/A N/A</v>
      </c>
      <c r="O78" t="str" cm="1">
        <f t="array" ref="O78">_xll.BDH(O$2 &amp; " US Equity","PX_LAST",$B78,$B78)</f>
        <v>#N/A N/A</v>
      </c>
      <c r="P78" t="str" cm="1">
        <f t="array" ref="P78">_xll.BDH(P$2 &amp; " US Equity","PX_LAST",$B78,$B78)</f>
        <v>#N/A N/A</v>
      </c>
      <c r="Q78" t="str" cm="1">
        <f t="array" ref="Q78">_xll.BDH(Q$2 &amp; " US Equity","PX_LAST",$B78,$B78)</f>
        <v>#N/A N/A</v>
      </c>
      <c r="R78" t="str" cm="1">
        <f t="array" ref="R78">_xll.BDH(R$2 &amp; " US Equity","PX_LAST",$B78,$B78)</f>
        <v>#N/A N/A</v>
      </c>
      <c r="S78" t="str" cm="1">
        <f t="array" ref="S78">_xll.BDH(S$2 &amp; " US Equity","PX_LAST",$B78,$B78)</f>
        <v>#N/A N/A</v>
      </c>
      <c r="T78" t="str" cm="1">
        <f t="array" ref="T78">_xll.BDH(T$2 &amp; " US Equity","PX_LAST",$B78,$B78)</f>
        <v>#N/A N/A</v>
      </c>
      <c r="U78" t="str" cm="1">
        <f t="array" ref="U78">_xll.BDH(U$2 &amp; " US Equity","PX_LAST",$B78,$B78)</f>
        <v>#N/A N/A</v>
      </c>
      <c r="V78" t="str" cm="1">
        <f t="array" ref="V78">_xll.BDH(V$2 &amp; " US Equity","PX_LAST",$B78,$B78)</f>
        <v>#N/A N/A</v>
      </c>
      <c r="W78" t="str" cm="1">
        <f t="array" ref="W78">_xll.BDH(W$2 &amp; " US Equity","PX_LAST",$B78,$B78)</f>
        <v>#N/A N/A</v>
      </c>
      <c r="X78" t="str" cm="1">
        <f t="array" ref="X78">_xll.BDH(X$2 &amp; " US Equity","PX_LAST",$B78,$B78)</f>
        <v>#N/A N/A</v>
      </c>
      <c r="Y78" t="str" cm="1">
        <f t="array" ref="Y78">_xll.BDH(Y$2 &amp; " US Equity","PX_LAST",$B78,$B78)</f>
        <v>#N/A N/A</v>
      </c>
      <c r="Z78" t="str" cm="1">
        <f t="array" ref="Z78">_xll.BDH(Z$2 &amp; " US Equity","PX_LAST",$B78,$B78)</f>
        <v>#N/A N/A</v>
      </c>
      <c r="AA78" t="str" cm="1">
        <f t="array" ref="AA78">_xll.BDH(AA$2 &amp; " PE Equity","PX_LAST",$B78,$B78)</f>
        <v>#N/A N/A</v>
      </c>
      <c r="AB78" t="str" cm="1">
        <f t="array" ref="AB78">_xll.BDH(AB$2 &amp; " PE Equity","PX_LAST",$B78,$B78)</f>
        <v>#N/A N/A</v>
      </c>
      <c r="AC78" t="str" cm="1">
        <f t="array" ref="AC78">_xll.BDH(AC$2 &amp; " US Equity","PX_LAST",$B78,$B78)</f>
        <v>#N/A N/A</v>
      </c>
      <c r="AD78" t="str" cm="1">
        <f t="array" ref="AD78">_xll.BDH(AD$2 &amp; " US Equity","PX_LAST",$B78,$B78)</f>
        <v>#N/A N/A</v>
      </c>
      <c r="AE78" t="str" cm="1">
        <f t="array" ref="AE78">_xll.BDH(AE$2 &amp; " PE Equity","PX_LAST",$B78,$B78)</f>
        <v>#N/A Connection</v>
      </c>
      <c r="AF78" t="str" cm="1">
        <f t="array" ref="AF78">_xll.BDH(AF$2 &amp; " US Equity","PX_LAST",$B78,$B78)</f>
        <v>#N/A N/A</v>
      </c>
      <c r="AG78" t="str" cm="1">
        <f t="array" ref="AG78">_xll.BDH(AG$2 &amp; " US Equity","PX_LAST",$B78,$B78)</f>
        <v>#N/A N/A</v>
      </c>
      <c r="AH78" t="str" cm="1">
        <f t="array" ref="AH78">_xll.BDH(AH$2 &amp; " US Equity","PX_LAST",$B78,$B78)</f>
        <v>#N/A N/A</v>
      </c>
      <c r="AI78" t="str" cm="1">
        <f t="array" ref="AI78">_xll.BDH(AI$2 &amp; " US Equity","PX_LAST",$B78,$B78)</f>
        <v>#N/A N/A</v>
      </c>
      <c r="AJ78" t="str" cm="1">
        <f t="array" ref="AJ78">_xll.BDH(AJ$2 &amp; " US Equity","PX_LAST",$B78,$B78)</f>
        <v>#N/A N/A</v>
      </c>
      <c r="AK78" t="str" cm="1">
        <f t="array" ref="AK78">_xll.BDH(AK$2 &amp; " US Equity","PX_LAST",$B78,$B78)</f>
        <v>#N/A N/A</v>
      </c>
      <c r="AL78" t="str" cm="1">
        <f t="array" ref="AL78">_xll.BDH(AL$2 &amp; " US Equity","PX_LAST",$B78,$B78)</f>
        <v>#N/A N/A</v>
      </c>
      <c r="AM78" t="str" cm="1">
        <f t="array" ref="AM78">_xll.BDH(AM$2 &amp; " US Equity","PX_LAST",$B78,$B78)</f>
        <v>#N/A N/A</v>
      </c>
      <c r="AN78" t="str" cm="1">
        <f t="array" ref="AN78">_xll.BDH(AN$2 &amp; " US Equity","PX_LAST",$B78,$B78)</f>
        <v>#N/A N/A</v>
      </c>
      <c r="AO78" t="str" cm="1">
        <f t="array" ref="AO78">_xll.BDH(AO$2 &amp; " US Equity","PX_LAST",$B78,$B78)</f>
        <v>#N/A N/A</v>
      </c>
      <c r="AP78" t="str" cm="1">
        <f t="array" ref="AP78">_xll.BDH(AP$2 &amp; " US Equity","PX_LAST",$B78,$B78)</f>
        <v>#N/A N/A</v>
      </c>
      <c r="AQ78" t="str" cm="1">
        <f t="array" ref="AQ78">_xll.BDH(AQ$2 &amp; " US Equity","PX_LAST",$B78,$B78)</f>
        <v>#N/A N/A</v>
      </c>
      <c r="AR78" t="str" cm="1">
        <f t="array" ref="AR78">_xll.BDH(AR$2 &amp; " US Equity","PX_LAST",$B78,$B78)</f>
        <v>#N/A N/A</v>
      </c>
      <c r="AS78" t="str" cm="1">
        <f t="array" ref="AS78">_xll.BDH(AS$2 &amp; " US Equity","PX_LAST",$B78,$B78)</f>
        <v>#N/A N/A</v>
      </c>
      <c r="AT78" t="str" cm="1">
        <f t="array" ref="AT78">_xll.BDH(AT$2 &amp; " US Equity","PX_LAST",$B78,$B78)</f>
        <v>#N/A N/A</v>
      </c>
      <c r="AU78" t="str" cm="1">
        <f t="array" ref="AU78">_xll.BDH(AU$2 &amp; " US Equity","PX_LAST",$B78,$B78)</f>
        <v>#N/A N/A</v>
      </c>
      <c r="AV78" t="str" cm="1">
        <f t="array" ref="AV78">_xll.BDH(AV$2 &amp; " US Equity","PX_LAST",$B78,$B78)</f>
        <v>#N/A N/A</v>
      </c>
      <c r="AW78" t="str" cm="1">
        <f t="array" ref="AW78">_xll.BDH(AW$2 &amp; " US Equity","PX_LAST",$B78,$B78)</f>
        <v>#N/A N/A</v>
      </c>
    </row>
    <row r="79" spans="2:49">
      <c r="B79" s="13">
        <v>45977</v>
      </c>
      <c r="C79" t="str" cm="1">
        <f t="array" ref="C79">_xll.BDH(C$2 &amp; " US Equity","PX_LAST",$B79,$B79)</f>
        <v>#N/A N/A</v>
      </c>
      <c r="D79" t="str" cm="1">
        <f t="array" ref="D79">_xll.BDH(D$2 &amp; " PE Equity","PX_LAST",$B79,$B79)</f>
        <v>#N/A N/A</v>
      </c>
      <c r="E79" t="str" cm="1">
        <f t="array" ref="E79">_xll.BDH(E$2 &amp; " PE Equity","PX_LAST",$B79,$B79)</f>
        <v>#N/A N/A</v>
      </c>
      <c r="F79" t="str" cm="1">
        <f t="array" ref="F79">_xll.BDH(F$2 &amp; " PE Equity","PX_LAST",$B79,$B79)</f>
        <v>#N/A N/A</v>
      </c>
      <c r="G79" t="str" cm="1">
        <f t="array" ref="G79">_xll.BDH(G$2 &amp; " US Equity","PX_LAST",$B79,$B79)</f>
        <v>#N/A N/A</v>
      </c>
      <c r="H79" t="str" cm="1">
        <f t="array" ref="H79">_xll.BDH(H$2 &amp; " PE Equity","PX_LAST",$B79,$B79)</f>
        <v>#N/A N/A</v>
      </c>
      <c r="I79" t="str" cm="1">
        <f t="array" ref="I79">_xll.BDH(I$2 &amp; " US Equity","PX_LAST",$B79,$B79)</f>
        <v>#N/A N/A</v>
      </c>
      <c r="J79" t="str" cm="1">
        <f t="array" ref="J79">_xll.BDH(J$2 &amp; " US Equity","PX_LAST",$B79,$B79)</f>
        <v>#N/A N/A</v>
      </c>
      <c r="K79" t="str" cm="1">
        <f t="array" ref="K79">_xll.BDH(K$2 &amp; " US Equity","PX_LAST",$B79,$B79)</f>
        <v>#N/A N/A</v>
      </c>
      <c r="L79" t="str" cm="1">
        <f t="array" ref="L79">_xll.BDH(L$2 &amp; " US Equity","PX_LAST",$B79,$B79)</f>
        <v>#N/A N/A</v>
      </c>
      <c r="M79" t="str" cm="1">
        <f t="array" ref="M79">_xll.BDH(M$2 &amp; " US Equity","PX_LAST",$B79,$B79)</f>
        <v>#N/A N/A</v>
      </c>
      <c r="N79" t="str" cm="1">
        <f t="array" ref="N79">_xll.BDH(N$2 &amp; " US Equity","PX_LAST",$B79,$B79)</f>
        <v>#N/A N/A</v>
      </c>
      <c r="O79" t="str" cm="1">
        <f t="array" ref="O79">_xll.BDH(O$2 &amp; " US Equity","PX_LAST",$B79,$B79)</f>
        <v>#N/A N/A</v>
      </c>
      <c r="P79" t="str" cm="1">
        <f t="array" ref="P79">_xll.BDH(P$2 &amp; " US Equity","PX_LAST",$B79,$B79)</f>
        <v>#N/A N/A</v>
      </c>
      <c r="Q79" t="str" cm="1">
        <f t="array" ref="Q79">_xll.BDH(Q$2 &amp; " US Equity","PX_LAST",$B79,$B79)</f>
        <v>#N/A N/A</v>
      </c>
      <c r="R79" t="str" cm="1">
        <f t="array" ref="R79">_xll.BDH(R$2 &amp; " US Equity","PX_LAST",$B79,$B79)</f>
        <v>#N/A N/A</v>
      </c>
      <c r="S79" t="str" cm="1">
        <f t="array" ref="S79">_xll.BDH(S$2 &amp; " US Equity","PX_LAST",$B79,$B79)</f>
        <v>#N/A N/A</v>
      </c>
      <c r="T79" t="str" cm="1">
        <f t="array" ref="T79">_xll.BDH(T$2 &amp; " US Equity","PX_LAST",$B79,$B79)</f>
        <v>#N/A N/A</v>
      </c>
      <c r="U79" t="str" cm="1">
        <f t="array" ref="U79">_xll.BDH(U$2 &amp; " US Equity","PX_LAST",$B79,$B79)</f>
        <v>#N/A N/A</v>
      </c>
      <c r="V79" t="str" cm="1">
        <f t="array" ref="V79">_xll.BDH(V$2 &amp; " US Equity","PX_LAST",$B79,$B79)</f>
        <v>#N/A N/A</v>
      </c>
      <c r="W79" t="str" cm="1">
        <f t="array" ref="W79">_xll.BDH(W$2 &amp; " US Equity","PX_LAST",$B79,$B79)</f>
        <v>#N/A N/A</v>
      </c>
      <c r="X79" t="str" cm="1">
        <f t="array" ref="X79">_xll.BDH(X$2 &amp; " US Equity","PX_LAST",$B79,$B79)</f>
        <v>#N/A N/A</v>
      </c>
      <c r="Y79" t="str" cm="1">
        <f t="array" ref="Y79">_xll.BDH(Y$2 &amp; " US Equity","PX_LAST",$B79,$B79)</f>
        <v>#N/A N/A</v>
      </c>
      <c r="Z79" t="str" cm="1">
        <f t="array" ref="Z79">_xll.BDH(Z$2 &amp; " US Equity","PX_LAST",$B79,$B79)</f>
        <v>#N/A N/A</v>
      </c>
      <c r="AA79" t="str" cm="1">
        <f t="array" ref="AA79">_xll.BDH(AA$2 &amp; " PE Equity","PX_LAST",$B79,$B79)</f>
        <v>#N/A N/A</v>
      </c>
      <c r="AB79" t="str" cm="1">
        <f t="array" ref="AB79">_xll.BDH(AB$2 &amp; " PE Equity","PX_LAST",$B79,$B79)</f>
        <v>#N/A N/A</v>
      </c>
      <c r="AC79" t="str" cm="1">
        <f t="array" ref="AC79">_xll.BDH(AC$2 &amp; " US Equity","PX_LAST",$B79,$B79)</f>
        <v>#N/A N/A</v>
      </c>
      <c r="AD79" t="str" cm="1">
        <f t="array" ref="AD79">_xll.BDH(AD$2 &amp; " US Equity","PX_LAST",$B79,$B79)</f>
        <v>#N/A N/A</v>
      </c>
      <c r="AE79" t="str" cm="1">
        <f t="array" ref="AE79">_xll.BDH(AE$2 &amp; " PE Equity","PX_LAST",$B79,$B79)</f>
        <v>#N/A Connection</v>
      </c>
      <c r="AF79" t="str" cm="1">
        <f t="array" ref="AF79">_xll.BDH(AF$2 &amp; " US Equity","PX_LAST",$B79,$B79)</f>
        <v>#N/A N/A</v>
      </c>
      <c r="AG79" t="str" cm="1">
        <f t="array" ref="AG79">_xll.BDH(AG$2 &amp; " US Equity","PX_LAST",$B79,$B79)</f>
        <v>#N/A N/A</v>
      </c>
      <c r="AH79" t="str" cm="1">
        <f t="array" ref="AH79">_xll.BDH(AH$2 &amp; " US Equity","PX_LAST",$B79,$B79)</f>
        <v>#N/A N/A</v>
      </c>
      <c r="AI79" t="str" cm="1">
        <f t="array" ref="AI79">_xll.BDH(AI$2 &amp; " US Equity","PX_LAST",$B79,$B79)</f>
        <v>#N/A N/A</v>
      </c>
      <c r="AJ79" t="str" cm="1">
        <f t="array" ref="AJ79">_xll.BDH(AJ$2 &amp; " US Equity","PX_LAST",$B79,$B79)</f>
        <v>#N/A N/A</v>
      </c>
      <c r="AK79" t="str" cm="1">
        <f t="array" ref="AK79">_xll.BDH(AK$2 &amp; " US Equity","PX_LAST",$B79,$B79)</f>
        <v>#N/A N/A</v>
      </c>
      <c r="AL79" t="str" cm="1">
        <f t="array" ref="AL79">_xll.BDH(AL$2 &amp; " US Equity","PX_LAST",$B79,$B79)</f>
        <v>#N/A N/A</v>
      </c>
      <c r="AM79" t="str" cm="1">
        <f t="array" ref="AM79">_xll.BDH(AM$2 &amp; " US Equity","PX_LAST",$B79,$B79)</f>
        <v>#N/A N/A</v>
      </c>
      <c r="AN79" t="str" cm="1">
        <f t="array" ref="AN79">_xll.BDH(AN$2 &amp; " US Equity","PX_LAST",$B79,$B79)</f>
        <v>#N/A N/A</v>
      </c>
      <c r="AO79" t="str" cm="1">
        <f t="array" ref="AO79">_xll.BDH(AO$2 &amp; " US Equity","PX_LAST",$B79,$B79)</f>
        <v>#N/A N/A</v>
      </c>
      <c r="AP79" t="str" cm="1">
        <f t="array" ref="AP79">_xll.BDH(AP$2 &amp; " US Equity","PX_LAST",$B79,$B79)</f>
        <v>#N/A N/A</v>
      </c>
      <c r="AQ79" t="str" cm="1">
        <f t="array" ref="AQ79">_xll.BDH(AQ$2 &amp; " US Equity","PX_LAST",$B79,$B79)</f>
        <v>#N/A N/A</v>
      </c>
      <c r="AR79" t="str" cm="1">
        <f t="array" ref="AR79">_xll.BDH(AR$2 &amp; " US Equity","PX_LAST",$B79,$B79)</f>
        <v>#N/A N/A</v>
      </c>
      <c r="AS79" t="str" cm="1">
        <f t="array" ref="AS79">_xll.BDH(AS$2 &amp; " US Equity","PX_LAST",$B79,$B79)</f>
        <v>#N/A N/A</v>
      </c>
      <c r="AT79" t="str" cm="1">
        <f t="array" ref="AT79">_xll.BDH(AT$2 &amp; " US Equity","PX_LAST",$B79,$B79)</f>
        <v>#N/A N/A</v>
      </c>
      <c r="AU79" t="str" cm="1">
        <f t="array" ref="AU79">_xll.BDH(AU$2 &amp; " US Equity","PX_LAST",$B79,$B79)</f>
        <v>#N/A N/A</v>
      </c>
      <c r="AV79" t="str" cm="1">
        <f t="array" ref="AV79">_xll.BDH(AV$2 &amp; " US Equity","PX_LAST",$B79,$B79)</f>
        <v>#N/A N/A</v>
      </c>
      <c r="AW79" t="str" cm="1">
        <f t="array" ref="AW79">_xll.BDH(AW$2 &amp; " US Equity","PX_LAST",$B79,$B79)</f>
        <v>#N/A N/A</v>
      </c>
    </row>
    <row r="80" spans="2:49">
      <c r="B80" s="13">
        <v>45978</v>
      </c>
      <c r="C80" cm="1">
        <f t="array" ref="C80">_xll.BDH(C$2 &amp; " US Equity","PX_LAST",$B80,$B80)</f>
        <v>264.73</v>
      </c>
      <c r="D80" cm="1">
        <f t="array" ref="D80">_xll.BDH(D$2 &amp; " PE Equity","PX_LAST",$B80,$B80)</f>
        <v>4.5199999999999996</v>
      </c>
      <c r="E80" t="str" cm="1">
        <f t="array" ref="E80">_xll.BDH(E$2 &amp; " PE Equity","PX_LAST",$B80,$B80)</f>
        <v>#N/A N/A</v>
      </c>
      <c r="F80" cm="1">
        <f t="array" ref="F80">_xll.BDH(F$2 &amp; " PE Equity","PX_LAST",$B80,$B80)</f>
        <v>2.2999999999999998</v>
      </c>
      <c r="G80" cm="1">
        <f t="array" ref="G80">_xll.BDH(G$2 &amp; " US Equity","PX_LAST",$B80,$B80)</f>
        <v>22.43</v>
      </c>
      <c r="H80" cm="1">
        <f t="array" ref="H80">_xll.BDH(H$2 &amp; " PE Equity","PX_LAST",$B80,$B80)</f>
        <v>3.27</v>
      </c>
      <c r="I80" cm="1">
        <f t="array" ref="I80">_xll.BDH(I$2 &amp; " US Equity","PX_LAST",$B80,$B80)</f>
        <v>48.76</v>
      </c>
      <c r="J80" cm="1">
        <f t="array" ref="J80">_xll.BDH(J$2 &amp; " US Equity","PX_LAST",$B80,$B80)</f>
        <v>7.3398000000000003</v>
      </c>
      <c r="K80" cm="1">
        <f t="array" ref="K80">_xll.BDH(K$2 &amp; " US Equity","PX_LAST",$B80,$B80)</f>
        <v>50.78</v>
      </c>
      <c r="L80" cm="1">
        <f t="array" ref="L80">_xll.BDH(L$2 &amp; " US Equity","PX_LAST",$B80,$B80)</f>
        <v>54.31</v>
      </c>
      <c r="M80" cm="1">
        <f t="array" ref="M80">_xll.BDH(M$2 &amp; " US Equity","PX_LAST",$B80,$B80)</f>
        <v>250.47</v>
      </c>
      <c r="N80" cm="1">
        <f t="array" ref="N80">_xll.BDH(N$2 &amp; " US Equity","PX_LAST",$B80,$B80)</f>
        <v>33.99</v>
      </c>
      <c r="O80" cm="1">
        <f t="array" ref="O80">_xll.BDH(O$2 &amp; " US Equity","PX_LAST",$B80,$B80)</f>
        <v>32.78</v>
      </c>
      <c r="P80" cm="1">
        <f t="array" ref="P80">_xll.BDH(P$2 &amp; " US Equity","PX_LAST",$B80,$B80)</f>
        <v>16.8</v>
      </c>
      <c r="Q80" cm="1">
        <f t="array" ref="Q80">_xll.BDH(Q$2 &amp; " US Equity","PX_LAST",$B80,$B80)</f>
        <v>25.08</v>
      </c>
      <c r="R80" cm="1">
        <f t="array" ref="R80">_xll.BDH(R$2 &amp; " US Equity","PX_LAST",$B80,$B80)</f>
        <v>23.04</v>
      </c>
      <c r="S80" cm="1">
        <f t="array" ref="S80">_xll.BDH(S$2 &amp; " US Equity","PX_LAST",$B80,$B80)</f>
        <v>150.52000000000001</v>
      </c>
      <c r="T80" cm="1">
        <f t="array" ref="T80">_xll.BDH(T$2 &amp; " US Equity","PX_LAST",$B80,$B80)</f>
        <v>61.84</v>
      </c>
      <c r="U80" cm="1">
        <f t="array" ref="U80">_xll.BDH(U$2 &amp; " US Equity","PX_LAST",$B80,$B80)</f>
        <v>114.11</v>
      </c>
      <c r="V80" cm="1">
        <f t="array" ref="V80">_xll.BDH(V$2 &amp; " US Equity","PX_LAST",$B80,$B80)</f>
        <v>44.78</v>
      </c>
      <c r="W80" cm="1">
        <f t="array" ref="W80">_xll.BDH(W$2 &amp; " US Equity","PX_LAST",$B80,$B80)</f>
        <v>171.25</v>
      </c>
      <c r="X80" cm="1">
        <f t="array" ref="X80">_xll.BDH(X$2 &amp; " US Equity","PX_LAST",$B80,$B80)</f>
        <v>56.81</v>
      </c>
      <c r="Y80" cm="1">
        <f t="array" ref="Y80">_xll.BDH(Y$2 &amp; " US Equity","PX_LAST",$B80,$B80)</f>
        <v>44.2</v>
      </c>
      <c r="Z80" cm="1">
        <f t="array" ref="Z80">_xll.BDH(Z$2 &amp; " US Equity","PX_LAST",$B80,$B80)</f>
        <v>340.3</v>
      </c>
      <c r="AA80" cm="1">
        <f t="array" ref="AA80">_xll.BDH(AA$2 &amp; " PE Equity","PX_LAST",$B80,$B80)</f>
        <v>0.46100000000000002</v>
      </c>
      <c r="AB80" cm="1">
        <f t="array" ref="AB80">_xll.BDH(AB$2 &amp; " PE Equity","PX_LAST",$B80,$B80)</f>
        <v>25.4</v>
      </c>
      <c r="AC80" cm="1">
        <f t="array" ref="AC80">_xll.BDH(AC$2 &amp; " US Equity","PX_LAST",$B80,$B80)</f>
        <v>68.849999999999994</v>
      </c>
      <c r="AD80" cm="1">
        <f t="array" ref="AD80">_xll.BDH(AD$2 &amp; " US Equity","PX_LAST",$B80,$B80)</f>
        <v>665.67</v>
      </c>
      <c r="AE80" t="str" cm="1">
        <f t="array" ref="AE80">_xll.BDH(AE$2 &amp; " PE Equity","PX_LAST",$B80,$B80)</f>
        <v>#N/A Connection</v>
      </c>
      <c r="AF80" cm="1">
        <f t="array" ref="AF80">_xll.BDH(AF$2 &amp; " US Equity","PX_LAST",$B80,$B80)</f>
        <v>57.089399999999998</v>
      </c>
      <c r="AG80" cm="1">
        <f t="array" ref="AG80">_xll.BDH(AG$2 &amp; " US Equity","PX_LAST",$B80,$B80)</f>
        <v>13.712899999999999</v>
      </c>
      <c r="AH80" cm="1">
        <f t="array" ref="AH80">_xll.BDH(AH$2 &amp; " US Equity","PX_LAST",$B80,$B80)</f>
        <v>603.66</v>
      </c>
      <c r="AI80" cm="1">
        <f t="array" ref="AI80">_xll.BDH(AI$2 &amp; " US Equity","PX_LAST",$B80,$B80)</f>
        <v>103.51</v>
      </c>
      <c r="AJ80" cm="1">
        <f t="array" ref="AJ80">_xll.BDH(AJ$2 &amp; " US Equity","PX_LAST",$B80,$B80)</f>
        <v>105.69</v>
      </c>
      <c r="AK80" cm="1">
        <f t="array" ref="AK80">_xll.BDH(AK$2 &amp; " US Equity","PX_LAST",$B80,$B80)</f>
        <v>114.36</v>
      </c>
      <c r="AL80" cm="1">
        <f t="array" ref="AL80">_xll.BDH(AL$2 &amp; " US Equity","PX_LAST",$B80,$B80)</f>
        <v>232.87</v>
      </c>
      <c r="AM80" cm="1">
        <f t="array" ref="AM80">_xll.BDH(AM$2 &amp; " US Equity","PX_LAST",$B80,$B80)</f>
        <v>51.024999999999999</v>
      </c>
      <c r="AN80" cm="1">
        <f t="array" ref="AN80">_xll.BDH(AN$2 &amp; " US Equity","PX_LAST",$B80,$B80)</f>
        <v>23.893799999999999</v>
      </c>
      <c r="AO80" cm="1">
        <f t="array" ref="AO80">_xll.BDH(AO$2 &amp; " US Equity","PX_LAST",$B80,$B80)</f>
        <v>52.66</v>
      </c>
      <c r="AP80" cm="1">
        <f t="array" ref="AP80">_xll.BDH(AP$2 &amp; " US Equity","PX_LAST",$B80,$B80)</f>
        <v>5</v>
      </c>
      <c r="AQ80" cm="1">
        <f t="array" ref="AQ80">_xll.BDH(AQ$2 &amp; " US Equity","PX_LAST",$B80,$B80)</f>
        <v>103.66</v>
      </c>
      <c r="AR80" cm="1">
        <f t="array" ref="AR80">_xll.BDH(AR$2 &amp; " US Equity","PX_LAST",$B80,$B80)</f>
        <v>62.53</v>
      </c>
      <c r="AS80" cm="1">
        <f t="array" ref="AS80">_xll.BDH(AS$2 &amp; " US Equity","PX_LAST",$B80,$B80)</f>
        <v>110.29</v>
      </c>
      <c r="AT80" cm="1">
        <f t="array" ref="AT80">_xll.BDH(AT$2 &amp; " US Equity","PX_LAST",$B80,$B80)</f>
        <v>6.08</v>
      </c>
      <c r="AU80" cm="1">
        <f t="array" ref="AU80">_xll.BDH(AU$2 &amp; " US Equity","PX_LAST",$B80,$B80)</f>
        <v>320.52</v>
      </c>
      <c r="AV80" cm="1">
        <f t="array" ref="AV80">_xll.BDH(AV$2 &amp; " US Equity","PX_LAST",$B80,$B80)</f>
        <v>233.58</v>
      </c>
      <c r="AW80" cm="1">
        <f t="array" ref="AW80">_xll.BDH(AW$2 &amp; " US Equity","PX_LAST",$B80,$B80)</f>
        <v>114.02</v>
      </c>
    </row>
    <row r="81" spans="2:49">
      <c r="B81" s="13">
        <v>45979</v>
      </c>
      <c r="C81" cm="1">
        <f t="array" ref="C81">_xll.BDH(C$2 &amp; " US Equity","PX_LAST",$B81,$B81)</f>
        <v>263.08</v>
      </c>
      <c r="D81" cm="1">
        <f t="array" ref="D81">_xll.BDH(D$2 &amp; " PE Equity","PX_LAST",$B81,$B81)</f>
        <v>4.5</v>
      </c>
      <c r="E81" cm="1">
        <f t="array" ref="E81">_xll.BDH(E$2 &amp; " PE Equity","PX_LAST",$B81,$B81)</f>
        <v>1.77</v>
      </c>
      <c r="F81" cm="1">
        <f t="array" ref="F81">_xll.BDH(F$2 &amp; " PE Equity","PX_LAST",$B81,$B81)</f>
        <v>2.2999999999999998</v>
      </c>
      <c r="G81" cm="1">
        <f t="array" ref="G81">_xll.BDH(G$2 &amp; " US Equity","PX_LAST",$B81,$B81)</f>
        <v>22.62</v>
      </c>
      <c r="H81" cm="1">
        <f t="array" ref="H81">_xll.BDH(H$2 &amp; " PE Equity","PX_LAST",$B81,$B81)</f>
        <v>3.17</v>
      </c>
      <c r="I81" cm="1">
        <f t="array" ref="I81">_xll.BDH(I$2 &amp; " US Equity","PX_LAST",$B81,$B81)</f>
        <v>48.22</v>
      </c>
      <c r="J81" cm="1">
        <f t="array" ref="J81">_xll.BDH(J$2 &amp; " US Equity","PX_LAST",$B81,$B81)</f>
        <v>7.3010000000000002</v>
      </c>
      <c r="K81" cm="1">
        <f t="array" ref="K81">_xll.BDH(K$2 &amp; " US Equity","PX_LAST",$B81,$B81)</f>
        <v>49.99</v>
      </c>
      <c r="L81" cm="1">
        <f t="array" ref="L81">_xll.BDH(L$2 &amp; " US Equity","PX_LAST",$B81,$B81)</f>
        <v>54.04</v>
      </c>
      <c r="M81" cm="1">
        <f t="array" ref="M81">_xll.BDH(M$2 &amp; " US Equity","PX_LAST",$B81,$B81)</f>
        <v>251.66</v>
      </c>
      <c r="N81" cm="1">
        <f t="array" ref="N81">_xll.BDH(N$2 &amp; " US Equity","PX_LAST",$B81,$B81)</f>
        <v>33.5</v>
      </c>
      <c r="O81" cm="1">
        <f t="array" ref="O81">_xll.BDH(O$2 &amp; " US Equity","PX_LAST",$B81,$B81)</f>
        <v>32.71</v>
      </c>
      <c r="P81" cm="1">
        <f t="array" ref="P81">_xll.BDH(P$2 &amp; " US Equity","PX_LAST",$B81,$B81)</f>
        <v>16.600000000000001</v>
      </c>
      <c r="Q81" cm="1">
        <f t="array" ref="Q81">_xll.BDH(Q$2 &amp; " US Equity","PX_LAST",$B81,$B81)</f>
        <v>25.45</v>
      </c>
      <c r="R81" cm="1">
        <f t="array" ref="R81">_xll.BDH(R$2 &amp; " US Equity","PX_LAST",$B81,$B81)</f>
        <v>23.08</v>
      </c>
      <c r="S81" cm="1">
        <f t="array" ref="S81">_xll.BDH(S$2 &amp; " US Equity","PX_LAST",$B81,$B81)</f>
        <v>149.85</v>
      </c>
      <c r="T81" cm="1">
        <f t="array" ref="T81">_xll.BDH(T$2 &amp; " US Equity","PX_LAST",$B81,$B81)</f>
        <v>61.07</v>
      </c>
      <c r="U81" cm="1">
        <f t="array" ref="U81">_xll.BDH(U$2 &amp; " US Equity","PX_LAST",$B81,$B81)</f>
        <v>117.14</v>
      </c>
      <c r="V81" cm="1">
        <f t="array" ref="V81">_xll.BDH(V$2 &amp; " US Equity","PX_LAST",$B81,$B81)</f>
        <v>44.61</v>
      </c>
      <c r="W81" cm="1">
        <f t="array" ref="W81">_xll.BDH(W$2 &amp; " US Equity","PX_LAST",$B81,$B81)</f>
        <v>167.33</v>
      </c>
      <c r="X81" cm="1">
        <f t="array" ref="X81">_xll.BDH(X$2 &amp; " US Equity","PX_LAST",$B81,$B81)</f>
        <v>56.58</v>
      </c>
      <c r="Y81" cm="1">
        <f t="array" ref="Y81">_xll.BDH(Y$2 &amp; " US Equity","PX_LAST",$B81,$B81)</f>
        <v>43.63</v>
      </c>
      <c r="Z81" cm="1">
        <f t="array" ref="Z81">_xll.BDH(Z$2 &amp; " US Equity","PX_LAST",$B81,$B81)</f>
        <v>333.29</v>
      </c>
      <c r="AA81" cm="1">
        <f t="array" ref="AA81">_xll.BDH(AA$2 &amp; " PE Equity","PX_LAST",$B81,$B81)</f>
        <v>0.45500000000000002</v>
      </c>
      <c r="AB81" cm="1">
        <f t="array" ref="AB81">_xll.BDH(AB$2 &amp; " PE Equity","PX_LAST",$B81,$B81)</f>
        <v>25.1</v>
      </c>
      <c r="AC81" cm="1">
        <f t="array" ref="AC81">_xll.BDH(AC$2 &amp; " US Equity","PX_LAST",$B81,$B81)</f>
        <v>68.67</v>
      </c>
      <c r="AD81" cm="1">
        <f t="array" ref="AD81">_xll.BDH(AD$2 &amp; " US Equity","PX_LAST",$B81,$B81)</f>
        <v>660.08</v>
      </c>
      <c r="AE81" t="str" cm="1">
        <f t="array" ref="AE81">_xll.BDH(AE$2 &amp; " PE Equity","PX_LAST",$B81,$B81)</f>
        <v>#N/A Connection</v>
      </c>
      <c r="AF81" cm="1">
        <f t="array" ref="AF81">_xll.BDH(AF$2 &amp; " US Equity","PX_LAST",$B81,$B81)</f>
        <v>57.375599999999999</v>
      </c>
      <c r="AG81" cm="1">
        <f t="array" ref="AG81">_xll.BDH(AG$2 &amp; " US Equity","PX_LAST",$B81,$B81)</f>
        <v>13.744999999999999</v>
      </c>
      <c r="AH81" cm="1">
        <f t="array" ref="AH81">_xll.BDH(AH$2 &amp; " US Equity","PX_LAST",$B81,$B81)</f>
        <v>596.30999999999995</v>
      </c>
      <c r="AI81" cm="1">
        <f t="array" ref="AI81">_xll.BDH(AI$2 &amp; " US Equity","PX_LAST",$B81,$B81)</f>
        <v>102.64</v>
      </c>
      <c r="AJ81" cm="1">
        <f t="array" ref="AJ81">_xll.BDH(AJ$2 &amp; " US Equity","PX_LAST",$B81,$B81)</f>
        <v>106.28</v>
      </c>
      <c r="AK81" cm="1">
        <f t="array" ref="AK81">_xll.BDH(AK$2 &amp; " US Equity","PX_LAST",$B81,$B81)</f>
        <v>112.25</v>
      </c>
      <c r="AL81" cm="1">
        <f t="array" ref="AL81">_xll.BDH(AL$2 &amp; " US Equity","PX_LAST",$B81,$B81)</f>
        <v>222.55</v>
      </c>
      <c r="AM81" cm="1">
        <f t="array" ref="AM81">_xll.BDH(AM$2 &amp; " US Equity","PX_LAST",$B81,$B81)</f>
        <v>49.18</v>
      </c>
      <c r="AN81" cm="1">
        <f t="array" ref="AN81">_xll.BDH(AN$2 &amp; " US Equity","PX_LAST",$B81,$B81)</f>
        <v>23.846499999999999</v>
      </c>
      <c r="AO81" cm="1">
        <f t="array" ref="AO81">_xll.BDH(AO$2 &amp; " US Equity","PX_LAST",$B81,$B81)</f>
        <v>52.59</v>
      </c>
      <c r="AP81" cm="1">
        <f t="array" ref="AP81">_xll.BDH(AP$2 &amp; " US Equity","PX_LAST",$B81,$B81)</f>
        <v>5.13</v>
      </c>
      <c r="AQ81" cm="1">
        <f t="array" ref="AQ81">_xll.BDH(AQ$2 &amp; " US Equity","PX_LAST",$B81,$B81)</f>
        <v>103.25</v>
      </c>
      <c r="AR81" cm="1">
        <f t="array" ref="AR81">_xll.BDH(AR$2 &amp; " US Equity","PX_LAST",$B81,$B81)</f>
        <v>62.77</v>
      </c>
      <c r="AS81" cm="1">
        <f t="array" ref="AS81">_xll.BDH(AS$2 &amp; " US Equity","PX_LAST",$B81,$B81)</f>
        <v>114.09</v>
      </c>
      <c r="AT81" cm="1">
        <f t="array" ref="AT81">_xll.BDH(AT$2 &amp; " US Equity","PX_LAST",$B81,$B81)</f>
        <v>5.98</v>
      </c>
      <c r="AU81" cm="1">
        <f t="array" ref="AU81">_xll.BDH(AU$2 &amp; " US Equity","PX_LAST",$B81,$B81)</f>
        <v>313.58</v>
      </c>
      <c r="AV81" cm="1">
        <f t="array" ref="AV81">_xll.BDH(AV$2 &amp; " US Equity","PX_LAST",$B81,$B81)</f>
        <v>239.09</v>
      </c>
      <c r="AW81" cm="1">
        <f t="array" ref="AW81">_xll.BDH(AW$2 &amp; " US Equity","PX_LAST",$B81,$B81)</f>
        <v>114.18</v>
      </c>
    </row>
    <row r="82" spans="2:49">
      <c r="B82" s="13">
        <v>45980</v>
      </c>
      <c r="C82" cm="1">
        <f t="array" ref="C82">_xll.BDH(C$2 &amp; " US Equity","PX_LAST",$B82,$B82)</f>
        <v>262.57</v>
      </c>
      <c r="D82" cm="1">
        <f t="array" ref="D82">_xll.BDH(D$2 &amp; " PE Equity","PX_LAST",$B82,$B82)</f>
        <v>4.5</v>
      </c>
      <c r="E82" cm="1">
        <f t="array" ref="E82">_xll.BDH(E$2 &amp; " PE Equity","PX_LAST",$B82,$B82)</f>
        <v>1.78</v>
      </c>
      <c r="F82" cm="1">
        <f t="array" ref="F82">_xll.BDH(F$2 &amp; " PE Equity","PX_LAST",$B82,$B82)</f>
        <v>2.2999999999999998</v>
      </c>
      <c r="G82" cm="1">
        <f t="array" ref="G82">_xll.BDH(G$2 &amp; " US Equity","PX_LAST",$B82,$B82)</f>
        <v>21.17</v>
      </c>
      <c r="H82" cm="1">
        <f t="array" ref="H82">_xll.BDH(H$2 &amp; " PE Equity","PX_LAST",$B82,$B82)</f>
        <v>3.25</v>
      </c>
      <c r="I82" cm="1">
        <f t="array" ref="I82">_xll.BDH(I$2 &amp; " US Equity","PX_LAST",$B82,$B82)</f>
        <v>47.62</v>
      </c>
      <c r="J82" cm="1">
        <f t="array" ref="J82">_xll.BDH(J$2 &amp; " US Equity","PX_LAST",$B82,$B82)</f>
        <v>7.2427000000000001</v>
      </c>
      <c r="K82" cm="1">
        <f t="array" ref="K82">_xll.BDH(K$2 &amp; " US Equity","PX_LAST",$B82,$B82)</f>
        <v>49.91</v>
      </c>
      <c r="L82" cm="1">
        <f t="array" ref="L82">_xll.BDH(L$2 &amp; " US Equity","PX_LAST",$B82,$B82)</f>
        <v>53.85</v>
      </c>
      <c r="M82" cm="1">
        <f t="array" ref="M82">_xll.BDH(M$2 &amp; " US Equity","PX_LAST",$B82,$B82)</f>
        <v>254.7</v>
      </c>
      <c r="N82" cm="1">
        <f t="array" ref="N82">_xll.BDH(N$2 &amp; " US Equity","PX_LAST",$B82,$B82)</f>
        <v>33.409999999999997</v>
      </c>
      <c r="O82" cm="1">
        <f t="array" ref="O82">_xll.BDH(O$2 &amp; " US Equity","PX_LAST",$B82,$B82)</f>
        <v>32.49</v>
      </c>
      <c r="P82" cm="1">
        <f t="array" ref="P82">_xll.BDH(P$2 &amp; " US Equity","PX_LAST",$B82,$B82)</f>
        <v>16.559999999999999</v>
      </c>
      <c r="Q82" cm="1">
        <f t="array" ref="Q82">_xll.BDH(Q$2 &amp; " US Equity","PX_LAST",$B82,$B82)</f>
        <v>24.88</v>
      </c>
      <c r="R82" cm="1">
        <f t="array" ref="R82">_xll.BDH(R$2 &amp; " US Equity","PX_LAST",$B82,$B82)</f>
        <v>23.95</v>
      </c>
      <c r="S82" cm="1">
        <f t="array" ref="S82">_xll.BDH(S$2 &amp; " US Equity","PX_LAST",$B82,$B82)</f>
        <v>150.35</v>
      </c>
      <c r="T82" cm="1">
        <f t="array" ref="T82">_xll.BDH(T$2 &amp; " US Equity","PX_LAST",$B82,$B82)</f>
        <v>60.95</v>
      </c>
      <c r="U82" cm="1">
        <f t="array" ref="U82">_xll.BDH(U$2 &amp; " US Equity","PX_LAST",$B82,$B82)</f>
        <v>115.49</v>
      </c>
      <c r="V82" cm="1">
        <f t="array" ref="V82">_xll.BDH(V$2 &amp; " US Equity","PX_LAST",$B82,$B82)</f>
        <v>44.234999999999999</v>
      </c>
      <c r="W82" cm="1">
        <f t="array" ref="W82">_xll.BDH(W$2 &amp; " US Equity","PX_LAST",$B82,$B82)</f>
        <v>165.42</v>
      </c>
      <c r="X82" cm="1">
        <f t="array" ref="X82">_xll.BDH(X$2 &amp; " US Equity","PX_LAST",$B82,$B82)</f>
        <v>56.36</v>
      </c>
      <c r="Y82" cm="1">
        <f t="array" ref="Y82">_xll.BDH(Y$2 &amp; " US Equity","PX_LAST",$B82,$B82)</f>
        <v>43.44</v>
      </c>
      <c r="Z82" cm="1">
        <f t="array" ref="Z82">_xll.BDH(Z$2 &amp; " US Equity","PX_LAST",$B82,$B82)</f>
        <v>339.44</v>
      </c>
      <c r="AA82" cm="1">
        <f t="array" ref="AA82">_xll.BDH(AA$2 &amp; " PE Equity","PX_LAST",$B82,$B82)</f>
        <v>0.46</v>
      </c>
      <c r="AB82" cm="1">
        <f t="array" ref="AB82">_xll.BDH(AB$2 &amp; " PE Equity","PX_LAST",$B82,$B82)</f>
        <v>24.95</v>
      </c>
      <c r="AC82" cm="1">
        <f t="array" ref="AC82">_xll.BDH(AC$2 &amp; " US Equity","PX_LAST",$B82,$B82)</f>
        <v>68.599999999999994</v>
      </c>
      <c r="AD82" cm="1">
        <f t="array" ref="AD82">_xll.BDH(AD$2 &amp; " US Equity","PX_LAST",$B82,$B82)</f>
        <v>662.63</v>
      </c>
      <c r="AE82" t="str" cm="1">
        <f t="array" ref="AE82">_xll.BDH(AE$2 &amp; " PE Equity","PX_LAST",$B82,$B82)</f>
        <v>#N/A Connection</v>
      </c>
      <c r="AF82" cm="1">
        <f t="array" ref="AF82">_xll.BDH(AF$2 &amp; " US Equity","PX_LAST",$B82,$B82)</f>
        <v>57.2684</v>
      </c>
      <c r="AG82" cm="1">
        <f t="array" ref="AG82">_xll.BDH(AG$2 &amp; " US Equity","PX_LAST",$B82,$B82)</f>
        <v>13.645</v>
      </c>
      <c r="AH82" cm="1">
        <f t="array" ref="AH82">_xll.BDH(AH$2 &amp; " US Equity","PX_LAST",$B82,$B82)</f>
        <v>599.87</v>
      </c>
      <c r="AI82" cm="1">
        <f t="array" ref="AI82">_xll.BDH(AI$2 &amp; " US Equity","PX_LAST",$B82,$B82)</f>
        <v>103.56</v>
      </c>
      <c r="AJ82" cm="1">
        <f t="array" ref="AJ82">_xll.BDH(AJ$2 &amp; " US Equity","PX_LAST",$B82,$B82)</f>
        <v>104.67</v>
      </c>
      <c r="AK82" cm="1">
        <f t="array" ref="AK82">_xll.BDH(AK$2 &amp; " US Equity","PX_LAST",$B82,$B82)</f>
        <v>112.255</v>
      </c>
      <c r="AL82" cm="1">
        <f t="array" ref="AL82">_xll.BDH(AL$2 &amp; " US Equity","PX_LAST",$B82,$B82)</f>
        <v>222.69</v>
      </c>
      <c r="AM82" cm="1">
        <f t="array" ref="AM82">_xll.BDH(AM$2 &amp; " US Equity","PX_LAST",$B82,$B82)</f>
        <v>50.024999999999999</v>
      </c>
      <c r="AN82" cm="1">
        <f t="array" ref="AN82">_xll.BDH(AN$2 &amp; " US Equity","PX_LAST",$B82,$B82)</f>
        <v>23.543800000000001</v>
      </c>
      <c r="AO82" cm="1">
        <f t="array" ref="AO82">_xll.BDH(AO$2 &amp; " US Equity","PX_LAST",$B82,$B82)</f>
        <v>51.87</v>
      </c>
      <c r="AP82" cm="1">
        <f t="array" ref="AP82">_xll.BDH(AP$2 &amp; " US Equity","PX_LAST",$B82,$B82)</f>
        <v>4.92</v>
      </c>
      <c r="AQ82" cm="1">
        <f t="array" ref="AQ82">_xll.BDH(AQ$2 &amp; " US Equity","PX_LAST",$B82,$B82)</f>
        <v>102.37</v>
      </c>
      <c r="AR82" cm="1">
        <f t="array" ref="AR82">_xll.BDH(AR$2 &amp; " US Equity","PX_LAST",$B82,$B82)</f>
        <v>62.79</v>
      </c>
      <c r="AS82" cm="1">
        <f t="array" ref="AS82">_xll.BDH(AS$2 &amp; " US Equity","PX_LAST",$B82,$B82)</f>
        <v>110</v>
      </c>
      <c r="AT82" cm="1">
        <f t="array" ref="AT82">_xll.BDH(AT$2 &amp; " US Equity","PX_LAST",$B82,$B82)</f>
        <v>5.75</v>
      </c>
      <c r="AU82" cm="1">
        <f t="array" ref="AU82">_xll.BDH(AU$2 &amp; " US Equity","PX_LAST",$B82,$B82)</f>
        <v>309.08999999999997</v>
      </c>
      <c r="AV82" cm="1">
        <f t="array" ref="AV82">_xll.BDH(AV$2 &amp; " US Equity","PX_LAST",$B82,$B82)</f>
        <v>240.46</v>
      </c>
      <c r="AW82" cm="1">
        <f t="array" ref="AW82">_xll.BDH(AW$2 &amp; " US Equity","PX_LAST",$B82,$B82)</f>
        <v>117.5</v>
      </c>
    </row>
    <row r="83" spans="2:49">
      <c r="B83" s="13">
        <v>45981</v>
      </c>
      <c r="C83" cm="1">
        <f t="array" ref="C83">_xll.BDH(C$2 &amp; " US Equity","PX_LAST",$B83,$B83)</f>
        <v>263.10000000000002</v>
      </c>
      <c r="D83" cm="1">
        <f t="array" ref="D83">_xll.BDH(D$2 &amp; " PE Equity","PX_LAST",$B83,$B83)</f>
        <v>4.5</v>
      </c>
      <c r="E83" cm="1">
        <f t="array" ref="E83">_xll.BDH(E$2 &amp; " PE Equity","PX_LAST",$B83,$B83)</f>
        <v>1.78</v>
      </c>
      <c r="F83" cm="1">
        <f t="array" ref="F83">_xll.BDH(F$2 &amp; " PE Equity","PX_LAST",$B83,$B83)</f>
        <v>2.38</v>
      </c>
      <c r="G83" cm="1">
        <f t="array" ref="G83">_xll.BDH(G$2 &amp; " US Equity","PX_LAST",$B83,$B83)</f>
        <v>20.09</v>
      </c>
      <c r="H83" cm="1">
        <f t="array" ref="H83">_xll.BDH(H$2 &amp; " PE Equity","PX_LAST",$B83,$B83)</f>
        <v>3.24</v>
      </c>
      <c r="I83" cm="1">
        <f t="array" ref="I83">_xll.BDH(I$2 &amp; " US Equity","PX_LAST",$B83,$B83)</f>
        <v>45.66</v>
      </c>
      <c r="J83" cm="1">
        <f t="array" ref="J83">_xll.BDH(J$2 &amp; " US Equity","PX_LAST",$B83,$B83)</f>
        <v>7.1359000000000004</v>
      </c>
      <c r="K83" cm="1">
        <f t="array" ref="K83">_xll.BDH(K$2 &amp; " US Equity","PX_LAST",$B83,$B83)</f>
        <v>49.37</v>
      </c>
      <c r="L83" cm="1">
        <f t="array" ref="L83">_xll.BDH(L$2 &amp; " US Equity","PX_LAST",$B83,$B83)</f>
        <v>53.11</v>
      </c>
      <c r="M83" cm="1">
        <f t="array" ref="M83">_xll.BDH(M$2 &amp; " US Equity","PX_LAST",$B83,$B83)</f>
        <v>248.31</v>
      </c>
      <c r="N83" cm="1">
        <f t="array" ref="N83">_xll.BDH(N$2 &amp; " US Equity","PX_LAST",$B83,$B83)</f>
        <v>32.97</v>
      </c>
      <c r="O83" cm="1">
        <f t="array" ref="O83">_xll.BDH(O$2 &amp; " US Equity","PX_LAST",$B83,$B83)</f>
        <v>31.9</v>
      </c>
      <c r="P83" cm="1">
        <f t="array" ref="P83">_xll.BDH(P$2 &amp; " US Equity","PX_LAST",$B83,$B83)</f>
        <v>16.079999999999998</v>
      </c>
      <c r="Q83" cm="1">
        <f t="array" ref="Q83">_xll.BDH(Q$2 &amp; " US Equity","PX_LAST",$B83,$B83)</f>
        <v>24.4</v>
      </c>
      <c r="R83" cm="1">
        <f t="array" ref="R83">_xll.BDH(R$2 &amp; " US Equity","PX_LAST",$B83,$B83)</f>
        <v>22.78</v>
      </c>
      <c r="S83" cm="1">
        <f t="array" ref="S83">_xll.BDH(S$2 &amp; " US Equity","PX_LAST",$B83,$B83)</f>
        <v>147.83000000000001</v>
      </c>
      <c r="T83" cm="1">
        <f t="array" ref="T83">_xll.BDH(T$2 &amp; " US Equity","PX_LAST",$B83,$B83)</f>
        <v>60.08</v>
      </c>
      <c r="U83" cm="1">
        <f t="array" ref="U83">_xll.BDH(U$2 &amp; " US Equity","PX_LAST",$B83,$B83)</f>
        <v>110.45</v>
      </c>
      <c r="V83" cm="1">
        <f t="array" ref="V83">_xll.BDH(V$2 &amp; " US Equity","PX_LAST",$B83,$B83)</f>
        <v>44.01</v>
      </c>
      <c r="W83" cm="1">
        <f t="array" ref="W83">_xll.BDH(W$2 &amp; " US Equity","PX_LAST",$B83,$B83)</f>
        <v>155.745</v>
      </c>
      <c r="X83" cm="1">
        <f t="array" ref="X83">_xll.BDH(X$2 &amp; " US Equity","PX_LAST",$B83,$B83)</f>
        <v>55.69</v>
      </c>
      <c r="Y83" cm="1">
        <f t="array" ref="Y83">_xll.BDH(Y$2 &amp; " US Equity","PX_LAST",$B83,$B83)</f>
        <v>42.99</v>
      </c>
      <c r="Z83" cm="1">
        <f t="array" ref="Z83">_xll.BDH(Z$2 &amp; " US Equity","PX_LAST",$B83,$B83)</f>
        <v>325.10000000000002</v>
      </c>
      <c r="AA83" cm="1">
        <f t="array" ref="AA83">_xll.BDH(AA$2 &amp; " PE Equity","PX_LAST",$B83,$B83)</f>
        <v>0.46</v>
      </c>
      <c r="AB83" cm="1">
        <f t="array" ref="AB83">_xll.BDH(AB$2 &amp; " PE Equity","PX_LAST",$B83,$B83)</f>
        <v>24.75</v>
      </c>
      <c r="AC83" cm="1">
        <f t="array" ref="AC83">_xll.BDH(AC$2 &amp; " US Equity","PX_LAST",$B83,$B83)</f>
        <v>67.819999999999993</v>
      </c>
      <c r="AD83" cm="1">
        <f t="array" ref="AD83">_xll.BDH(AD$2 &amp; " US Equity","PX_LAST",$B83,$B83)</f>
        <v>652.53</v>
      </c>
      <c r="AE83" t="str" cm="1">
        <f t="array" ref="AE83">_xll.BDH(AE$2 &amp; " PE Equity","PX_LAST",$B83,$B83)</f>
        <v>#N/A Connection</v>
      </c>
      <c r="AF83" cm="1">
        <f t="array" ref="AF83">_xll.BDH(AF$2 &amp; " US Equity","PX_LAST",$B83,$B83)</f>
        <v>57.009300000000003</v>
      </c>
      <c r="AG83" cm="1">
        <f t="array" ref="AG83">_xll.BDH(AG$2 &amp; " US Equity","PX_LAST",$B83,$B83)</f>
        <v>13.2722</v>
      </c>
      <c r="AH83" cm="1">
        <f t="array" ref="AH83">_xll.BDH(AH$2 &amp; " US Equity","PX_LAST",$B83,$B83)</f>
        <v>585.66999999999996</v>
      </c>
      <c r="AI83" cm="1">
        <f t="array" ref="AI83">_xll.BDH(AI$2 &amp; " US Equity","PX_LAST",$B83,$B83)</f>
        <v>104.12</v>
      </c>
      <c r="AJ83" cm="1">
        <f t="array" ref="AJ83">_xll.BDH(AJ$2 &amp; " US Equity","PX_LAST",$B83,$B83)</f>
        <v>102.7</v>
      </c>
      <c r="AK83" cm="1">
        <f t="array" ref="AK83">_xll.BDH(AK$2 &amp; " US Equity","PX_LAST",$B83,$B83)</f>
        <v>110.58</v>
      </c>
      <c r="AL83" cm="1">
        <f t="array" ref="AL83">_xll.BDH(AL$2 &amp; " US Equity","PX_LAST",$B83,$B83)</f>
        <v>217.14</v>
      </c>
      <c r="AM83" cm="1">
        <f t="array" ref="AM83">_xll.BDH(AM$2 &amp; " US Equity","PX_LAST",$B83,$B83)</f>
        <v>46.45</v>
      </c>
      <c r="AN83" cm="1">
        <f t="array" ref="AN83">_xll.BDH(AN$2 &amp; " US Equity","PX_LAST",$B83,$B83)</f>
        <v>22.991099999999999</v>
      </c>
      <c r="AO83" cm="1">
        <f t="array" ref="AO83">_xll.BDH(AO$2 &amp; " US Equity","PX_LAST",$B83,$B83)</f>
        <v>50.52</v>
      </c>
      <c r="AP83" cm="1">
        <f t="array" ref="AP83">_xll.BDH(AP$2 &amp; " US Equity","PX_LAST",$B83,$B83)</f>
        <v>4.83</v>
      </c>
      <c r="AQ83" cm="1">
        <f t="array" ref="AQ83">_xll.BDH(AQ$2 &amp; " US Equity","PX_LAST",$B83,$B83)</f>
        <v>103.76</v>
      </c>
      <c r="AR83" cm="1">
        <f t="array" ref="AR83">_xll.BDH(AR$2 &amp; " US Equity","PX_LAST",$B83,$B83)</f>
        <v>61.54</v>
      </c>
      <c r="AS83" cm="1">
        <f t="array" ref="AS83">_xll.BDH(AS$2 &amp; " US Equity","PX_LAST",$B83,$B83)</f>
        <v>105.67</v>
      </c>
      <c r="AT83" cm="1">
        <f t="array" ref="AT83">_xll.BDH(AT$2 &amp; " US Equity","PX_LAST",$B83,$B83)</f>
        <v>5.4</v>
      </c>
      <c r="AU83" cm="1">
        <f t="array" ref="AU83">_xll.BDH(AU$2 &amp; " US Equity","PX_LAST",$B83,$B83)</f>
        <v>311.54000000000002</v>
      </c>
      <c r="AV83" cm="1">
        <f t="array" ref="AV83">_xll.BDH(AV$2 &amp; " US Equity","PX_LAST",$B83,$B83)</f>
        <v>235.37</v>
      </c>
      <c r="AW83" cm="1">
        <f t="array" ref="AW83">_xll.BDH(AW$2 &amp; " US Equity","PX_LAST",$B83,$B83)</f>
        <v>114.41</v>
      </c>
    </row>
    <row r="84" spans="2:49">
      <c r="B84" s="13">
        <v>45982</v>
      </c>
      <c r="C84" cm="1">
        <f t="array" ref="C84">_xll.BDH(C$2 &amp; " US Equity","PX_LAST",$B84,$B84)</f>
        <v>269.43</v>
      </c>
      <c r="D84" cm="1">
        <f t="array" ref="D84">_xll.BDH(D$2 &amp; " PE Equity","PX_LAST",$B84,$B84)</f>
        <v>4.51</v>
      </c>
      <c r="E84" t="str" cm="1">
        <f t="array" ref="E84">_xll.BDH(E$2 &amp; " PE Equity","PX_LAST",$B84,$B84)</f>
        <v>#N/A N/A</v>
      </c>
      <c r="F84" cm="1">
        <f t="array" ref="F84">_xll.BDH(F$2 &amp; " PE Equity","PX_LAST",$B84,$B84)</f>
        <v>2.34</v>
      </c>
      <c r="G84" cm="1">
        <f t="array" ref="G84">_xll.BDH(G$2 &amp; " US Equity","PX_LAST",$B84,$B84)</f>
        <v>20.36</v>
      </c>
      <c r="H84" cm="1">
        <f t="array" ref="H84">_xll.BDH(H$2 &amp; " PE Equity","PX_LAST",$B84,$B84)</f>
        <v>3.24</v>
      </c>
      <c r="I84" cm="1">
        <f t="array" ref="I84">_xll.BDH(I$2 &amp; " US Equity","PX_LAST",$B84,$B84)</f>
        <v>45.94</v>
      </c>
      <c r="J84" cm="1">
        <f t="array" ref="J84">_xll.BDH(J$2 &amp; " US Equity","PX_LAST",$B84,$B84)</f>
        <v>7.165</v>
      </c>
      <c r="K84" cm="1">
        <f t="array" ref="K84">_xll.BDH(K$2 &amp; " US Equity","PX_LAST",$B84,$B84)</f>
        <v>49.73</v>
      </c>
      <c r="L84" cm="1">
        <f t="array" ref="L84">_xll.BDH(L$2 &amp; " US Equity","PX_LAST",$B84,$B84)</f>
        <v>53.1</v>
      </c>
      <c r="M84" cm="1">
        <f t="array" ref="M84">_xll.BDH(M$2 &amp; " US Equity","PX_LAST",$B84,$B84)</f>
        <v>247.85</v>
      </c>
      <c r="N84" cm="1">
        <f t="array" ref="N84">_xll.BDH(N$2 &amp; " US Equity","PX_LAST",$B84,$B84)</f>
        <v>33.58</v>
      </c>
      <c r="O84" cm="1">
        <f t="array" ref="O84">_xll.BDH(O$2 &amp; " US Equity","PX_LAST",$B84,$B84)</f>
        <v>32.03</v>
      </c>
      <c r="P84" cm="1">
        <f t="array" ref="P84">_xll.BDH(P$2 &amp; " US Equity","PX_LAST",$B84,$B84)</f>
        <v>16.07</v>
      </c>
      <c r="Q84" cm="1">
        <f t="array" ref="Q84">_xll.BDH(Q$2 &amp; " US Equity","PX_LAST",$B84,$B84)</f>
        <v>25.04</v>
      </c>
      <c r="R84" cm="1">
        <f t="array" ref="R84">_xll.BDH(R$2 &amp; " US Equity","PX_LAST",$B84,$B84)</f>
        <v>23.02</v>
      </c>
      <c r="S84" cm="1">
        <f t="array" ref="S84">_xll.BDH(S$2 &amp; " US Equity","PX_LAST",$B84,$B84)</f>
        <v>149.63</v>
      </c>
      <c r="T84" cm="1">
        <f t="array" ref="T84">_xll.BDH(T$2 &amp; " US Equity","PX_LAST",$B84,$B84)</f>
        <v>60.78</v>
      </c>
      <c r="U84" cm="1">
        <f t="array" ref="U84">_xll.BDH(U$2 &amp; " US Equity","PX_LAST",$B84,$B84)</f>
        <v>110.95</v>
      </c>
      <c r="V84" cm="1">
        <f t="array" ref="V84">_xll.BDH(V$2 &amp; " US Equity","PX_LAST",$B84,$B84)</f>
        <v>44.075000000000003</v>
      </c>
      <c r="W84" cm="1">
        <f t="array" ref="W84">_xll.BDH(W$2 &amp; " US Equity","PX_LAST",$B84,$B84)</f>
        <v>154.85</v>
      </c>
      <c r="X84" cm="1">
        <f t="array" ref="X84">_xll.BDH(X$2 &amp; " US Equity","PX_LAST",$B84,$B84)</f>
        <v>56.69</v>
      </c>
      <c r="Y84" cm="1">
        <f t="array" ref="Y84">_xll.BDH(Y$2 &amp; " US Equity","PX_LAST",$B84,$B84)</f>
        <v>43.69</v>
      </c>
      <c r="Z84" cm="1">
        <f t="array" ref="Z84">_xll.BDH(Z$2 &amp; " US Equity","PX_LAST",$B84,$B84)</f>
        <v>326.13</v>
      </c>
      <c r="AA84" cm="1">
        <f t="array" ref="AA84">_xll.BDH(AA$2 &amp; " PE Equity","PX_LAST",$B84,$B84)</f>
        <v>0.435</v>
      </c>
      <c r="AB84" cm="1">
        <f t="array" ref="AB84">_xll.BDH(AB$2 &amp; " PE Equity","PX_LAST",$B84,$B84)</f>
        <v>24.48</v>
      </c>
      <c r="AC84" cm="1">
        <f t="array" ref="AC84">_xll.BDH(AC$2 &amp; " US Equity","PX_LAST",$B84,$B84)</f>
        <v>68.84</v>
      </c>
      <c r="AD84" cm="1">
        <f t="array" ref="AD84">_xll.BDH(AD$2 &amp; " US Equity","PX_LAST",$B84,$B84)</f>
        <v>659.03</v>
      </c>
      <c r="AE84" t="str" cm="1">
        <f t="array" ref="AE84">_xll.BDH(AE$2 &amp; " PE Equity","PX_LAST",$B84,$B84)</f>
        <v>#N/A Connection</v>
      </c>
      <c r="AF84" cm="1">
        <f t="array" ref="AF84">_xll.BDH(AF$2 &amp; " US Equity","PX_LAST",$B84,$B84)</f>
        <v>58.155000000000001</v>
      </c>
      <c r="AG84" cm="1">
        <f t="array" ref="AG84">_xll.BDH(AG$2 &amp; " US Equity","PX_LAST",$B84,$B84)</f>
        <v>13.3371</v>
      </c>
      <c r="AH84" cm="1">
        <f t="array" ref="AH84">_xll.BDH(AH$2 &amp; " US Equity","PX_LAST",$B84,$B84)</f>
        <v>590.07000000000005</v>
      </c>
      <c r="AI84" cm="1">
        <f t="array" ref="AI84">_xll.BDH(AI$2 &amp; " US Equity","PX_LAST",$B84,$B84)</f>
        <v>106.75</v>
      </c>
      <c r="AJ84" cm="1">
        <f t="array" ref="AJ84">_xll.BDH(AJ$2 &amp; " US Equity","PX_LAST",$B84,$B84)</f>
        <v>104.28</v>
      </c>
      <c r="AK84" cm="1">
        <f t="array" ref="AK84">_xll.BDH(AK$2 &amp; " US Equity","PX_LAST",$B84,$B84)</f>
        <v>112.75</v>
      </c>
      <c r="AL84" cm="1">
        <f t="array" ref="AL84">_xll.BDH(AL$2 &amp; " US Equity","PX_LAST",$B84,$B84)</f>
        <v>220.69</v>
      </c>
      <c r="AM84" cm="1">
        <f t="array" ref="AM84">_xll.BDH(AM$2 &amp; " US Equity","PX_LAST",$B84,$B84)</f>
        <v>47.48</v>
      </c>
      <c r="AN84" cm="1">
        <f t="array" ref="AN84">_xll.BDH(AN$2 &amp; " US Equity","PX_LAST",$B84,$B84)</f>
        <v>22.9</v>
      </c>
      <c r="AO84" cm="1">
        <f t="array" ref="AO84">_xll.BDH(AO$2 &amp; " US Equity","PX_LAST",$B84,$B84)</f>
        <v>50.41</v>
      </c>
      <c r="AP84" cm="1">
        <f t="array" ref="AP84">_xll.BDH(AP$2 &amp; " US Equity","PX_LAST",$B84,$B84)</f>
        <v>4.7300000000000004</v>
      </c>
      <c r="AQ84" cm="1">
        <f t="array" ref="AQ84">_xll.BDH(AQ$2 &amp; " US Equity","PX_LAST",$B84,$B84)</f>
        <v>105.18</v>
      </c>
      <c r="AR84" cm="1">
        <f t="array" ref="AR84">_xll.BDH(AR$2 &amp; " US Equity","PX_LAST",$B84,$B84)</f>
        <v>60.62</v>
      </c>
      <c r="AS84" cm="1">
        <f t="array" ref="AS84">_xll.BDH(AS$2 &amp; " US Equity","PX_LAST",$B84,$B84)</f>
        <v>104.31</v>
      </c>
      <c r="AT84" cm="1">
        <f t="array" ref="AT84">_xll.BDH(AT$2 &amp; " US Equity","PX_LAST",$B84,$B84)</f>
        <v>5.58</v>
      </c>
      <c r="AU84" cm="1">
        <f t="array" ref="AU84">_xll.BDH(AU$2 &amp; " US Equity","PX_LAST",$B84,$B84)</f>
        <v>319.97000000000003</v>
      </c>
      <c r="AV84" cm="1">
        <f t="array" ref="AV84">_xll.BDH(AV$2 &amp; " US Equity","PX_LAST",$B84,$B84)</f>
        <v>235.47</v>
      </c>
      <c r="AW84" cm="1">
        <f t="array" ref="AW84">_xll.BDH(AW$2 &amp; " US Equity","PX_LAST",$B84,$B84)</f>
        <v>118.67</v>
      </c>
    </row>
    <row r="85" spans="2:49">
      <c r="B85" s="13">
        <v>45983</v>
      </c>
      <c r="C85" t="str" cm="1">
        <f t="array" ref="C85">_xll.BDH(C$2 &amp; " US Equity","PX_LAST",$B85,$B85)</f>
        <v>#N/A N/A</v>
      </c>
      <c r="D85" t="str" cm="1">
        <f t="array" ref="D85">_xll.BDH(D$2 &amp; " PE Equity","PX_LAST",$B85,$B85)</f>
        <v>#N/A N/A</v>
      </c>
      <c r="E85" t="str" cm="1">
        <f t="array" ref="E85">_xll.BDH(E$2 &amp; " PE Equity","PX_LAST",$B85,$B85)</f>
        <v>#N/A N/A</v>
      </c>
      <c r="F85" t="str" cm="1">
        <f t="array" ref="F85">_xll.BDH(F$2 &amp; " PE Equity","PX_LAST",$B85,$B85)</f>
        <v>#N/A N/A</v>
      </c>
      <c r="G85" t="str" cm="1">
        <f t="array" ref="G85">_xll.BDH(G$2 &amp; " US Equity","PX_LAST",$B85,$B85)</f>
        <v>#N/A N/A</v>
      </c>
      <c r="H85" t="str" cm="1">
        <f t="array" ref="H85">_xll.BDH(H$2 &amp; " PE Equity","PX_LAST",$B85,$B85)</f>
        <v>#N/A N/A</v>
      </c>
      <c r="I85" t="str" cm="1">
        <f t="array" ref="I85">_xll.BDH(I$2 &amp; " US Equity","PX_LAST",$B85,$B85)</f>
        <v>#N/A N/A</v>
      </c>
      <c r="J85" t="str" cm="1">
        <f t="array" ref="J85">_xll.BDH(J$2 &amp; " US Equity","PX_LAST",$B85,$B85)</f>
        <v>#N/A N/A</v>
      </c>
      <c r="K85" t="str" cm="1">
        <f t="array" ref="K85">_xll.BDH(K$2 &amp; " US Equity","PX_LAST",$B85,$B85)</f>
        <v>#N/A N/A</v>
      </c>
      <c r="L85" t="str" cm="1">
        <f t="array" ref="L85">_xll.BDH(L$2 &amp; " US Equity","PX_LAST",$B85,$B85)</f>
        <v>#N/A N/A</v>
      </c>
      <c r="M85" t="str" cm="1">
        <f t="array" ref="M85">_xll.BDH(M$2 &amp; " US Equity","PX_LAST",$B85,$B85)</f>
        <v>#N/A N/A</v>
      </c>
      <c r="N85" t="str" cm="1">
        <f t="array" ref="N85">_xll.BDH(N$2 &amp; " US Equity","PX_LAST",$B85,$B85)</f>
        <v>#N/A N/A</v>
      </c>
      <c r="O85" t="str" cm="1">
        <f t="array" ref="O85">_xll.BDH(O$2 &amp; " US Equity","PX_LAST",$B85,$B85)</f>
        <v>#N/A N/A</v>
      </c>
      <c r="P85" t="str" cm="1">
        <f t="array" ref="P85">_xll.BDH(P$2 &amp; " US Equity","PX_LAST",$B85,$B85)</f>
        <v>#N/A N/A</v>
      </c>
      <c r="Q85" t="str" cm="1">
        <f t="array" ref="Q85">_xll.BDH(Q$2 &amp; " US Equity","PX_LAST",$B85,$B85)</f>
        <v>#N/A N/A</v>
      </c>
      <c r="R85" t="str" cm="1">
        <f t="array" ref="R85">_xll.BDH(R$2 &amp; " US Equity","PX_LAST",$B85,$B85)</f>
        <v>#N/A N/A</v>
      </c>
      <c r="S85" t="str" cm="1">
        <f t="array" ref="S85">_xll.BDH(S$2 &amp; " US Equity","PX_LAST",$B85,$B85)</f>
        <v>#N/A N/A</v>
      </c>
      <c r="T85" t="str" cm="1">
        <f t="array" ref="T85">_xll.BDH(T$2 &amp; " US Equity","PX_LAST",$B85,$B85)</f>
        <v>#N/A N/A</v>
      </c>
      <c r="U85" t="str" cm="1">
        <f t="array" ref="U85">_xll.BDH(U$2 &amp; " US Equity","PX_LAST",$B85,$B85)</f>
        <v>#N/A N/A</v>
      </c>
      <c r="V85" t="str" cm="1">
        <f t="array" ref="V85">_xll.BDH(V$2 &amp; " US Equity","PX_LAST",$B85,$B85)</f>
        <v>#N/A N/A</v>
      </c>
      <c r="W85" t="str" cm="1">
        <f t="array" ref="W85">_xll.BDH(W$2 &amp; " US Equity","PX_LAST",$B85,$B85)</f>
        <v>#N/A N/A</v>
      </c>
      <c r="X85" t="str" cm="1">
        <f t="array" ref="X85">_xll.BDH(X$2 &amp; " US Equity","PX_LAST",$B85,$B85)</f>
        <v>#N/A N/A</v>
      </c>
      <c r="Y85" t="str" cm="1">
        <f t="array" ref="Y85">_xll.BDH(Y$2 &amp; " US Equity","PX_LAST",$B85,$B85)</f>
        <v>#N/A N/A</v>
      </c>
      <c r="Z85" t="str" cm="1">
        <f t="array" ref="Z85">_xll.BDH(Z$2 &amp; " US Equity","PX_LAST",$B85,$B85)</f>
        <v>#N/A N/A</v>
      </c>
      <c r="AA85" t="str" cm="1">
        <f t="array" ref="AA85">_xll.BDH(AA$2 &amp; " PE Equity","PX_LAST",$B85,$B85)</f>
        <v>#N/A N/A</v>
      </c>
      <c r="AB85" t="str" cm="1">
        <f t="array" ref="AB85">_xll.BDH(AB$2 &amp; " PE Equity","PX_LAST",$B85,$B85)</f>
        <v>#N/A N/A</v>
      </c>
      <c r="AC85" t="str" cm="1">
        <f t="array" ref="AC85">_xll.BDH(AC$2 &amp; " US Equity","PX_LAST",$B85,$B85)</f>
        <v>#N/A N/A</v>
      </c>
      <c r="AD85" t="str" cm="1">
        <f t="array" ref="AD85">_xll.BDH(AD$2 &amp; " US Equity","PX_LAST",$B85,$B85)</f>
        <v>#N/A N/A</v>
      </c>
      <c r="AE85" t="str" cm="1">
        <f t="array" ref="AE85">_xll.BDH(AE$2 &amp; " PE Equity","PX_LAST",$B85,$B85)</f>
        <v>#N/A Connection</v>
      </c>
      <c r="AF85" t="str" cm="1">
        <f t="array" ref="AF85">_xll.BDH(AF$2 &amp; " US Equity","PX_LAST",$B85,$B85)</f>
        <v>#N/A N/A</v>
      </c>
      <c r="AG85" t="str" cm="1">
        <f t="array" ref="AG85">_xll.BDH(AG$2 &amp; " US Equity","PX_LAST",$B85,$B85)</f>
        <v>#N/A N/A</v>
      </c>
      <c r="AH85" t="str" cm="1">
        <f t="array" ref="AH85">_xll.BDH(AH$2 &amp; " US Equity","PX_LAST",$B85,$B85)</f>
        <v>#N/A N/A</v>
      </c>
      <c r="AI85" t="str" cm="1">
        <f t="array" ref="AI85">_xll.BDH(AI$2 &amp; " US Equity","PX_LAST",$B85,$B85)</f>
        <v>#N/A N/A</v>
      </c>
      <c r="AJ85" t="str" cm="1">
        <f t="array" ref="AJ85">_xll.BDH(AJ$2 &amp; " US Equity","PX_LAST",$B85,$B85)</f>
        <v>#N/A N/A</v>
      </c>
      <c r="AK85" t="str" cm="1">
        <f t="array" ref="AK85">_xll.BDH(AK$2 &amp; " US Equity","PX_LAST",$B85,$B85)</f>
        <v>#N/A N/A</v>
      </c>
      <c r="AL85" t="str" cm="1">
        <f t="array" ref="AL85">_xll.BDH(AL$2 &amp; " US Equity","PX_LAST",$B85,$B85)</f>
        <v>#N/A N/A</v>
      </c>
      <c r="AM85" t="str" cm="1">
        <f t="array" ref="AM85">_xll.BDH(AM$2 &amp; " US Equity","PX_LAST",$B85,$B85)</f>
        <v>#N/A N/A</v>
      </c>
      <c r="AN85" t="str" cm="1">
        <f t="array" ref="AN85">_xll.BDH(AN$2 &amp; " US Equity","PX_LAST",$B85,$B85)</f>
        <v>#N/A N/A</v>
      </c>
      <c r="AO85" t="str" cm="1">
        <f t="array" ref="AO85">_xll.BDH(AO$2 &amp; " US Equity","PX_LAST",$B85,$B85)</f>
        <v>#N/A N/A</v>
      </c>
      <c r="AP85" t="str" cm="1">
        <f t="array" ref="AP85">_xll.BDH(AP$2 &amp; " US Equity","PX_LAST",$B85,$B85)</f>
        <v>#N/A N/A</v>
      </c>
      <c r="AQ85" t="str" cm="1">
        <f t="array" ref="AQ85">_xll.BDH(AQ$2 &amp; " US Equity","PX_LAST",$B85,$B85)</f>
        <v>#N/A N/A</v>
      </c>
      <c r="AR85" t="str" cm="1">
        <f t="array" ref="AR85">_xll.BDH(AR$2 &amp; " US Equity","PX_LAST",$B85,$B85)</f>
        <v>#N/A N/A</v>
      </c>
      <c r="AS85" t="str" cm="1">
        <f t="array" ref="AS85">_xll.BDH(AS$2 &amp; " US Equity","PX_LAST",$B85,$B85)</f>
        <v>#N/A N/A</v>
      </c>
      <c r="AT85" t="str" cm="1">
        <f t="array" ref="AT85">_xll.BDH(AT$2 &amp; " US Equity","PX_LAST",$B85,$B85)</f>
        <v>#N/A N/A</v>
      </c>
      <c r="AU85" t="str" cm="1">
        <f t="array" ref="AU85">_xll.BDH(AU$2 &amp; " US Equity","PX_LAST",$B85,$B85)</f>
        <v>#N/A N/A</v>
      </c>
      <c r="AV85" t="str" cm="1">
        <f t="array" ref="AV85">_xll.BDH(AV$2 &amp; " US Equity","PX_LAST",$B85,$B85)</f>
        <v>#N/A N/A</v>
      </c>
      <c r="AW85" t="str" cm="1">
        <f t="array" ref="AW85">_xll.BDH(AW$2 &amp; " US Equity","PX_LAST",$B85,$B85)</f>
        <v>#N/A N/A</v>
      </c>
    </row>
    <row r="86" spans="2:49">
      <c r="B86" s="13">
        <v>45984</v>
      </c>
      <c r="C86" t="str" cm="1">
        <f t="array" ref="C86">_xll.BDH(C$2 &amp; " US Equity","PX_LAST",$B86,$B86)</f>
        <v>#N/A N/A</v>
      </c>
      <c r="D86" t="str" cm="1">
        <f t="array" ref="D86">_xll.BDH(D$2 &amp; " PE Equity","PX_LAST",$B86,$B86)</f>
        <v>#N/A N/A</v>
      </c>
      <c r="E86" t="str" cm="1">
        <f t="array" ref="E86">_xll.BDH(E$2 &amp; " PE Equity","PX_LAST",$B86,$B86)</f>
        <v>#N/A N/A</v>
      </c>
      <c r="F86" t="str" cm="1">
        <f t="array" ref="F86">_xll.BDH(F$2 &amp; " PE Equity","PX_LAST",$B86,$B86)</f>
        <v>#N/A N/A</v>
      </c>
      <c r="G86" t="str" cm="1">
        <f t="array" ref="G86">_xll.BDH(G$2 &amp; " US Equity","PX_LAST",$B86,$B86)</f>
        <v>#N/A N/A</v>
      </c>
      <c r="H86" t="str" cm="1">
        <f t="array" ref="H86">_xll.BDH(H$2 &amp; " PE Equity","PX_LAST",$B86,$B86)</f>
        <v>#N/A N/A</v>
      </c>
      <c r="I86" t="str" cm="1">
        <f t="array" ref="I86">_xll.BDH(I$2 &amp; " US Equity","PX_LAST",$B86,$B86)</f>
        <v>#N/A N/A</v>
      </c>
      <c r="J86" t="str" cm="1">
        <f t="array" ref="J86">_xll.BDH(J$2 &amp; " US Equity","PX_LAST",$B86,$B86)</f>
        <v>#N/A N/A</v>
      </c>
      <c r="K86" t="str" cm="1">
        <f t="array" ref="K86">_xll.BDH(K$2 &amp; " US Equity","PX_LAST",$B86,$B86)</f>
        <v>#N/A N/A</v>
      </c>
      <c r="L86" t="str" cm="1">
        <f t="array" ref="L86">_xll.BDH(L$2 &amp; " US Equity","PX_LAST",$B86,$B86)</f>
        <v>#N/A N/A</v>
      </c>
      <c r="M86" t="str" cm="1">
        <f t="array" ref="M86">_xll.BDH(M$2 &amp; " US Equity","PX_LAST",$B86,$B86)</f>
        <v>#N/A N/A</v>
      </c>
      <c r="N86" t="str" cm="1">
        <f t="array" ref="N86">_xll.BDH(N$2 &amp; " US Equity","PX_LAST",$B86,$B86)</f>
        <v>#N/A N/A</v>
      </c>
      <c r="O86" t="str" cm="1">
        <f t="array" ref="O86">_xll.BDH(O$2 &amp; " US Equity","PX_LAST",$B86,$B86)</f>
        <v>#N/A N/A</v>
      </c>
      <c r="P86" t="str" cm="1">
        <f t="array" ref="P86">_xll.BDH(P$2 &amp; " US Equity","PX_LAST",$B86,$B86)</f>
        <v>#N/A N/A</v>
      </c>
      <c r="Q86" t="str" cm="1">
        <f t="array" ref="Q86">_xll.BDH(Q$2 &amp; " US Equity","PX_LAST",$B86,$B86)</f>
        <v>#N/A N/A</v>
      </c>
      <c r="R86" t="str" cm="1">
        <f t="array" ref="R86">_xll.BDH(R$2 &amp; " US Equity","PX_LAST",$B86,$B86)</f>
        <v>#N/A N/A</v>
      </c>
      <c r="S86" t="str" cm="1">
        <f t="array" ref="S86">_xll.BDH(S$2 &amp; " US Equity","PX_LAST",$B86,$B86)</f>
        <v>#N/A N/A</v>
      </c>
      <c r="T86" t="str" cm="1">
        <f t="array" ref="T86">_xll.BDH(T$2 &amp; " US Equity","PX_LAST",$B86,$B86)</f>
        <v>#N/A N/A</v>
      </c>
      <c r="U86" t="str" cm="1">
        <f t="array" ref="U86">_xll.BDH(U$2 &amp; " US Equity","PX_LAST",$B86,$B86)</f>
        <v>#N/A N/A</v>
      </c>
      <c r="V86" t="str" cm="1">
        <f t="array" ref="V86">_xll.BDH(V$2 &amp; " US Equity","PX_LAST",$B86,$B86)</f>
        <v>#N/A N/A</v>
      </c>
      <c r="W86" t="str" cm="1">
        <f t="array" ref="W86">_xll.BDH(W$2 &amp; " US Equity","PX_LAST",$B86,$B86)</f>
        <v>#N/A N/A</v>
      </c>
      <c r="X86" t="str" cm="1">
        <f t="array" ref="X86">_xll.BDH(X$2 &amp; " US Equity","PX_LAST",$B86,$B86)</f>
        <v>#N/A N/A</v>
      </c>
      <c r="Y86" t="str" cm="1">
        <f t="array" ref="Y86">_xll.BDH(Y$2 &amp; " US Equity","PX_LAST",$B86,$B86)</f>
        <v>#N/A N/A</v>
      </c>
      <c r="Z86" t="str" cm="1">
        <f t="array" ref="Z86">_xll.BDH(Z$2 &amp; " US Equity","PX_LAST",$B86,$B86)</f>
        <v>#N/A N/A</v>
      </c>
      <c r="AA86" t="str" cm="1">
        <f t="array" ref="AA86">_xll.BDH(AA$2 &amp; " PE Equity","PX_LAST",$B86,$B86)</f>
        <v>#N/A N/A</v>
      </c>
      <c r="AB86" t="str" cm="1">
        <f t="array" ref="AB86">_xll.BDH(AB$2 &amp; " PE Equity","PX_LAST",$B86,$B86)</f>
        <v>#N/A N/A</v>
      </c>
      <c r="AC86" t="str" cm="1">
        <f t="array" ref="AC86">_xll.BDH(AC$2 &amp; " US Equity","PX_LAST",$B86,$B86)</f>
        <v>#N/A N/A</v>
      </c>
      <c r="AD86" t="str" cm="1">
        <f t="array" ref="AD86">_xll.BDH(AD$2 &amp; " US Equity","PX_LAST",$B86,$B86)</f>
        <v>#N/A N/A</v>
      </c>
      <c r="AE86" t="str" cm="1">
        <f t="array" ref="AE86">_xll.BDH(AE$2 &amp; " PE Equity","PX_LAST",$B86,$B86)</f>
        <v>#N/A Connection</v>
      </c>
      <c r="AF86" t="str" cm="1">
        <f t="array" ref="AF86">_xll.BDH(AF$2 &amp; " US Equity","PX_LAST",$B86,$B86)</f>
        <v>#N/A N/A</v>
      </c>
      <c r="AG86" t="str" cm="1">
        <f t="array" ref="AG86">_xll.BDH(AG$2 &amp; " US Equity","PX_LAST",$B86,$B86)</f>
        <v>#N/A N/A</v>
      </c>
      <c r="AH86" t="str" cm="1">
        <f t="array" ref="AH86">_xll.BDH(AH$2 &amp; " US Equity","PX_LAST",$B86,$B86)</f>
        <v>#N/A N/A</v>
      </c>
      <c r="AI86" t="str" cm="1">
        <f t="array" ref="AI86">_xll.BDH(AI$2 &amp; " US Equity","PX_LAST",$B86,$B86)</f>
        <v>#N/A N/A</v>
      </c>
      <c r="AJ86" t="str" cm="1">
        <f t="array" ref="AJ86">_xll.BDH(AJ$2 &amp; " US Equity","PX_LAST",$B86,$B86)</f>
        <v>#N/A N/A</v>
      </c>
      <c r="AK86" t="str" cm="1">
        <f t="array" ref="AK86">_xll.BDH(AK$2 &amp; " US Equity","PX_LAST",$B86,$B86)</f>
        <v>#N/A N/A</v>
      </c>
      <c r="AL86" t="str" cm="1">
        <f t="array" ref="AL86">_xll.BDH(AL$2 &amp; " US Equity","PX_LAST",$B86,$B86)</f>
        <v>#N/A N/A</v>
      </c>
      <c r="AM86" t="str" cm="1">
        <f t="array" ref="AM86">_xll.BDH(AM$2 &amp; " US Equity","PX_LAST",$B86,$B86)</f>
        <v>#N/A N/A</v>
      </c>
      <c r="AN86" t="str" cm="1">
        <f t="array" ref="AN86">_xll.BDH(AN$2 &amp; " US Equity","PX_LAST",$B86,$B86)</f>
        <v>#N/A N/A</v>
      </c>
      <c r="AO86" t="str" cm="1">
        <f t="array" ref="AO86">_xll.BDH(AO$2 &amp; " US Equity","PX_LAST",$B86,$B86)</f>
        <v>#N/A N/A</v>
      </c>
      <c r="AP86" t="str" cm="1">
        <f t="array" ref="AP86">_xll.BDH(AP$2 &amp; " US Equity","PX_LAST",$B86,$B86)</f>
        <v>#N/A N/A</v>
      </c>
      <c r="AQ86" t="str" cm="1">
        <f t="array" ref="AQ86">_xll.BDH(AQ$2 &amp; " US Equity","PX_LAST",$B86,$B86)</f>
        <v>#N/A N/A</v>
      </c>
      <c r="AR86" t="str" cm="1">
        <f t="array" ref="AR86">_xll.BDH(AR$2 &amp; " US Equity","PX_LAST",$B86,$B86)</f>
        <v>#N/A N/A</v>
      </c>
      <c r="AS86" t="str" cm="1">
        <f t="array" ref="AS86">_xll.BDH(AS$2 &amp; " US Equity","PX_LAST",$B86,$B86)</f>
        <v>#N/A N/A</v>
      </c>
      <c r="AT86" t="str" cm="1">
        <f t="array" ref="AT86">_xll.BDH(AT$2 &amp; " US Equity","PX_LAST",$B86,$B86)</f>
        <v>#N/A N/A</v>
      </c>
      <c r="AU86" t="str" cm="1">
        <f t="array" ref="AU86">_xll.BDH(AU$2 &amp; " US Equity","PX_LAST",$B86,$B86)</f>
        <v>#N/A N/A</v>
      </c>
      <c r="AV86" t="str" cm="1">
        <f t="array" ref="AV86">_xll.BDH(AV$2 &amp; " US Equity","PX_LAST",$B86,$B86)</f>
        <v>#N/A N/A</v>
      </c>
      <c r="AW86" t="str" cm="1">
        <f t="array" ref="AW86">_xll.BDH(AW$2 &amp; " US Equity","PX_LAST",$B86,$B86)</f>
        <v>#N/A N/A</v>
      </c>
    </row>
    <row r="87" spans="2:49">
      <c r="B87" s="13">
        <v>45985</v>
      </c>
      <c r="C87" cm="1">
        <f t="array" ref="C87">_xll.BDH(C$2 &amp; " US Equity","PX_LAST",$B87,$B87)</f>
        <v>266.98</v>
      </c>
      <c r="D87" cm="1">
        <f t="array" ref="D87">_xll.BDH(D$2 &amp; " PE Equity","PX_LAST",$B87,$B87)</f>
        <v>4.1500000000000004</v>
      </c>
      <c r="E87" t="str" cm="1">
        <f t="array" ref="E87">_xll.BDH(E$2 &amp; " PE Equity","PX_LAST",$B87,$B87)</f>
        <v>#N/A N/A</v>
      </c>
      <c r="F87" cm="1">
        <f t="array" ref="F87">_xll.BDH(F$2 &amp; " PE Equity","PX_LAST",$B87,$B87)</f>
        <v>2.29</v>
      </c>
      <c r="G87" cm="1">
        <f t="array" ref="G87">_xll.BDH(G$2 &amp; " US Equity","PX_LAST",$B87,$B87)</f>
        <v>20.93</v>
      </c>
      <c r="H87" cm="1">
        <f t="array" ref="H87">_xll.BDH(H$2 &amp; " PE Equity","PX_LAST",$B87,$B87)</f>
        <v>3.18</v>
      </c>
      <c r="I87" cm="1">
        <f t="array" ref="I87">_xll.BDH(I$2 &amp; " US Equity","PX_LAST",$B87,$B87)</f>
        <v>46.46</v>
      </c>
      <c r="J87" cm="1">
        <f t="array" ref="J87">_xll.BDH(J$2 &amp; " US Equity","PX_LAST",$B87,$B87)</f>
        <v>7.165</v>
      </c>
      <c r="K87" cm="1">
        <f t="array" ref="K87">_xll.BDH(K$2 &amp; " US Equity","PX_LAST",$B87,$B87)</f>
        <v>49.94</v>
      </c>
      <c r="L87" cm="1">
        <f t="array" ref="L87">_xll.BDH(L$2 &amp; " US Equity","PX_LAST",$B87,$B87)</f>
        <v>53.66</v>
      </c>
      <c r="M87" cm="1">
        <f t="array" ref="M87">_xll.BDH(M$2 &amp; " US Equity","PX_LAST",$B87,$B87)</f>
        <v>253.78</v>
      </c>
      <c r="N87" cm="1">
        <f t="array" ref="N87">_xll.BDH(N$2 &amp; " US Equity","PX_LAST",$B87,$B87)</f>
        <v>33.54</v>
      </c>
      <c r="O87" cm="1">
        <f t="array" ref="O87">_xll.BDH(O$2 &amp; " US Equity","PX_LAST",$B87,$B87)</f>
        <v>32.200000000000003</v>
      </c>
      <c r="P87" cm="1">
        <f t="array" ref="P87">_xll.BDH(P$2 &amp; " US Equity","PX_LAST",$B87,$B87)</f>
        <v>16.29</v>
      </c>
      <c r="Q87" cm="1">
        <f t="array" ref="Q87">_xll.BDH(Q$2 &amp; " US Equity","PX_LAST",$B87,$B87)</f>
        <v>25.22</v>
      </c>
      <c r="R87" cm="1">
        <f t="array" ref="R87">_xll.BDH(R$2 &amp; " US Equity","PX_LAST",$B87,$B87)</f>
        <v>23.62</v>
      </c>
      <c r="S87" cm="1">
        <f t="array" ref="S87">_xll.BDH(S$2 &amp; " US Equity","PX_LAST",$B87,$B87)</f>
        <v>150</v>
      </c>
      <c r="T87" cm="1">
        <f t="array" ref="T87">_xll.BDH(T$2 &amp; " US Equity","PX_LAST",$B87,$B87)</f>
        <v>60.7</v>
      </c>
      <c r="U87" cm="1">
        <f t="array" ref="U87">_xll.BDH(U$2 &amp; " US Equity","PX_LAST",$B87,$B87)</f>
        <v>119.21</v>
      </c>
      <c r="V87" cm="1">
        <f t="array" ref="V87">_xll.BDH(V$2 &amp; " US Equity","PX_LAST",$B87,$B87)</f>
        <v>44.575000000000003</v>
      </c>
      <c r="W87" cm="1">
        <f t="array" ref="W87">_xll.BDH(W$2 &amp; " US Equity","PX_LAST",$B87,$B87)</f>
        <v>162.25</v>
      </c>
      <c r="X87" cm="1">
        <f t="array" ref="X87">_xll.BDH(X$2 &amp; " US Equity","PX_LAST",$B87,$B87)</f>
        <v>56.39</v>
      </c>
      <c r="Y87" cm="1">
        <f t="array" ref="Y87">_xll.BDH(Y$2 &amp; " US Equity","PX_LAST",$B87,$B87)</f>
        <v>43.33</v>
      </c>
      <c r="Z87" cm="1">
        <f t="array" ref="Z87">_xll.BDH(Z$2 &amp; " US Equity","PX_LAST",$B87,$B87)</f>
        <v>339.12</v>
      </c>
      <c r="AA87" cm="1">
        <f t="array" ref="AA87">_xll.BDH(AA$2 &amp; " PE Equity","PX_LAST",$B87,$B87)</f>
        <v>0.44</v>
      </c>
      <c r="AB87" cm="1">
        <f t="array" ref="AB87">_xll.BDH(AB$2 &amp; " PE Equity","PX_LAST",$B87,$B87)</f>
        <v>24</v>
      </c>
      <c r="AC87" cm="1">
        <f t="array" ref="AC87">_xll.BDH(AC$2 &amp; " US Equity","PX_LAST",$B87,$B87)</f>
        <v>69.39</v>
      </c>
      <c r="AD87" cm="1">
        <f t="array" ref="AD87">_xll.BDH(AD$2 &amp; " US Equity","PX_LAST",$B87,$B87)</f>
        <v>668.73</v>
      </c>
      <c r="AE87" t="str" cm="1">
        <f t="array" ref="AE87">_xll.BDH(AE$2 &amp; " PE Equity","PX_LAST",$B87,$B87)</f>
        <v>#N/A Connection</v>
      </c>
      <c r="AF87" cm="1">
        <f t="array" ref="AF87">_xll.BDH(AF$2 &amp; " US Equity","PX_LAST",$B87,$B87)</f>
        <v>58.260800000000003</v>
      </c>
      <c r="AG87" cm="1">
        <f t="array" ref="AG87">_xll.BDH(AG$2 &amp; " US Equity","PX_LAST",$B87,$B87)</f>
        <v>13.513299999999999</v>
      </c>
      <c r="AH87" cm="1">
        <f t="array" ref="AH87">_xll.BDH(AH$2 &amp; " US Equity","PX_LAST",$B87,$B87)</f>
        <v>605.16</v>
      </c>
      <c r="AI87" cm="1">
        <f t="array" ref="AI87">_xll.BDH(AI$2 &amp; " US Equity","PX_LAST",$B87,$B87)</f>
        <v>107.19</v>
      </c>
      <c r="AJ87" cm="1">
        <f t="array" ref="AJ87">_xll.BDH(AJ$2 &amp; " US Equity","PX_LAST",$B87,$B87)</f>
        <v>101.94</v>
      </c>
      <c r="AK87" cm="1">
        <f t="array" ref="AK87">_xll.BDH(AK$2 &amp; " US Equity","PX_LAST",$B87,$B87)</f>
        <v>114.255</v>
      </c>
      <c r="AL87" cm="1">
        <f t="array" ref="AL87">_xll.BDH(AL$2 &amp; " US Equity","PX_LAST",$B87,$B87)</f>
        <v>226.28</v>
      </c>
      <c r="AM87" cm="1">
        <f t="array" ref="AM87">_xll.BDH(AM$2 &amp; " US Equity","PX_LAST",$B87,$B87)</f>
        <v>51.08</v>
      </c>
      <c r="AN87" cm="1">
        <f t="array" ref="AN87">_xll.BDH(AN$2 &amp; " US Equity","PX_LAST",$B87,$B87)</f>
        <v>23.284099999999999</v>
      </c>
      <c r="AO87" cm="1">
        <f t="array" ref="AO87">_xll.BDH(AO$2 &amp; " US Equity","PX_LAST",$B87,$B87)</f>
        <v>51.83</v>
      </c>
      <c r="AP87" cm="1">
        <f t="array" ref="AP87">_xll.BDH(AP$2 &amp; " US Equity","PX_LAST",$B87,$B87)</f>
        <v>4.74</v>
      </c>
      <c r="AQ87" cm="1">
        <f t="array" ref="AQ87">_xll.BDH(AQ$2 &amp; " US Equity","PX_LAST",$B87,$B87)</f>
        <v>105.03</v>
      </c>
      <c r="AR87" cm="1">
        <f t="array" ref="AR87">_xll.BDH(AR$2 &amp; " US Equity","PX_LAST",$B87,$B87)</f>
        <v>60.64</v>
      </c>
      <c r="AS87" cm="1">
        <f t="array" ref="AS87">_xll.BDH(AS$2 &amp; " US Equity","PX_LAST",$B87,$B87)</f>
        <v>106.97</v>
      </c>
      <c r="AT87" cm="1">
        <f t="array" ref="AT87">_xll.BDH(AT$2 &amp; " US Equity","PX_LAST",$B87,$B87)</f>
        <v>5.75</v>
      </c>
      <c r="AU87" cm="1">
        <f t="array" ref="AU87">_xll.BDH(AU$2 &amp; " US Equity","PX_LAST",$B87,$B87)</f>
        <v>319.05</v>
      </c>
      <c r="AV87" cm="1">
        <f t="array" ref="AV87">_xll.BDH(AV$2 &amp; " US Equity","PX_LAST",$B87,$B87)</f>
        <v>239.07</v>
      </c>
      <c r="AW87" cm="1">
        <f t="array" ref="AW87">_xll.BDH(AW$2 &amp; " US Equity","PX_LAST",$B87,$B87)</f>
        <v>117.85</v>
      </c>
    </row>
    <row r="88" spans="2:49">
      <c r="B88" s="13">
        <v>45986</v>
      </c>
      <c r="C88" cm="1">
        <f t="array" ref="C88">_xll.BDH(C$2 &amp; " US Equity","PX_LAST",$B88,$B88)</f>
        <v>273.87</v>
      </c>
      <c r="D88" cm="1">
        <f t="array" ref="D88">_xll.BDH(D$2 &amp; " PE Equity","PX_LAST",$B88,$B88)</f>
        <v>4.25</v>
      </c>
      <c r="E88" cm="1">
        <f t="array" ref="E88">_xll.BDH(E$2 &amp; " PE Equity","PX_LAST",$B88,$B88)</f>
        <v>1.7</v>
      </c>
      <c r="F88" cm="1">
        <f t="array" ref="F88">_xll.BDH(F$2 &amp; " PE Equity","PX_LAST",$B88,$B88)</f>
        <v>2.29</v>
      </c>
      <c r="G88" cm="1">
        <f t="array" ref="G88">_xll.BDH(G$2 &amp; " US Equity","PX_LAST",$B88,$B88)</f>
        <v>21.62</v>
      </c>
      <c r="H88" cm="1">
        <f t="array" ref="H88">_xll.BDH(H$2 &amp; " PE Equity","PX_LAST",$B88,$B88)</f>
        <v>3.26</v>
      </c>
      <c r="I88" cm="1">
        <f t="array" ref="I88">_xll.BDH(I$2 &amp; " US Equity","PX_LAST",$B88,$B88)</f>
        <v>47.08</v>
      </c>
      <c r="J88" cm="1">
        <f t="array" ref="J88">_xll.BDH(J$2 &amp; " US Equity","PX_LAST",$B88,$B88)</f>
        <v>7.2039</v>
      </c>
      <c r="K88" cm="1">
        <f t="array" ref="K88">_xll.BDH(K$2 &amp; " US Equity","PX_LAST",$B88,$B88)</f>
        <v>50.84</v>
      </c>
      <c r="L88" cm="1">
        <f t="array" ref="L88">_xll.BDH(L$2 &amp; " US Equity","PX_LAST",$B88,$B88)</f>
        <v>53.85</v>
      </c>
      <c r="M88" cm="1">
        <f t="array" ref="M88">_xll.BDH(M$2 &amp; " US Equity","PX_LAST",$B88,$B88)</f>
        <v>251.65</v>
      </c>
      <c r="N88" cm="1">
        <f t="array" ref="N88">_xll.BDH(N$2 &amp; " US Equity","PX_LAST",$B88,$B88)</f>
        <v>34.270000000000003</v>
      </c>
      <c r="O88" cm="1">
        <f t="array" ref="O88">_xll.BDH(O$2 &amp; " US Equity","PX_LAST",$B88,$B88)</f>
        <v>32.549999999999997</v>
      </c>
      <c r="P88" cm="1">
        <f t="array" ref="P88">_xll.BDH(P$2 &amp; " US Equity","PX_LAST",$B88,$B88)</f>
        <v>16.43</v>
      </c>
      <c r="Q88" cm="1">
        <f t="array" ref="Q88">_xll.BDH(Q$2 &amp; " US Equity","PX_LAST",$B88,$B88)</f>
        <v>25.72</v>
      </c>
      <c r="R88" cm="1">
        <f t="array" ref="R88">_xll.BDH(R$2 &amp; " US Equity","PX_LAST",$B88,$B88)</f>
        <v>23.38</v>
      </c>
      <c r="S88" cm="1">
        <f t="array" ref="S88">_xll.BDH(S$2 &amp; " US Equity","PX_LAST",$B88,$B88)</f>
        <v>151.91999999999999</v>
      </c>
      <c r="T88" cm="1">
        <f t="array" ref="T88">_xll.BDH(T$2 &amp; " US Equity","PX_LAST",$B88,$B88)</f>
        <v>61.76</v>
      </c>
      <c r="U88" cm="1">
        <f t="array" ref="U88">_xll.BDH(U$2 &amp; " US Equity","PX_LAST",$B88,$B88)</f>
        <v>117.88</v>
      </c>
      <c r="V88" cm="1">
        <f t="array" ref="V88">_xll.BDH(V$2 &amp; " US Equity","PX_LAST",$B88,$B88)</f>
        <v>44.405000000000001</v>
      </c>
      <c r="W88" cm="1">
        <f t="array" ref="W88">_xll.BDH(W$2 &amp; " US Equity","PX_LAST",$B88,$B88)</f>
        <v>163.55000000000001</v>
      </c>
      <c r="X88" cm="1">
        <f t="array" ref="X88">_xll.BDH(X$2 &amp; " US Equity","PX_LAST",$B88,$B88)</f>
        <v>57.26</v>
      </c>
      <c r="Y88" cm="1">
        <f t="array" ref="Y88">_xll.BDH(Y$2 &amp; " US Equity","PX_LAST",$B88,$B88)</f>
        <v>44.06</v>
      </c>
      <c r="Z88" cm="1">
        <f t="array" ref="Z88">_xll.BDH(Z$2 &amp; " US Equity","PX_LAST",$B88,$B88)</f>
        <v>340.01</v>
      </c>
      <c r="AA88" cm="1">
        <f t="array" ref="AA88">_xll.BDH(AA$2 &amp; " PE Equity","PX_LAST",$B88,$B88)</f>
        <v>0.47</v>
      </c>
      <c r="AB88" cm="1">
        <f t="array" ref="AB88">_xll.BDH(AB$2 &amp; " PE Equity","PX_LAST",$B88,$B88)</f>
        <v>24.2</v>
      </c>
      <c r="AC88" cm="1">
        <f t="array" ref="AC88">_xll.BDH(AC$2 &amp; " US Equity","PX_LAST",$B88,$B88)</f>
        <v>70.459999999999994</v>
      </c>
      <c r="AD88" cm="1">
        <f t="array" ref="AD88">_xll.BDH(AD$2 &amp; " US Equity","PX_LAST",$B88,$B88)</f>
        <v>675.02</v>
      </c>
      <c r="AE88" t="str" cm="1">
        <f t="array" ref="AE88">_xll.BDH(AE$2 &amp; " PE Equity","PX_LAST",$B88,$B88)</f>
        <v>#N/A Connection</v>
      </c>
      <c r="AF88" cm="1">
        <f t="array" ref="AF88">_xll.BDH(AF$2 &amp; " US Equity","PX_LAST",$B88,$B88)</f>
        <v>59.4482</v>
      </c>
      <c r="AG88" cm="1">
        <f t="array" ref="AG88">_xll.BDH(AG$2 &amp; " US Equity","PX_LAST",$B88,$B88)</f>
        <v>13.585100000000001</v>
      </c>
      <c r="AH88" cm="1">
        <f t="array" ref="AH88">_xll.BDH(AH$2 &amp; " US Equity","PX_LAST",$B88,$B88)</f>
        <v>608.89</v>
      </c>
      <c r="AI88" cm="1">
        <f t="array" ref="AI88">_xll.BDH(AI$2 &amp; " US Equity","PX_LAST",$B88,$B88)</f>
        <v>108.35</v>
      </c>
      <c r="AJ88" cm="1">
        <f t="array" ref="AJ88">_xll.BDH(AJ$2 &amp; " US Equity","PX_LAST",$B88,$B88)</f>
        <v>103.31</v>
      </c>
      <c r="AK88" cm="1">
        <f t="array" ref="AK88">_xll.BDH(AK$2 &amp; " US Equity","PX_LAST",$B88,$B88)</f>
        <v>116.7</v>
      </c>
      <c r="AL88" cm="1">
        <f t="array" ref="AL88">_xll.BDH(AL$2 &amp; " US Equity","PX_LAST",$B88,$B88)</f>
        <v>229.67</v>
      </c>
      <c r="AM88" cm="1">
        <f t="array" ref="AM88">_xll.BDH(AM$2 &amp; " US Equity","PX_LAST",$B88,$B88)</f>
        <v>52.01</v>
      </c>
      <c r="AN88" cm="1">
        <f t="array" ref="AN88">_xll.BDH(AN$2 &amp; " US Equity","PX_LAST",$B88,$B88)</f>
        <v>23.535</v>
      </c>
      <c r="AO88" cm="1">
        <f t="array" ref="AO88">_xll.BDH(AO$2 &amp; " US Equity","PX_LAST",$B88,$B88)</f>
        <v>52.44</v>
      </c>
      <c r="AP88" cm="1">
        <f t="array" ref="AP88">_xll.BDH(AP$2 &amp; " US Equity","PX_LAST",$B88,$B88)</f>
        <v>4.6399999999999997</v>
      </c>
      <c r="AQ88" cm="1">
        <f t="array" ref="AQ88">_xll.BDH(AQ$2 &amp; " US Equity","PX_LAST",$B88,$B88)</f>
        <v>106.01</v>
      </c>
      <c r="AR88" cm="1">
        <f t="array" ref="AR88">_xll.BDH(AR$2 &amp; " US Equity","PX_LAST",$B88,$B88)</f>
        <v>60.49</v>
      </c>
      <c r="AS88" cm="1">
        <f t="array" ref="AS88">_xll.BDH(AS$2 &amp; " US Equity","PX_LAST",$B88,$B88)</f>
        <v>104.4</v>
      </c>
      <c r="AT88" cm="1">
        <f t="array" ref="AT88">_xll.BDH(AT$2 &amp; " US Equity","PX_LAST",$B88,$B88)</f>
        <v>5.5</v>
      </c>
      <c r="AU88" cm="1">
        <f t="array" ref="AU88">_xll.BDH(AU$2 &amp; " US Equity","PX_LAST",$B88,$B88)</f>
        <v>326.27999999999997</v>
      </c>
      <c r="AV88" cm="1">
        <f t="array" ref="AV88">_xll.BDH(AV$2 &amp; " US Equity","PX_LAST",$B88,$B88)</f>
        <v>241.84</v>
      </c>
      <c r="AW88" cm="1">
        <f t="array" ref="AW88">_xll.BDH(AW$2 &amp; " US Equity","PX_LAST",$B88,$B88)</f>
        <v>120.81</v>
      </c>
    </row>
    <row r="89" spans="2:49">
      <c r="B89" s="13">
        <v>45987</v>
      </c>
      <c r="C89" cm="1">
        <f t="array" ref="C89">_xll.BDH(C$2 &amp; " US Equity","PX_LAST",$B89,$B89)</f>
        <v>275.83</v>
      </c>
      <c r="D89" cm="1">
        <f t="array" ref="D89">_xll.BDH(D$2 &amp; " PE Equity","PX_LAST",$B89,$B89)</f>
        <v>4.3</v>
      </c>
      <c r="E89" cm="1">
        <f t="array" ref="E89">_xll.BDH(E$2 &amp; " PE Equity","PX_LAST",$B89,$B89)</f>
        <v>1.78</v>
      </c>
      <c r="F89" cm="1">
        <f t="array" ref="F89">_xll.BDH(F$2 &amp; " PE Equity","PX_LAST",$B89,$B89)</f>
        <v>2.46</v>
      </c>
      <c r="G89" cm="1">
        <f t="array" ref="G89">_xll.BDH(G$2 &amp; " US Equity","PX_LAST",$B89,$B89)</f>
        <v>21.14</v>
      </c>
      <c r="H89" cm="1">
        <f t="array" ref="H89">_xll.BDH(H$2 &amp; " PE Equity","PX_LAST",$B89,$B89)</f>
        <v>3.25</v>
      </c>
      <c r="I89" cm="1">
        <f t="array" ref="I89">_xll.BDH(I$2 &amp; " US Equity","PX_LAST",$B89,$B89)</f>
        <v>47.9</v>
      </c>
      <c r="J89" cm="1">
        <f t="array" ref="J89">_xll.BDH(J$2 &amp; " US Equity","PX_LAST",$B89,$B89)</f>
        <v>7.4368999999999996</v>
      </c>
      <c r="K89" cm="1">
        <f t="array" ref="K89">_xll.BDH(K$2 &amp; " US Equity","PX_LAST",$B89,$B89)</f>
        <v>51.59</v>
      </c>
      <c r="L89" cm="1">
        <f t="array" ref="L89">_xll.BDH(L$2 &amp; " US Equity","PX_LAST",$B89,$B89)</f>
        <v>54.24</v>
      </c>
      <c r="M89" cm="1">
        <f t="array" ref="M89">_xll.BDH(M$2 &amp; " US Equity","PX_LAST",$B89,$B89)</f>
        <v>255.87</v>
      </c>
      <c r="N89" cm="1">
        <f t="array" ref="N89">_xll.BDH(N$2 &amp; " US Equity","PX_LAST",$B89,$B89)</f>
        <v>34.75</v>
      </c>
      <c r="O89" cm="1">
        <f t="array" ref="O89">_xll.BDH(O$2 &amp; " US Equity","PX_LAST",$B89,$B89)</f>
        <v>33.47</v>
      </c>
      <c r="P89" cm="1">
        <f t="array" ref="P89">_xll.BDH(P$2 &amp; " US Equity","PX_LAST",$B89,$B89)</f>
        <v>16.8</v>
      </c>
      <c r="Q89" cm="1">
        <f t="array" ref="Q89">_xll.BDH(Q$2 &amp; " US Equity","PX_LAST",$B89,$B89)</f>
        <v>25.71</v>
      </c>
      <c r="R89" cm="1">
        <f t="array" ref="R89">_xll.BDH(R$2 &amp; " US Equity","PX_LAST",$B89,$B89)</f>
        <v>24.28</v>
      </c>
      <c r="S89" cm="1">
        <f t="array" ref="S89">_xll.BDH(S$2 &amp; " US Equity","PX_LAST",$B89,$B89)</f>
        <v>152.80000000000001</v>
      </c>
      <c r="T89" cm="1">
        <f t="array" ref="T89">_xll.BDH(T$2 &amp; " US Equity","PX_LAST",$B89,$B89)</f>
        <v>62.42</v>
      </c>
      <c r="U89" cm="1">
        <f t="array" ref="U89">_xll.BDH(U$2 &amp; " US Equity","PX_LAST",$B89,$B89)</f>
        <v>116.34</v>
      </c>
      <c r="V89" cm="1">
        <f t="array" ref="V89">_xll.BDH(V$2 &amp; " US Equity","PX_LAST",$B89,$B89)</f>
        <v>44.994999999999997</v>
      </c>
      <c r="W89" cm="1">
        <f t="array" ref="W89">_xll.BDH(W$2 &amp; " US Equity","PX_LAST",$B89,$B89)</f>
        <v>165.77</v>
      </c>
      <c r="X89" cm="1">
        <f t="array" ref="X89">_xll.BDH(X$2 &amp; " US Equity","PX_LAST",$B89,$B89)</f>
        <v>57.55</v>
      </c>
      <c r="Y89" cm="1">
        <f t="array" ref="Y89">_xll.BDH(Y$2 &amp; " US Equity","PX_LAST",$B89,$B89)</f>
        <v>44.43</v>
      </c>
      <c r="Z89" cm="1">
        <f t="array" ref="Z89">_xll.BDH(Z$2 &amp; " US Equity","PX_LAST",$B89,$B89)</f>
        <v>347.71</v>
      </c>
      <c r="AA89" cm="1">
        <f t="array" ref="AA89">_xll.BDH(AA$2 &amp; " PE Equity","PX_LAST",$B89,$B89)</f>
        <v>0.52</v>
      </c>
      <c r="AB89" cm="1">
        <f t="array" ref="AB89">_xll.BDH(AB$2 &amp; " PE Equity","PX_LAST",$B89,$B89)</f>
        <v>25</v>
      </c>
      <c r="AC89" cm="1">
        <f t="array" ref="AC89">_xll.BDH(AC$2 &amp; " US Equity","PX_LAST",$B89,$B89)</f>
        <v>70.84</v>
      </c>
      <c r="AD89" cm="1">
        <f t="array" ref="AD89">_xll.BDH(AD$2 &amp; " US Equity","PX_LAST",$B89,$B89)</f>
        <v>679.68</v>
      </c>
      <c r="AE89" t="str" cm="1">
        <f t="array" ref="AE89">_xll.BDH(AE$2 &amp; " PE Equity","PX_LAST",$B89,$B89)</f>
        <v>#N/A Connection</v>
      </c>
      <c r="AF89" cm="1">
        <f t="array" ref="AF89">_xll.BDH(AF$2 &amp; " US Equity","PX_LAST",$B89,$B89)</f>
        <v>59.421700000000001</v>
      </c>
      <c r="AG89" cm="1">
        <f t="array" ref="AG89">_xll.BDH(AG$2 &amp; " US Equity","PX_LAST",$B89,$B89)</f>
        <v>13.9754</v>
      </c>
      <c r="AH89" cm="1">
        <f t="array" ref="AH89">_xll.BDH(AH$2 &amp; " US Equity","PX_LAST",$B89,$B89)</f>
        <v>614.27</v>
      </c>
      <c r="AI89" cm="1">
        <f t="array" ref="AI89">_xll.BDH(AI$2 &amp; " US Equity","PX_LAST",$B89,$B89)</f>
        <v>107.97</v>
      </c>
      <c r="AJ89" cm="1">
        <f t="array" ref="AJ89">_xll.BDH(AJ$2 &amp; " US Equity","PX_LAST",$B89,$B89)</f>
        <v>103.43</v>
      </c>
      <c r="AK89" cm="1">
        <f t="array" ref="AK89">_xll.BDH(AK$2 &amp; " US Equity","PX_LAST",$B89,$B89)</f>
        <v>117.5</v>
      </c>
      <c r="AL89" cm="1">
        <f t="array" ref="AL89">_xll.BDH(AL$2 &amp; " US Equity","PX_LAST",$B89,$B89)</f>
        <v>229.16</v>
      </c>
      <c r="AM89" cm="1">
        <f t="array" ref="AM89">_xll.BDH(AM$2 &amp; " US Equity","PX_LAST",$B89,$B89)</f>
        <v>53.37</v>
      </c>
      <c r="AN89" cm="1">
        <f t="array" ref="AN89">_xll.BDH(AN$2 &amp; " US Equity","PX_LAST",$B89,$B89)</f>
        <v>23.594899999999999</v>
      </c>
      <c r="AO89" cm="1">
        <f t="array" ref="AO89">_xll.BDH(AO$2 &amp; " US Equity","PX_LAST",$B89,$B89)</f>
        <v>52.3</v>
      </c>
      <c r="AP89" cm="1">
        <f t="array" ref="AP89">_xll.BDH(AP$2 &amp; " US Equity","PX_LAST",$B89,$B89)</f>
        <v>4.78</v>
      </c>
      <c r="AQ89" cm="1">
        <f t="array" ref="AQ89">_xll.BDH(AQ$2 &amp; " US Equity","PX_LAST",$B89,$B89)</f>
        <v>108.29</v>
      </c>
      <c r="AR89" cm="1">
        <f t="array" ref="AR89">_xll.BDH(AR$2 &amp; " US Equity","PX_LAST",$B89,$B89)</f>
        <v>62.7</v>
      </c>
      <c r="AS89" cm="1">
        <f t="array" ref="AS89">_xll.BDH(AS$2 &amp; " US Equity","PX_LAST",$B89,$B89)</f>
        <v>106.14</v>
      </c>
      <c r="AT89" cm="1">
        <f t="array" ref="AT89">_xll.BDH(AT$2 &amp; " US Equity","PX_LAST",$B89,$B89)</f>
        <v>5.46</v>
      </c>
      <c r="AU89" cm="1">
        <f t="array" ref="AU89">_xll.BDH(AU$2 &amp; " US Equity","PX_LAST",$B89,$B89)</f>
        <v>329.71</v>
      </c>
      <c r="AV89" cm="1">
        <f t="array" ref="AV89">_xll.BDH(AV$2 &amp; " US Equity","PX_LAST",$B89,$B89)</f>
        <v>243.63</v>
      </c>
      <c r="AW89" cm="1">
        <f t="array" ref="AW89">_xll.BDH(AW$2 &amp; " US Equity","PX_LAST",$B89,$B89)</f>
        <v>120.83</v>
      </c>
    </row>
    <row r="90" spans="2:49">
      <c r="B90" s="13">
        <v>45988</v>
      </c>
      <c r="C90" t="str" cm="1">
        <f t="array" ref="C90">_xll.BDH(C$2 &amp; " US Equity","PX_LAST",$B90,$B90)</f>
        <v>#N/A N/A</v>
      </c>
      <c r="D90" cm="1">
        <f t="array" ref="D90">_xll.BDH(D$2 &amp; " PE Equity","PX_LAST",$B90,$B90)</f>
        <v>4.29</v>
      </c>
      <c r="E90" cm="1">
        <f t="array" ref="E90">_xll.BDH(E$2 &amp; " PE Equity","PX_LAST",$B90,$B90)</f>
        <v>1.77</v>
      </c>
      <c r="F90" cm="1">
        <f t="array" ref="F90">_xll.BDH(F$2 &amp; " PE Equity","PX_LAST",$B90,$B90)</f>
        <v>2.4300000000000002</v>
      </c>
      <c r="G90" t="str" cm="1">
        <f t="array" ref="G90">_xll.BDH(G$2 &amp; " US Equity","PX_LAST",$B90,$B90)</f>
        <v>#N/A N/A</v>
      </c>
      <c r="H90" cm="1">
        <f t="array" ref="H90">_xll.BDH(H$2 &amp; " PE Equity","PX_LAST",$B90,$B90)</f>
        <v>3.34</v>
      </c>
      <c r="I90" t="str" cm="1">
        <f t="array" ref="I90">_xll.BDH(I$2 &amp; " US Equity","PX_LAST",$B90,$B90)</f>
        <v>#N/A N/A</v>
      </c>
      <c r="J90" t="str" cm="1">
        <f t="array" ref="J90">_xll.BDH(J$2 &amp; " US Equity","PX_LAST",$B90,$B90)</f>
        <v>#N/A N/A</v>
      </c>
      <c r="K90" t="str" cm="1">
        <f t="array" ref="K90">_xll.BDH(K$2 &amp; " US Equity","PX_LAST",$B90,$B90)</f>
        <v>#N/A N/A</v>
      </c>
      <c r="L90" t="str" cm="1">
        <f t="array" ref="L90">_xll.BDH(L$2 &amp; " US Equity","PX_LAST",$B90,$B90)</f>
        <v>#N/A N/A</v>
      </c>
      <c r="M90" t="str" cm="1">
        <f t="array" ref="M90">_xll.BDH(M$2 &amp; " US Equity","PX_LAST",$B90,$B90)</f>
        <v>#N/A N/A</v>
      </c>
      <c r="N90" t="str" cm="1">
        <f t="array" ref="N90">_xll.BDH(N$2 &amp; " US Equity","PX_LAST",$B90,$B90)</f>
        <v>#N/A N/A</v>
      </c>
      <c r="O90" t="str" cm="1">
        <f t="array" ref="O90">_xll.BDH(O$2 &amp; " US Equity","PX_LAST",$B90,$B90)</f>
        <v>#N/A N/A</v>
      </c>
      <c r="P90" t="str" cm="1">
        <f t="array" ref="P90">_xll.BDH(P$2 &amp; " US Equity","PX_LAST",$B90,$B90)</f>
        <v>#N/A N/A</v>
      </c>
      <c r="Q90" t="str" cm="1">
        <f t="array" ref="Q90">_xll.BDH(Q$2 &amp; " US Equity","PX_LAST",$B90,$B90)</f>
        <v>#N/A N/A</v>
      </c>
      <c r="R90" t="str" cm="1">
        <f t="array" ref="R90">_xll.BDH(R$2 &amp; " US Equity","PX_LAST",$B90,$B90)</f>
        <v>#N/A N/A</v>
      </c>
      <c r="S90" t="str" cm="1">
        <f t="array" ref="S90">_xll.BDH(S$2 &amp; " US Equity","PX_LAST",$B90,$B90)</f>
        <v>#N/A N/A</v>
      </c>
      <c r="T90" t="str" cm="1">
        <f t="array" ref="T90">_xll.BDH(T$2 &amp; " US Equity","PX_LAST",$B90,$B90)</f>
        <v>#N/A N/A</v>
      </c>
      <c r="U90" t="str" cm="1">
        <f t="array" ref="U90">_xll.BDH(U$2 &amp; " US Equity","PX_LAST",$B90,$B90)</f>
        <v>#N/A N/A</v>
      </c>
      <c r="V90" t="str" cm="1">
        <f t="array" ref="V90">_xll.BDH(V$2 &amp; " US Equity","PX_LAST",$B90,$B90)</f>
        <v>#N/A N/A</v>
      </c>
      <c r="W90" t="str" cm="1">
        <f t="array" ref="W90">_xll.BDH(W$2 &amp; " US Equity","PX_LAST",$B90,$B90)</f>
        <v>#N/A N/A</v>
      </c>
      <c r="X90" t="str" cm="1">
        <f t="array" ref="X90">_xll.BDH(X$2 &amp; " US Equity","PX_LAST",$B90,$B90)</f>
        <v>#N/A N/A</v>
      </c>
      <c r="Y90" t="str" cm="1">
        <f t="array" ref="Y90">_xll.BDH(Y$2 &amp; " US Equity","PX_LAST",$B90,$B90)</f>
        <v>#N/A N/A</v>
      </c>
      <c r="Z90" t="str" cm="1">
        <f t="array" ref="Z90">_xll.BDH(Z$2 &amp; " US Equity","PX_LAST",$B90,$B90)</f>
        <v>#N/A N/A</v>
      </c>
      <c r="AA90" cm="1">
        <f t="array" ref="AA90">_xll.BDH(AA$2 &amp; " PE Equity","PX_LAST",$B90,$B90)</f>
        <v>0.53</v>
      </c>
      <c r="AB90" cm="1">
        <f t="array" ref="AB90">_xll.BDH(AB$2 &amp; " PE Equity","PX_LAST",$B90,$B90)</f>
        <v>24.7</v>
      </c>
      <c r="AC90" t="str" cm="1">
        <f t="array" ref="AC90">_xll.BDH(AC$2 &amp; " US Equity","PX_LAST",$B90,$B90)</f>
        <v>#N/A N/A</v>
      </c>
      <c r="AD90" t="str" cm="1">
        <f t="array" ref="AD90">_xll.BDH(AD$2 &amp; " US Equity","PX_LAST",$B90,$B90)</f>
        <v>#N/A N/A</v>
      </c>
      <c r="AE90" t="str" cm="1">
        <f t="array" ref="AE90">_xll.BDH(AE$2 &amp; " PE Equity","PX_LAST",$B90,$B90)</f>
        <v>#N/A Connection</v>
      </c>
      <c r="AF90" t="str" cm="1">
        <f t="array" ref="AF90">_xll.BDH(AF$2 &amp; " US Equity","PX_LAST",$B90,$B90)</f>
        <v>#N/A N/A</v>
      </c>
      <c r="AG90" t="str" cm="1">
        <f t="array" ref="AG90">_xll.BDH(AG$2 &amp; " US Equity","PX_LAST",$B90,$B90)</f>
        <v>#N/A N/A</v>
      </c>
      <c r="AH90" t="str" cm="1">
        <f t="array" ref="AH90">_xll.BDH(AH$2 &amp; " US Equity","PX_LAST",$B90,$B90)</f>
        <v>#N/A N/A</v>
      </c>
      <c r="AI90" t="str" cm="1">
        <f t="array" ref="AI90">_xll.BDH(AI$2 &amp; " US Equity","PX_LAST",$B90,$B90)</f>
        <v>#N/A N/A</v>
      </c>
      <c r="AJ90" t="str" cm="1">
        <f t="array" ref="AJ90">_xll.BDH(AJ$2 &amp; " US Equity","PX_LAST",$B90,$B90)</f>
        <v>#N/A N/A</v>
      </c>
      <c r="AK90" t="str" cm="1">
        <f t="array" ref="AK90">_xll.BDH(AK$2 &amp; " US Equity","PX_LAST",$B90,$B90)</f>
        <v>#N/A N/A</v>
      </c>
      <c r="AL90" t="str" cm="1">
        <f t="array" ref="AL90">_xll.BDH(AL$2 &amp; " US Equity","PX_LAST",$B90,$B90)</f>
        <v>#N/A N/A</v>
      </c>
      <c r="AM90" t="str" cm="1">
        <f t="array" ref="AM90">_xll.BDH(AM$2 &amp; " US Equity","PX_LAST",$B90,$B90)</f>
        <v>#N/A N/A</v>
      </c>
      <c r="AN90" t="str" cm="1">
        <f t="array" ref="AN90">_xll.BDH(AN$2 &amp; " US Equity","PX_LAST",$B90,$B90)</f>
        <v>#N/A N/A</v>
      </c>
      <c r="AO90" t="str" cm="1">
        <f t="array" ref="AO90">_xll.BDH(AO$2 &amp; " US Equity","PX_LAST",$B90,$B90)</f>
        <v>#N/A N/A</v>
      </c>
      <c r="AP90" t="str" cm="1">
        <f t="array" ref="AP90">_xll.BDH(AP$2 &amp; " US Equity","PX_LAST",$B90,$B90)</f>
        <v>#N/A N/A</v>
      </c>
      <c r="AQ90" t="str" cm="1">
        <f t="array" ref="AQ90">_xll.BDH(AQ$2 &amp; " US Equity","PX_LAST",$B90,$B90)</f>
        <v>#N/A N/A</v>
      </c>
      <c r="AR90" t="str" cm="1">
        <f t="array" ref="AR90">_xll.BDH(AR$2 &amp; " US Equity","PX_LAST",$B90,$B90)</f>
        <v>#N/A N/A</v>
      </c>
      <c r="AS90" t="str" cm="1">
        <f t="array" ref="AS90">_xll.BDH(AS$2 &amp; " US Equity","PX_LAST",$B90,$B90)</f>
        <v>#N/A N/A</v>
      </c>
      <c r="AT90" t="str" cm="1">
        <f t="array" ref="AT90">_xll.BDH(AT$2 &amp; " US Equity","PX_LAST",$B90,$B90)</f>
        <v>#N/A N/A</v>
      </c>
      <c r="AU90" t="str" cm="1">
        <f t="array" ref="AU90">_xll.BDH(AU$2 &amp; " US Equity","PX_LAST",$B90,$B90)</f>
        <v>#N/A N/A</v>
      </c>
      <c r="AV90" t="str" cm="1">
        <f t="array" ref="AV90">_xll.BDH(AV$2 &amp; " US Equity","PX_LAST",$B90,$B90)</f>
        <v>#N/A N/A</v>
      </c>
      <c r="AW90" t="str" cm="1">
        <f t="array" ref="AW90">_xll.BDH(AW$2 &amp; " US Equity","PX_LAST",$B90,$B90)</f>
        <v>#N/A N/A</v>
      </c>
    </row>
    <row r="91" spans="2:49">
      <c r="B91" s="13">
        <v>45989</v>
      </c>
      <c r="C91" cm="1">
        <f t="array" ref="C91">_xll.BDH(C$2 &amp; " US Equity","PX_LAST",$B91,$B91)</f>
        <v>275.68</v>
      </c>
      <c r="D91" cm="1">
        <f t="array" ref="D91">_xll.BDH(D$2 &amp; " PE Equity","PX_LAST",$B91,$B91)</f>
        <v>4.4000000000000004</v>
      </c>
      <c r="E91" cm="1">
        <f t="array" ref="E91">_xll.BDH(E$2 &amp; " PE Equity","PX_LAST",$B91,$B91)</f>
        <v>1.83</v>
      </c>
      <c r="F91" cm="1">
        <f t="array" ref="F91">_xll.BDH(F$2 &amp; " PE Equity","PX_LAST",$B91,$B91)</f>
        <v>2.4</v>
      </c>
      <c r="G91" cm="1">
        <f t="array" ref="G91">_xll.BDH(G$2 &amp; " US Equity","PX_LAST",$B91,$B91)</f>
        <v>21.83</v>
      </c>
      <c r="H91" cm="1">
        <f t="array" ref="H91">_xll.BDH(H$2 &amp; " PE Equity","PX_LAST",$B91,$B91)</f>
        <v>3.35</v>
      </c>
      <c r="I91" cm="1">
        <f t="array" ref="I91">_xll.BDH(I$2 &amp; " US Equity","PX_LAST",$B91,$B91)</f>
        <v>48.91</v>
      </c>
      <c r="J91" cm="1">
        <f t="array" ref="J91">_xll.BDH(J$2 &amp; " US Equity","PX_LAST",$B91,$B91)</f>
        <v>7.5728</v>
      </c>
      <c r="K91" cm="1">
        <f t="array" ref="K91">_xll.BDH(K$2 &amp; " US Equity","PX_LAST",$B91,$B91)</f>
        <v>51.66</v>
      </c>
      <c r="L91" cm="1">
        <f t="array" ref="L91">_xll.BDH(L$2 &amp; " US Equity","PX_LAST",$B91,$B91)</f>
        <v>54.32</v>
      </c>
      <c r="M91" cm="1">
        <f t="array" ref="M91">_xll.BDH(M$2 &amp; " US Equity","PX_LAST",$B91,$B91)</f>
        <v>257.20999999999998</v>
      </c>
      <c r="N91" cm="1">
        <f t="array" ref="N91">_xll.BDH(N$2 &amp; " US Equity","PX_LAST",$B91,$B91)</f>
        <v>35</v>
      </c>
      <c r="O91" cm="1">
        <f t="array" ref="O91">_xll.BDH(O$2 &amp; " US Equity","PX_LAST",$B91,$B91)</f>
        <v>33.61</v>
      </c>
      <c r="P91" cm="1">
        <f t="array" ref="P91">_xll.BDH(P$2 &amp; " US Equity","PX_LAST",$B91,$B91)</f>
        <v>16.989999999999998</v>
      </c>
      <c r="Q91" cm="1">
        <f t="array" ref="Q91">_xll.BDH(Q$2 &amp; " US Equity","PX_LAST",$B91,$B91)</f>
        <v>25.74</v>
      </c>
      <c r="R91" cm="1">
        <f t="array" ref="R91">_xll.BDH(R$2 &amp; " US Equity","PX_LAST",$B91,$B91)</f>
        <v>24.78</v>
      </c>
      <c r="S91" cm="1">
        <f t="array" ref="S91">_xll.BDH(S$2 &amp; " US Equity","PX_LAST",$B91,$B91)</f>
        <v>153.69</v>
      </c>
      <c r="T91" cm="1">
        <f t="array" ref="T91">_xll.BDH(T$2 &amp; " US Equity","PX_LAST",$B91,$B91)</f>
        <v>62.66</v>
      </c>
      <c r="U91" cm="1">
        <f t="array" ref="U91">_xll.BDH(U$2 &amp; " US Equity","PX_LAST",$B91,$B91)</f>
        <v>116.89</v>
      </c>
      <c r="V91" cm="1">
        <f t="array" ref="V91">_xll.BDH(V$2 &amp; " US Equity","PX_LAST",$B91,$B91)</f>
        <v>45.314999999999998</v>
      </c>
      <c r="W91" cm="1">
        <f t="array" ref="W91">_xll.BDH(W$2 &amp; " US Equity","PX_LAST",$B91,$B91)</f>
        <v>168.45</v>
      </c>
      <c r="X91" cm="1">
        <f t="array" ref="X91">_xll.BDH(X$2 &amp; " US Equity","PX_LAST",$B91,$B91)</f>
        <v>57.82</v>
      </c>
      <c r="Y91" cm="1">
        <f t="array" ref="Y91">_xll.BDH(Y$2 &amp; " US Equity","PX_LAST",$B91,$B91)</f>
        <v>44.57</v>
      </c>
      <c r="Z91" cm="1">
        <f t="array" ref="Z91">_xll.BDH(Z$2 &amp; " US Equity","PX_LAST",$B91,$B91)</f>
        <v>352.28</v>
      </c>
      <c r="AA91" cm="1">
        <f t="array" ref="AA91">_xll.BDH(AA$2 &amp; " PE Equity","PX_LAST",$B91,$B91)</f>
        <v>0.55000000000000004</v>
      </c>
      <c r="AB91" cm="1">
        <f t="array" ref="AB91">_xll.BDH(AB$2 &amp; " PE Equity","PX_LAST",$B91,$B91)</f>
        <v>24.75</v>
      </c>
      <c r="AC91" cm="1">
        <f t="array" ref="AC91">_xll.BDH(AC$2 &amp; " US Equity","PX_LAST",$B91,$B91)</f>
        <v>71.319999999999993</v>
      </c>
      <c r="AD91" cm="1">
        <f t="array" ref="AD91">_xll.BDH(AD$2 &amp; " US Equity","PX_LAST",$B91,$B91)</f>
        <v>683.39</v>
      </c>
      <c r="AE91" t="str" cm="1">
        <f t="array" ref="AE91">_xll.BDH(AE$2 &amp; " PE Equity","PX_LAST",$B91,$B91)</f>
        <v>#N/A Connection</v>
      </c>
      <c r="AF91" cm="1">
        <f t="array" ref="AF91">_xll.BDH(AF$2 &amp; " US Equity","PX_LAST",$B91,$B91)</f>
        <v>59.302700000000002</v>
      </c>
      <c r="AG91" cm="1">
        <f t="array" ref="AG91">_xll.BDH(AG$2 &amp; " US Equity","PX_LAST",$B91,$B91)</f>
        <v>14.1595</v>
      </c>
      <c r="AH91" cm="1">
        <f t="array" ref="AH91">_xll.BDH(AH$2 &amp; " US Equity","PX_LAST",$B91,$B91)</f>
        <v>619.25</v>
      </c>
      <c r="AI91" cm="1">
        <f t="array" ref="AI91">_xll.BDH(AI$2 &amp; " US Equity","PX_LAST",$B91,$B91)</f>
        <v>108.25</v>
      </c>
      <c r="AJ91" cm="1">
        <f t="array" ref="AJ91">_xll.BDH(AJ$2 &amp; " US Equity","PX_LAST",$B91,$B91)</f>
        <v>104.47</v>
      </c>
      <c r="AK91" cm="1">
        <f t="array" ref="AK91">_xll.BDH(AK$2 &amp; " US Equity","PX_LAST",$B91,$B91)</f>
        <v>118.23</v>
      </c>
      <c r="AL91" cm="1">
        <f t="array" ref="AL91">_xll.BDH(AL$2 &amp; " US Equity","PX_LAST",$B91,$B91)</f>
        <v>233.22</v>
      </c>
      <c r="AM91" cm="1">
        <f t="array" ref="AM91">_xll.BDH(AM$2 &amp; " US Equity","PX_LAST",$B91,$B91)</f>
        <v>54.54</v>
      </c>
      <c r="AN91" cm="1">
        <f t="array" ref="AN91">_xll.BDH(AN$2 &amp; " US Equity","PX_LAST",$B91,$B91)</f>
        <v>23.790299999999998</v>
      </c>
      <c r="AO91" cm="1">
        <f t="array" ref="AO91">_xll.BDH(AO$2 &amp; " US Equity","PX_LAST",$B91,$B91)</f>
        <v>52.62</v>
      </c>
      <c r="AP91" cm="1">
        <f t="array" ref="AP91">_xll.BDH(AP$2 &amp; " US Equity","PX_LAST",$B91,$B91)</f>
        <v>4.63</v>
      </c>
      <c r="AQ91" cm="1">
        <f t="array" ref="AQ91">_xll.BDH(AQ$2 &amp; " US Equity","PX_LAST",$B91,$B91)</f>
        <v>109.12</v>
      </c>
      <c r="AR91" cm="1">
        <f t="array" ref="AR91">_xll.BDH(AR$2 &amp; " US Equity","PX_LAST",$B91,$B91)</f>
        <v>63.06</v>
      </c>
      <c r="AS91" cm="1">
        <f t="array" ref="AS91">_xll.BDH(AS$2 &amp; " US Equity","PX_LAST",$B91,$B91)</f>
        <v>107.58</v>
      </c>
      <c r="AT91" cm="1">
        <f t="array" ref="AT91">_xll.BDH(AT$2 &amp; " US Equity","PX_LAST",$B91,$B91)</f>
        <v>5.5</v>
      </c>
      <c r="AU91" cm="1">
        <f t="array" ref="AU91">_xll.BDH(AU$2 &amp; " US Equity","PX_LAST",$B91,$B91)</f>
        <v>329.77</v>
      </c>
      <c r="AV91" cm="1">
        <f t="array" ref="AV91">_xll.BDH(AV$2 &amp; " US Equity","PX_LAST",$B91,$B91)</f>
        <v>246.07</v>
      </c>
      <c r="AW91" cm="1">
        <f t="array" ref="AW91">_xll.BDH(AW$2 &amp; " US Equity","PX_LAST",$B91,$B91)</f>
        <v>122.31</v>
      </c>
    </row>
    <row r="92" spans="2:49">
      <c r="B92" s="13">
        <v>45990</v>
      </c>
      <c r="C92" t="str" cm="1">
        <f t="array" ref="C92">_xll.BDH(C$2 &amp; " US Equity","PX_LAST",$B92,$B92)</f>
        <v>#N/A N/A</v>
      </c>
      <c r="D92" t="str" cm="1">
        <f t="array" ref="D92">_xll.BDH(D$2 &amp; " PE Equity","PX_LAST",$B92,$B92)</f>
        <v>#N/A N/A</v>
      </c>
      <c r="E92" t="str" cm="1">
        <f t="array" ref="E92">_xll.BDH(E$2 &amp; " PE Equity","PX_LAST",$B92,$B92)</f>
        <v>#N/A N/A</v>
      </c>
      <c r="F92" t="str" cm="1">
        <f t="array" ref="F92">_xll.BDH(F$2 &amp; " PE Equity","PX_LAST",$B92,$B92)</f>
        <v>#N/A N/A</v>
      </c>
      <c r="G92" t="str" cm="1">
        <f t="array" ref="G92">_xll.BDH(G$2 &amp; " US Equity","PX_LAST",$B92,$B92)</f>
        <v>#N/A N/A</v>
      </c>
      <c r="H92" t="str" cm="1">
        <f t="array" ref="H92">_xll.BDH(H$2 &amp; " PE Equity","PX_LAST",$B92,$B92)</f>
        <v>#N/A N/A</v>
      </c>
      <c r="I92" t="str" cm="1">
        <f t="array" ref="I92">_xll.BDH(I$2 &amp; " US Equity","PX_LAST",$B92,$B92)</f>
        <v>#N/A N/A</v>
      </c>
      <c r="J92" t="str" cm="1">
        <f t="array" ref="J92">_xll.BDH(J$2 &amp; " US Equity","PX_LAST",$B92,$B92)</f>
        <v>#N/A N/A</v>
      </c>
      <c r="K92" t="str" cm="1">
        <f t="array" ref="K92">_xll.BDH(K$2 &amp; " US Equity","PX_LAST",$B92,$B92)</f>
        <v>#N/A N/A</v>
      </c>
      <c r="L92" t="str" cm="1">
        <f t="array" ref="L92">_xll.BDH(L$2 &amp; " US Equity","PX_LAST",$B92,$B92)</f>
        <v>#N/A N/A</v>
      </c>
      <c r="M92" t="str" cm="1">
        <f t="array" ref="M92">_xll.BDH(M$2 &amp; " US Equity","PX_LAST",$B92,$B92)</f>
        <v>#N/A N/A</v>
      </c>
      <c r="N92" t="str" cm="1">
        <f t="array" ref="N92">_xll.BDH(N$2 &amp; " US Equity","PX_LAST",$B92,$B92)</f>
        <v>#N/A N/A</v>
      </c>
      <c r="O92" t="str" cm="1">
        <f t="array" ref="O92">_xll.BDH(O$2 &amp; " US Equity","PX_LAST",$B92,$B92)</f>
        <v>#N/A N/A</v>
      </c>
      <c r="P92" t="str" cm="1">
        <f t="array" ref="P92">_xll.BDH(P$2 &amp; " US Equity","PX_LAST",$B92,$B92)</f>
        <v>#N/A N/A</v>
      </c>
      <c r="Q92" t="str" cm="1">
        <f t="array" ref="Q92">_xll.BDH(Q$2 &amp; " US Equity","PX_LAST",$B92,$B92)</f>
        <v>#N/A N/A</v>
      </c>
      <c r="R92" t="str" cm="1">
        <f t="array" ref="R92">_xll.BDH(R$2 &amp; " US Equity","PX_LAST",$B92,$B92)</f>
        <v>#N/A N/A</v>
      </c>
      <c r="S92" t="str" cm="1">
        <f t="array" ref="S92">_xll.BDH(S$2 &amp; " US Equity","PX_LAST",$B92,$B92)</f>
        <v>#N/A N/A</v>
      </c>
      <c r="T92" t="str" cm="1">
        <f t="array" ref="T92">_xll.BDH(T$2 &amp; " US Equity","PX_LAST",$B92,$B92)</f>
        <v>#N/A N/A</v>
      </c>
      <c r="U92" t="str" cm="1">
        <f t="array" ref="U92">_xll.BDH(U$2 &amp; " US Equity","PX_LAST",$B92,$B92)</f>
        <v>#N/A N/A</v>
      </c>
      <c r="V92" t="str" cm="1">
        <f t="array" ref="V92">_xll.BDH(V$2 &amp; " US Equity","PX_LAST",$B92,$B92)</f>
        <v>#N/A N/A</v>
      </c>
      <c r="W92" t="str" cm="1">
        <f t="array" ref="W92">_xll.BDH(W$2 &amp; " US Equity","PX_LAST",$B92,$B92)</f>
        <v>#N/A N/A</v>
      </c>
      <c r="X92" t="str" cm="1">
        <f t="array" ref="X92">_xll.BDH(X$2 &amp; " US Equity","PX_LAST",$B92,$B92)</f>
        <v>#N/A N/A</v>
      </c>
      <c r="Y92" t="str" cm="1">
        <f t="array" ref="Y92">_xll.BDH(Y$2 &amp; " US Equity","PX_LAST",$B92,$B92)</f>
        <v>#N/A N/A</v>
      </c>
      <c r="Z92" t="str" cm="1">
        <f t="array" ref="Z92">_xll.BDH(Z$2 &amp; " US Equity","PX_LAST",$B92,$B92)</f>
        <v>#N/A N/A</v>
      </c>
      <c r="AA92" t="str" cm="1">
        <f t="array" ref="AA92">_xll.BDH(AA$2 &amp; " PE Equity","PX_LAST",$B92,$B92)</f>
        <v>#N/A N/A</v>
      </c>
      <c r="AB92" t="str" cm="1">
        <f t="array" ref="AB92">_xll.BDH(AB$2 &amp; " PE Equity","PX_LAST",$B92,$B92)</f>
        <v>#N/A N/A</v>
      </c>
      <c r="AC92" t="str" cm="1">
        <f t="array" ref="AC92">_xll.BDH(AC$2 &amp; " US Equity","PX_LAST",$B92,$B92)</f>
        <v>#N/A N/A</v>
      </c>
      <c r="AD92" t="str" cm="1">
        <f t="array" ref="AD92">_xll.BDH(AD$2 &amp; " US Equity","PX_LAST",$B92,$B92)</f>
        <v>#N/A N/A</v>
      </c>
      <c r="AE92" t="str" cm="1">
        <f t="array" ref="AE92">_xll.BDH(AE$2 &amp; " PE Equity","PX_LAST",$B92,$B92)</f>
        <v>#N/A Connection</v>
      </c>
      <c r="AF92" t="str" cm="1">
        <f t="array" ref="AF92">_xll.BDH(AF$2 &amp; " US Equity","PX_LAST",$B92,$B92)</f>
        <v>#N/A N/A</v>
      </c>
      <c r="AG92" t="str" cm="1">
        <f t="array" ref="AG92">_xll.BDH(AG$2 &amp; " US Equity","PX_LAST",$B92,$B92)</f>
        <v>#N/A N/A</v>
      </c>
      <c r="AH92" t="str" cm="1">
        <f t="array" ref="AH92">_xll.BDH(AH$2 &amp; " US Equity","PX_LAST",$B92,$B92)</f>
        <v>#N/A N/A</v>
      </c>
      <c r="AI92" t="str" cm="1">
        <f t="array" ref="AI92">_xll.BDH(AI$2 &amp; " US Equity","PX_LAST",$B92,$B92)</f>
        <v>#N/A N/A</v>
      </c>
      <c r="AJ92" t="str" cm="1">
        <f t="array" ref="AJ92">_xll.BDH(AJ$2 &amp; " US Equity","PX_LAST",$B92,$B92)</f>
        <v>#N/A N/A</v>
      </c>
      <c r="AK92" t="str" cm="1">
        <f t="array" ref="AK92">_xll.BDH(AK$2 &amp; " US Equity","PX_LAST",$B92,$B92)</f>
        <v>#N/A N/A</v>
      </c>
      <c r="AL92" t="str" cm="1">
        <f t="array" ref="AL92">_xll.BDH(AL$2 &amp; " US Equity","PX_LAST",$B92,$B92)</f>
        <v>#N/A N/A</v>
      </c>
      <c r="AM92" t="str" cm="1">
        <f t="array" ref="AM92">_xll.BDH(AM$2 &amp; " US Equity","PX_LAST",$B92,$B92)</f>
        <v>#N/A N/A</v>
      </c>
      <c r="AN92" t="str" cm="1">
        <f t="array" ref="AN92">_xll.BDH(AN$2 &amp; " US Equity","PX_LAST",$B92,$B92)</f>
        <v>#N/A N/A</v>
      </c>
      <c r="AO92" t="str" cm="1">
        <f t="array" ref="AO92">_xll.BDH(AO$2 &amp; " US Equity","PX_LAST",$B92,$B92)</f>
        <v>#N/A N/A</v>
      </c>
      <c r="AP92" t="str" cm="1">
        <f t="array" ref="AP92">_xll.BDH(AP$2 &amp; " US Equity","PX_LAST",$B92,$B92)</f>
        <v>#N/A N/A</v>
      </c>
      <c r="AQ92" t="str" cm="1">
        <f t="array" ref="AQ92">_xll.BDH(AQ$2 &amp; " US Equity","PX_LAST",$B92,$B92)</f>
        <v>#N/A N/A</v>
      </c>
      <c r="AR92" t="str" cm="1">
        <f t="array" ref="AR92">_xll.BDH(AR$2 &amp; " US Equity","PX_LAST",$B92,$B92)</f>
        <v>#N/A N/A</v>
      </c>
      <c r="AS92" t="str" cm="1">
        <f t="array" ref="AS92">_xll.BDH(AS$2 &amp; " US Equity","PX_LAST",$B92,$B92)</f>
        <v>#N/A N/A</v>
      </c>
      <c r="AT92" t="str" cm="1">
        <f t="array" ref="AT92">_xll.BDH(AT$2 &amp; " US Equity","PX_LAST",$B92,$B92)</f>
        <v>#N/A N/A</v>
      </c>
      <c r="AU92" t="str" cm="1">
        <f t="array" ref="AU92">_xll.BDH(AU$2 &amp; " US Equity","PX_LAST",$B92,$B92)</f>
        <v>#N/A N/A</v>
      </c>
      <c r="AV92" t="str" cm="1">
        <f t="array" ref="AV92">_xll.BDH(AV$2 &amp; " US Equity","PX_LAST",$B92,$B92)</f>
        <v>#N/A N/A</v>
      </c>
      <c r="AW92" t="str" cm="1">
        <f t="array" ref="AW92">_xll.BDH(AW$2 &amp; " US Equity","PX_LAST",$B92,$B92)</f>
        <v>#N/A N/A</v>
      </c>
    </row>
    <row r="93" spans="2:49">
      <c r="B93" s="13">
        <v>45991</v>
      </c>
      <c r="C93" t="str" cm="1">
        <f t="array" ref="C93">_xll.BDH(C$2 &amp; " US Equity","PX_LAST",$B93,$B93)</f>
        <v>#N/A N/A</v>
      </c>
      <c r="D93" t="str" cm="1">
        <f t="array" ref="D93">_xll.BDH(D$2 &amp; " PE Equity","PX_LAST",$B93,$B93)</f>
        <v>#N/A N/A</v>
      </c>
      <c r="E93" t="str" cm="1">
        <f t="array" ref="E93">_xll.BDH(E$2 &amp; " PE Equity","PX_LAST",$B93,$B93)</f>
        <v>#N/A N/A</v>
      </c>
      <c r="F93" t="str" cm="1">
        <f t="array" ref="F93">_xll.BDH(F$2 &amp; " PE Equity","PX_LAST",$B93,$B93)</f>
        <v>#N/A N/A</v>
      </c>
      <c r="G93" t="str" cm="1">
        <f t="array" ref="G93">_xll.BDH(G$2 &amp; " US Equity","PX_LAST",$B93,$B93)</f>
        <v>#N/A N/A</v>
      </c>
      <c r="H93" t="str" cm="1">
        <f t="array" ref="H93">_xll.BDH(H$2 &amp; " PE Equity","PX_LAST",$B93,$B93)</f>
        <v>#N/A N/A</v>
      </c>
      <c r="I93" t="str" cm="1">
        <f t="array" ref="I93">_xll.BDH(I$2 &amp; " US Equity","PX_LAST",$B93,$B93)</f>
        <v>#N/A N/A</v>
      </c>
      <c r="J93" t="str" cm="1">
        <f t="array" ref="J93">_xll.BDH(J$2 &amp; " US Equity","PX_LAST",$B93,$B93)</f>
        <v>#N/A N/A</v>
      </c>
      <c r="K93" t="str" cm="1">
        <f t="array" ref="K93">_xll.BDH(K$2 &amp; " US Equity","PX_LAST",$B93,$B93)</f>
        <v>#N/A N/A</v>
      </c>
      <c r="L93" t="str" cm="1">
        <f t="array" ref="L93">_xll.BDH(L$2 &amp; " US Equity","PX_LAST",$B93,$B93)</f>
        <v>#N/A N/A</v>
      </c>
      <c r="M93" t="str" cm="1">
        <f t="array" ref="M93">_xll.BDH(M$2 &amp; " US Equity","PX_LAST",$B93,$B93)</f>
        <v>#N/A N/A</v>
      </c>
      <c r="N93" t="str" cm="1">
        <f t="array" ref="N93">_xll.BDH(N$2 &amp; " US Equity","PX_LAST",$B93,$B93)</f>
        <v>#N/A N/A</v>
      </c>
      <c r="O93" t="str" cm="1">
        <f t="array" ref="O93">_xll.BDH(O$2 &amp; " US Equity","PX_LAST",$B93,$B93)</f>
        <v>#N/A N/A</v>
      </c>
      <c r="P93" t="str" cm="1">
        <f t="array" ref="P93">_xll.BDH(P$2 &amp; " US Equity","PX_LAST",$B93,$B93)</f>
        <v>#N/A N/A</v>
      </c>
      <c r="Q93" t="str" cm="1">
        <f t="array" ref="Q93">_xll.BDH(Q$2 &amp; " US Equity","PX_LAST",$B93,$B93)</f>
        <v>#N/A N/A</v>
      </c>
      <c r="R93" t="str" cm="1">
        <f t="array" ref="R93">_xll.BDH(R$2 &amp; " US Equity","PX_LAST",$B93,$B93)</f>
        <v>#N/A N/A</v>
      </c>
      <c r="S93" t="str" cm="1">
        <f t="array" ref="S93">_xll.BDH(S$2 &amp; " US Equity","PX_LAST",$B93,$B93)</f>
        <v>#N/A N/A</v>
      </c>
      <c r="T93" t="str" cm="1">
        <f t="array" ref="T93">_xll.BDH(T$2 &amp; " US Equity","PX_LAST",$B93,$B93)</f>
        <v>#N/A N/A</v>
      </c>
      <c r="U93" t="str" cm="1">
        <f t="array" ref="U93">_xll.BDH(U$2 &amp; " US Equity","PX_LAST",$B93,$B93)</f>
        <v>#N/A N/A</v>
      </c>
      <c r="V93" t="str" cm="1">
        <f t="array" ref="V93">_xll.BDH(V$2 &amp; " US Equity","PX_LAST",$B93,$B93)</f>
        <v>#N/A N/A</v>
      </c>
      <c r="W93" t="str" cm="1">
        <f t="array" ref="W93">_xll.BDH(W$2 &amp; " US Equity","PX_LAST",$B93,$B93)</f>
        <v>#N/A N/A</v>
      </c>
      <c r="X93" t="str" cm="1">
        <f t="array" ref="X93">_xll.BDH(X$2 &amp; " US Equity","PX_LAST",$B93,$B93)</f>
        <v>#N/A N/A</v>
      </c>
      <c r="Y93" t="str" cm="1">
        <f t="array" ref="Y93">_xll.BDH(Y$2 &amp; " US Equity","PX_LAST",$B93,$B93)</f>
        <v>#N/A N/A</v>
      </c>
      <c r="Z93" t="str" cm="1">
        <f t="array" ref="Z93">_xll.BDH(Z$2 &amp; " US Equity","PX_LAST",$B93,$B93)</f>
        <v>#N/A N/A</v>
      </c>
      <c r="AA93" t="str" cm="1">
        <f t="array" ref="AA93">_xll.BDH(AA$2 &amp; " PE Equity","PX_LAST",$B93,$B93)</f>
        <v>#N/A N/A</v>
      </c>
      <c r="AB93" t="str" cm="1">
        <f t="array" ref="AB93">_xll.BDH(AB$2 &amp; " PE Equity","PX_LAST",$B93,$B93)</f>
        <v>#N/A N/A</v>
      </c>
      <c r="AC93" t="str" cm="1">
        <f t="array" ref="AC93">_xll.BDH(AC$2 &amp; " US Equity","PX_LAST",$B93,$B93)</f>
        <v>#N/A N/A</v>
      </c>
      <c r="AD93" t="str" cm="1">
        <f t="array" ref="AD93">_xll.BDH(AD$2 &amp; " US Equity","PX_LAST",$B93,$B93)</f>
        <v>#N/A N/A</v>
      </c>
      <c r="AE93" t="str" cm="1">
        <f t="array" ref="AE93">_xll.BDH(AE$2 &amp; " PE Equity","PX_LAST",$B93,$B93)</f>
        <v>#N/A Connection</v>
      </c>
      <c r="AF93" t="str" cm="1">
        <f t="array" ref="AF93">_xll.BDH(AF$2 &amp; " US Equity","PX_LAST",$B93,$B93)</f>
        <v>#N/A N/A</v>
      </c>
      <c r="AG93" t="str" cm="1">
        <f t="array" ref="AG93">_xll.BDH(AG$2 &amp; " US Equity","PX_LAST",$B93,$B93)</f>
        <v>#N/A N/A</v>
      </c>
      <c r="AH93" t="str" cm="1">
        <f t="array" ref="AH93">_xll.BDH(AH$2 &amp; " US Equity","PX_LAST",$B93,$B93)</f>
        <v>#N/A N/A</v>
      </c>
      <c r="AI93" t="str" cm="1">
        <f t="array" ref="AI93">_xll.BDH(AI$2 &amp; " US Equity","PX_LAST",$B93,$B93)</f>
        <v>#N/A N/A</v>
      </c>
      <c r="AJ93" t="str" cm="1">
        <f t="array" ref="AJ93">_xll.BDH(AJ$2 &amp; " US Equity","PX_LAST",$B93,$B93)</f>
        <v>#N/A N/A</v>
      </c>
      <c r="AK93" t="str" cm="1">
        <f t="array" ref="AK93">_xll.BDH(AK$2 &amp; " US Equity","PX_LAST",$B93,$B93)</f>
        <v>#N/A N/A</v>
      </c>
      <c r="AL93" t="str" cm="1">
        <f t="array" ref="AL93">_xll.BDH(AL$2 &amp; " US Equity","PX_LAST",$B93,$B93)</f>
        <v>#N/A N/A</v>
      </c>
      <c r="AM93" t="str" cm="1">
        <f t="array" ref="AM93">_xll.BDH(AM$2 &amp; " US Equity","PX_LAST",$B93,$B93)</f>
        <v>#N/A N/A</v>
      </c>
      <c r="AN93" t="str" cm="1">
        <f t="array" ref="AN93">_xll.BDH(AN$2 &amp; " US Equity","PX_LAST",$B93,$B93)</f>
        <v>#N/A N/A</v>
      </c>
      <c r="AO93" t="str" cm="1">
        <f t="array" ref="AO93">_xll.BDH(AO$2 &amp; " US Equity","PX_LAST",$B93,$B93)</f>
        <v>#N/A N/A</v>
      </c>
      <c r="AP93" t="str" cm="1">
        <f t="array" ref="AP93">_xll.BDH(AP$2 &amp; " US Equity","PX_LAST",$B93,$B93)</f>
        <v>#N/A N/A</v>
      </c>
      <c r="AQ93" t="str" cm="1">
        <f t="array" ref="AQ93">_xll.BDH(AQ$2 &amp; " US Equity","PX_LAST",$B93,$B93)</f>
        <v>#N/A N/A</v>
      </c>
      <c r="AR93" t="str" cm="1">
        <f t="array" ref="AR93">_xll.BDH(AR$2 &amp; " US Equity","PX_LAST",$B93,$B93)</f>
        <v>#N/A N/A</v>
      </c>
      <c r="AS93" t="str" cm="1">
        <f t="array" ref="AS93">_xll.BDH(AS$2 &amp; " US Equity","PX_LAST",$B93,$B93)</f>
        <v>#N/A N/A</v>
      </c>
      <c r="AT93" t="str" cm="1">
        <f t="array" ref="AT93">_xll.BDH(AT$2 &amp; " US Equity","PX_LAST",$B93,$B93)</f>
        <v>#N/A N/A</v>
      </c>
      <c r="AU93" t="str" cm="1">
        <f t="array" ref="AU93">_xll.BDH(AU$2 &amp; " US Equity","PX_LAST",$B93,$B93)</f>
        <v>#N/A N/A</v>
      </c>
      <c r="AV93" t="str" cm="1">
        <f t="array" ref="AV93">_xll.BDH(AV$2 &amp; " US Equity","PX_LAST",$B93,$B93)</f>
        <v>#N/A N/A</v>
      </c>
      <c r="AW93" t="str" cm="1">
        <f t="array" ref="AW93">_xll.BDH(AW$2 &amp; " US Equity","PX_LAST",$B93,$B93)</f>
        <v>#N/A N/A</v>
      </c>
    </row>
    <row r="94" spans="2:49">
      <c r="B94" s="13">
        <v>45992</v>
      </c>
      <c r="C94" cm="1">
        <f t="array" ref="C94">_xll.BDH(C$2 &amp; " US Equity","PX_LAST",$B94,$B94)</f>
        <v>273.33999999999997</v>
      </c>
      <c r="D94" cm="1">
        <f t="array" ref="D94">_xll.BDH(D$2 &amp; " PE Equity","PX_LAST",$B94,$B94)</f>
        <v>4.5199999999999996</v>
      </c>
      <c r="E94" cm="1">
        <f t="array" ref="E94">_xll.BDH(E$2 &amp; " PE Equity","PX_LAST",$B94,$B94)</f>
        <v>1.83</v>
      </c>
      <c r="F94" cm="1">
        <f t="array" ref="F94">_xll.BDH(F$2 &amp; " PE Equity","PX_LAST",$B94,$B94)</f>
        <v>2.42</v>
      </c>
      <c r="G94" cm="1">
        <f t="array" ref="G94">_xll.BDH(G$2 &amp; " US Equity","PX_LAST",$B94,$B94)</f>
        <v>21.35</v>
      </c>
      <c r="H94" cm="1">
        <f t="array" ref="H94">_xll.BDH(H$2 &amp; " PE Equity","PX_LAST",$B94,$B94)</f>
        <v>3.37</v>
      </c>
      <c r="I94" cm="1">
        <f t="array" ref="I94">_xll.BDH(I$2 &amp; " US Equity","PX_LAST",$B94,$B94)</f>
        <v>47.64</v>
      </c>
      <c r="J94" cm="1">
        <f t="array" ref="J94">_xll.BDH(J$2 &amp; " US Equity","PX_LAST",$B94,$B94)</f>
        <v>7.4660000000000002</v>
      </c>
      <c r="K94" cm="1">
        <f t="array" ref="K94">_xll.BDH(K$2 &amp; " US Equity","PX_LAST",$B94,$B94)</f>
        <v>51.57</v>
      </c>
      <c r="L94" cm="1">
        <f t="array" ref="L94">_xll.BDH(L$2 &amp; " US Equity","PX_LAST",$B94,$B94)</f>
        <v>54.28</v>
      </c>
      <c r="M94" cm="1">
        <f t="array" ref="M94">_xll.BDH(M$2 &amp; " US Equity","PX_LAST",$B94,$B94)</f>
        <v>254.95</v>
      </c>
      <c r="N94" cm="1">
        <f t="array" ref="N94">_xll.BDH(N$2 &amp; " US Equity","PX_LAST",$B94,$B94)</f>
        <v>34.83</v>
      </c>
      <c r="O94" cm="1">
        <f t="array" ref="O94">_xll.BDH(O$2 &amp; " US Equity","PX_LAST",$B94,$B94)</f>
        <v>33.4</v>
      </c>
      <c r="P94" cm="1">
        <f t="array" ref="P94">_xll.BDH(P$2 &amp; " US Equity","PX_LAST",$B94,$B94)</f>
        <v>16.55</v>
      </c>
      <c r="Q94" cm="1">
        <f t="array" ref="Q94">_xll.BDH(Q$2 &amp; " US Equity","PX_LAST",$B94,$B94)</f>
        <v>25.27</v>
      </c>
      <c r="R94" cm="1">
        <f t="array" ref="R94">_xll.BDH(R$2 &amp; " US Equity","PX_LAST",$B94,$B94)</f>
        <v>25.22</v>
      </c>
      <c r="S94" cm="1">
        <f t="array" ref="S94">_xll.BDH(S$2 &amp; " US Equity","PX_LAST",$B94,$B94)</f>
        <v>151.44</v>
      </c>
      <c r="T94" cm="1">
        <f t="array" ref="T94">_xll.BDH(T$2 &amp; " US Equity","PX_LAST",$B94,$B94)</f>
        <v>62.58</v>
      </c>
      <c r="U94" cm="1">
        <f t="array" ref="U94">_xll.BDH(U$2 &amp; " US Equity","PX_LAST",$B94,$B94)</f>
        <v>119.71</v>
      </c>
      <c r="V94" cm="1">
        <f t="array" ref="V94">_xll.BDH(V$2 &amp; " US Equity","PX_LAST",$B94,$B94)</f>
        <v>44.255000000000003</v>
      </c>
      <c r="W94" cm="1">
        <f t="array" ref="W94">_xll.BDH(W$2 &amp; " US Equity","PX_LAST",$B94,$B94)</f>
        <v>167.49</v>
      </c>
      <c r="X94" cm="1">
        <f t="array" ref="X94">_xll.BDH(X$2 &amp; " US Equity","PX_LAST",$B94,$B94)</f>
        <v>57.42</v>
      </c>
      <c r="Y94" cm="1">
        <f t="array" ref="Y94">_xll.BDH(Y$2 &amp; " US Equity","PX_LAST",$B94,$B94)</f>
        <v>44.41</v>
      </c>
      <c r="Z94" cm="1">
        <f t="array" ref="Z94">_xll.BDH(Z$2 &amp; " US Equity","PX_LAST",$B94,$B94)</f>
        <v>352.96</v>
      </c>
      <c r="AA94" cm="1">
        <f t="array" ref="AA94">_xll.BDH(AA$2 &amp; " PE Equity","PX_LAST",$B94,$B94)</f>
        <v>0.53</v>
      </c>
      <c r="AB94" cm="1">
        <f t="array" ref="AB94">_xll.BDH(AB$2 &amp; " PE Equity","PX_LAST",$B94,$B94)</f>
        <v>24.32</v>
      </c>
      <c r="AC94" cm="1">
        <f t="array" ref="AC94">_xll.BDH(AC$2 &amp; " US Equity","PX_LAST",$B94,$B94)</f>
        <v>70.78</v>
      </c>
      <c r="AD94" cm="1">
        <f t="array" ref="AD94">_xll.BDH(AD$2 &amp; " US Equity","PX_LAST",$B94,$B94)</f>
        <v>680.27</v>
      </c>
      <c r="AE94" t="str" cm="1">
        <f t="array" ref="AE94">_xll.BDH(AE$2 &amp; " PE Equity","PX_LAST",$B94,$B94)</f>
        <v>#N/A Connection</v>
      </c>
      <c r="AF94" cm="1">
        <f t="array" ref="AF94">_xll.BDH(AF$2 &amp; " US Equity","PX_LAST",$B94,$B94)</f>
        <v>58.363999999999997</v>
      </c>
      <c r="AG94" cm="1">
        <f t="array" ref="AG94">_xll.BDH(AG$2 &amp; " US Equity","PX_LAST",$B94,$B94)</f>
        <v>14.05</v>
      </c>
      <c r="AH94" cm="1">
        <f t="array" ref="AH94">_xll.BDH(AH$2 &amp; " US Equity","PX_LAST",$B94,$B94)</f>
        <v>617.16999999999996</v>
      </c>
      <c r="AI94" cm="1">
        <f t="array" ref="AI94">_xll.BDH(AI$2 &amp; " US Equity","PX_LAST",$B94,$B94)</f>
        <v>108.22</v>
      </c>
      <c r="AJ94" cm="1">
        <f t="array" ref="AJ94">_xll.BDH(AJ$2 &amp; " US Equity","PX_LAST",$B94,$B94)</f>
        <v>106.77</v>
      </c>
      <c r="AK94" cm="1">
        <f t="array" ref="AK94">_xll.BDH(AK$2 &amp; " US Equity","PX_LAST",$B94,$B94)</f>
        <v>118.3</v>
      </c>
      <c r="AL94" cm="1">
        <f t="array" ref="AL94">_xll.BDH(AL$2 &amp; " US Equity","PX_LAST",$B94,$B94)</f>
        <v>233.88</v>
      </c>
      <c r="AM94" cm="1">
        <f t="array" ref="AM94">_xll.BDH(AM$2 &amp; " US Equity","PX_LAST",$B94,$B94)</f>
        <v>54.05</v>
      </c>
      <c r="AN94" cm="1">
        <f t="array" ref="AN94">_xll.BDH(AN$2 &amp; " US Equity","PX_LAST",$B94,$B94)</f>
        <v>24.16</v>
      </c>
      <c r="AO94" cm="1">
        <f t="array" ref="AO94">_xll.BDH(AO$2 &amp; " US Equity","PX_LAST",$B94,$B94)</f>
        <v>52.97</v>
      </c>
      <c r="AP94" cm="1">
        <f t="array" ref="AP94">_xll.BDH(AP$2 &amp; " US Equity","PX_LAST",$B94,$B94)</f>
        <v>4.82</v>
      </c>
      <c r="AQ94" cm="1">
        <f t="array" ref="AQ94">_xll.BDH(AQ$2 &amp; " US Equity","PX_LAST",$B94,$B94)</f>
        <v>108.54</v>
      </c>
      <c r="AR94" cm="1">
        <f t="array" ref="AR94">_xll.BDH(AR$2 &amp; " US Equity","PX_LAST",$B94,$B94)</f>
        <v>62.3</v>
      </c>
      <c r="AS94" cm="1">
        <f t="array" ref="AS94">_xll.BDH(AS$2 &amp; " US Equity","PX_LAST",$B94,$B94)</f>
        <v>109.13</v>
      </c>
      <c r="AT94" cm="1">
        <f t="array" ref="AT94">_xll.BDH(AT$2 &amp; " US Equity","PX_LAST",$B94,$B94)</f>
        <v>5.18</v>
      </c>
      <c r="AU94" cm="1">
        <f t="array" ref="AU94">_xll.BDH(AU$2 &amp; " US Equity","PX_LAST",$B94,$B94)</f>
        <v>323.20999999999998</v>
      </c>
      <c r="AV94" cm="1">
        <f t="array" ref="AV94">_xll.BDH(AV$2 &amp; " US Equity","PX_LAST",$B94,$B94)</f>
        <v>249.34</v>
      </c>
      <c r="AW94" cm="1">
        <f t="array" ref="AW94">_xll.BDH(AW$2 &amp; " US Equity","PX_LAST",$B94,$B94)</f>
        <v>122.19</v>
      </c>
    </row>
    <row r="95" spans="2:49">
      <c r="B95" s="13">
        <v>45993</v>
      </c>
      <c r="C95" cm="1">
        <f t="array" ref="C95">_xll.BDH(C$2 &amp; " US Equity","PX_LAST",$B95,$B95)</f>
        <v>270.37</v>
      </c>
      <c r="D95" cm="1">
        <f t="array" ref="D95">_xll.BDH(D$2 &amp; " PE Equity","PX_LAST",$B95,$B95)</f>
        <v>4.5</v>
      </c>
      <c r="E95" t="str" cm="1">
        <f t="array" ref="E95">_xll.BDH(E$2 &amp; " PE Equity","PX_LAST",$B95,$B95)</f>
        <v>#N/A N/A</v>
      </c>
      <c r="F95" cm="1">
        <f t="array" ref="F95">_xll.BDH(F$2 &amp; " PE Equity","PX_LAST",$B95,$B95)</f>
        <v>2.42</v>
      </c>
      <c r="G95" cm="1">
        <f t="array" ref="G95">_xll.BDH(G$2 &amp; " US Equity","PX_LAST",$B95,$B95)</f>
        <v>19.66</v>
      </c>
      <c r="H95" cm="1">
        <f t="array" ref="H95">_xll.BDH(H$2 &amp; " PE Equity","PX_LAST",$B95,$B95)</f>
        <v>3.41</v>
      </c>
      <c r="I95" cm="1">
        <f t="array" ref="I95">_xll.BDH(I$2 &amp; " US Equity","PX_LAST",$B95,$B95)</f>
        <v>47.63</v>
      </c>
      <c r="J95" cm="1">
        <f t="array" ref="J95">_xll.BDH(J$2 &amp; " US Equity","PX_LAST",$B95,$B95)</f>
        <v>7.6601999999999997</v>
      </c>
      <c r="K95" cm="1">
        <f t="array" ref="K95">_xll.BDH(K$2 &amp; " US Equity","PX_LAST",$B95,$B95)</f>
        <v>52.02</v>
      </c>
      <c r="L95" cm="1">
        <f t="array" ref="L95">_xll.BDH(L$2 &amp; " US Equity","PX_LAST",$B95,$B95)</f>
        <v>54.3</v>
      </c>
      <c r="M95" cm="1">
        <f t="array" ref="M95">_xll.BDH(M$2 &amp; " US Equity","PX_LAST",$B95,$B95)</f>
        <v>261.23</v>
      </c>
      <c r="N95" cm="1">
        <f t="array" ref="N95">_xll.BDH(N$2 &amp; " US Equity","PX_LAST",$B95,$B95)</f>
        <v>35.21</v>
      </c>
      <c r="O95" cm="1">
        <f t="array" ref="O95">_xll.BDH(O$2 &amp; " US Equity","PX_LAST",$B95,$B95)</f>
        <v>34.03</v>
      </c>
      <c r="P95" cm="1">
        <f t="array" ref="P95">_xll.BDH(P$2 &amp; " US Equity","PX_LAST",$B95,$B95)</f>
        <v>16.72</v>
      </c>
      <c r="Q95" cm="1">
        <f t="array" ref="Q95">_xll.BDH(Q$2 &amp; " US Equity","PX_LAST",$B95,$B95)</f>
        <v>25.15</v>
      </c>
      <c r="R95" cm="1">
        <f t="array" ref="R95">_xll.BDH(R$2 &amp; " US Equity","PX_LAST",$B95,$B95)</f>
        <v>25.03</v>
      </c>
      <c r="S95" cm="1">
        <f t="array" ref="S95">_xll.BDH(S$2 &amp; " US Equity","PX_LAST",$B95,$B95)</f>
        <v>152.76</v>
      </c>
      <c r="T95" cm="1">
        <f t="array" ref="T95">_xll.BDH(T$2 &amp; " US Equity","PX_LAST",$B95,$B95)</f>
        <v>62.95</v>
      </c>
      <c r="U95" cm="1">
        <f t="array" ref="U95">_xll.BDH(U$2 &amp; " US Equity","PX_LAST",$B95,$B95)</f>
        <v>118.99</v>
      </c>
      <c r="V95" cm="1">
        <f t="array" ref="V95">_xll.BDH(V$2 &amp; " US Equity","PX_LAST",$B95,$B95)</f>
        <v>43.94</v>
      </c>
      <c r="W95" cm="1">
        <f t="array" ref="W95">_xll.BDH(W$2 &amp; " US Equity","PX_LAST",$B95,$B95)</f>
        <v>170.69</v>
      </c>
      <c r="X95" cm="1">
        <f t="array" ref="X95">_xll.BDH(X$2 &amp; " US Equity","PX_LAST",$B95,$B95)</f>
        <v>57.94</v>
      </c>
      <c r="Y95" cm="1">
        <f t="array" ref="Y95">_xll.BDH(Y$2 &amp; " US Equity","PX_LAST",$B95,$B95)</f>
        <v>44.44</v>
      </c>
      <c r="Z95" cm="1">
        <f t="array" ref="Z95">_xll.BDH(Z$2 &amp; " US Equity","PX_LAST",$B95,$B95)</f>
        <v>359.43</v>
      </c>
      <c r="AA95" cm="1">
        <f t="array" ref="AA95">_xll.BDH(AA$2 &amp; " PE Equity","PX_LAST",$B95,$B95)</f>
        <v>0.53</v>
      </c>
      <c r="AB95" cm="1">
        <f t="array" ref="AB95">_xll.BDH(AB$2 &amp; " PE Equity","PX_LAST",$B95,$B95)</f>
        <v>24.75</v>
      </c>
      <c r="AC95" cm="1">
        <f t="array" ref="AC95">_xll.BDH(AC$2 &amp; " US Equity","PX_LAST",$B95,$B95)</f>
        <v>70.790000000000006</v>
      </c>
      <c r="AD95" cm="1">
        <f t="array" ref="AD95">_xll.BDH(AD$2 &amp; " US Equity","PX_LAST",$B95,$B95)</f>
        <v>681.53</v>
      </c>
      <c r="AE95" t="str" cm="1">
        <f t="array" ref="AE95">_xll.BDH(AE$2 &amp; " PE Equity","PX_LAST",$B95,$B95)</f>
        <v>#N/A Connection</v>
      </c>
      <c r="AF95" cm="1">
        <f t="array" ref="AF95">_xll.BDH(AF$2 &amp; " US Equity","PX_LAST",$B95,$B95)</f>
        <v>58.170200000000001</v>
      </c>
      <c r="AG95" cm="1">
        <f t="array" ref="AG95">_xll.BDH(AG$2 &amp; " US Equity","PX_LAST",$B95,$B95)</f>
        <v>14.3</v>
      </c>
      <c r="AH95" cm="1">
        <f t="array" ref="AH95">_xll.BDH(AH$2 &amp; " US Equity","PX_LAST",$B95,$B95)</f>
        <v>622</v>
      </c>
      <c r="AI95" cm="1">
        <f t="array" ref="AI95">_xll.BDH(AI$2 &amp; " US Equity","PX_LAST",$B95,$B95)</f>
        <v>107.85</v>
      </c>
      <c r="AJ95" cm="1">
        <f t="array" ref="AJ95">_xll.BDH(AJ$2 &amp; " US Equity","PX_LAST",$B95,$B95)</f>
        <v>104.83</v>
      </c>
      <c r="AK95" cm="1">
        <f t="array" ref="AK95">_xll.BDH(AK$2 &amp; " US Equity","PX_LAST",$B95,$B95)</f>
        <v>118.22</v>
      </c>
      <c r="AL95" cm="1">
        <f t="array" ref="AL95">_xll.BDH(AL$2 &amp; " US Equity","PX_LAST",$B95,$B95)</f>
        <v>234.42</v>
      </c>
      <c r="AM95" cm="1">
        <f t="array" ref="AM95">_xll.BDH(AM$2 &amp; " US Equity","PX_LAST",$B95,$B95)</f>
        <v>55.3</v>
      </c>
      <c r="AN95" cm="1">
        <f t="array" ref="AN95">_xll.BDH(AN$2 &amp; " US Equity","PX_LAST",$B95,$B95)</f>
        <v>23.925000000000001</v>
      </c>
      <c r="AO95" cm="1">
        <f t="array" ref="AO95">_xll.BDH(AO$2 &amp; " US Equity","PX_LAST",$B95,$B95)</f>
        <v>52.31</v>
      </c>
      <c r="AP95" cm="1">
        <f t="array" ref="AP95">_xll.BDH(AP$2 &amp; " US Equity","PX_LAST",$B95,$B95)</f>
        <v>4.79</v>
      </c>
      <c r="AQ95" cm="1">
        <f t="array" ref="AQ95">_xll.BDH(AQ$2 &amp; " US Equity","PX_LAST",$B95,$B95)</f>
        <v>106.95</v>
      </c>
      <c r="AR95" cm="1">
        <f t="array" ref="AR95">_xll.BDH(AR$2 &amp; " US Equity","PX_LAST",$B95,$B95)</f>
        <v>64.069999999999993</v>
      </c>
      <c r="AS95" cm="1">
        <f t="array" ref="AS95">_xll.BDH(AS$2 &amp; " US Equity","PX_LAST",$B95,$B95)</f>
        <v>109.35</v>
      </c>
      <c r="AT95" cm="1">
        <f t="array" ref="AT95">_xll.BDH(AT$2 &amp; " US Equity","PX_LAST",$B95,$B95)</f>
        <v>5.03</v>
      </c>
      <c r="AU95" cm="1">
        <f t="array" ref="AU95">_xll.BDH(AU$2 &amp; " US Equity","PX_LAST",$B95,$B95)</f>
        <v>324.54000000000002</v>
      </c>
      <c r="AV95" cm="1">
        <f t="array" ref="AV95">_xll.BDH(AV$2 &amp; " US Equity","PX_LAST",$B95,$B95)</f>
        <v>246.83</v>
      </c>
      <c r="AW95" cm="1">
        <f t="array" ref="AW95">_xll.BDH(AW$2 &amp; " US Equity","PX_LAST",$B95,$B95)</f>
        <v>122.68</v>
      </c>
    </row>
    <row r="96" spans="2:49">
      <c r="B96" s="13">
        <v>45994</v>
      </c>
      <c r="C96" cm="1">
        <f t="array" ref="C96">_xll.BDH(C$2 &amp; " US Equity","PX_LAST",$B96,$B96)</f>
        <v>270.45</v>
      </c>
      <c r="D96" cm="1">
        <f t="array" ref="D96">_xll.BDH(D$2 &amp; " PE Equity","PX_LAST",$B96,$B96)</f>
        <v>4.5599999999999996</v>
      </c>
      <c r="E96" t="str" cm="1">
        <f t="array" ref="E96">_xll.BDH(E$2 &amp; " PE Equity","PX_LAST",$B96,$B96)</f>
        <v>#N/A N/A</v>
      </c>
      <c r="F96" cm="1">
        <f t="array" ref="F96">_xll.BDH(F$2 &amp; " PE Equity","PX_LAST",$B96,$B96)</f>
        <v>2.42</v>
      </c>
      <c r="G96" cm="1">
        <f t="array" ref="G96">_xll.BDH(G$2 &amp; " US Equity","PX_LAST",$B96,$B96)</f>
        <v>18.87</v>
      </c>
      <c r="H96" cm="1">
        <f t="array" ref="H96">_xll.BDH(H$2 &amp; " PE Equity","PX_LAST",$B96,$B96)</f>
        <v>3.41</v>
      </c>
      <c r="I96" cm="1">
        <f t="array" ref="I96">_xll.BDH(I$2 &amp; " US Equity","PX_LAST",$B96,$B96)</f>
        <v>47.38</v>
      </c>
      <c r="J96" cm="1">
        <f t="array" ref="J96">_xll.BDH(J$2 &amp; " US Equity","PX_LAST",$B96,$B96)</f>
        <v>7.6893000000000002</v>
      </c>
      <c r="K96" cm="1">
        <f t="array" ref="K96">_xll.BDH(K$2 &amp; " US Equity","PX_LAST",$B96,$B96)</f>
        <v>52.41</v>
      </c>
      <c r="L96" cm="1">
        <f t="array" ref="L96">_xll.BDH(L$2 &amp; " US Equity","PX_LAST",$B96,$B96)</f>
        <v>54.34</v>
      </c>
      <c r="M96" cm="1">
        <f t="array" ref="M96">_xll.BDH(M$2 &amp; " US Equity","PX_LAST",$B96,$B96)</f>
        <v>263.16000000000003</v>
      </c>
      <c r="N96" cm="1">
        <f t="array" ref="N96">_xll.BDH(N$2 &amp; " US Equity","PX_LAST",$B96,$B96)</f>
        <v>35.119999999999997</v>
      </c>
      <c r="O96" cm="1">
        <f t="array" ref="O96">_xll.BDH(O$2 &amp; " US Equity","PX_LAST",$B96,$B96)</f>
        <v>34.200000000000003</v>
      </c>
      <c r="P96" cm="1">
        <f t="array" ref="P96">_xll.BDH(P$2 &amp; " US Equity","PX_LAST",$B96,$B96)</f>
        <v>16.64</v>
      </c>
      <c r="Q96" cm="1">
        <f t="array" ref="Q96">_xll.BDH(Q$2 &amp; " US Equity","PX_LAST",$B96,$B96)</f>
        <v>25.57</v>
      </c>
      <c r="R96" cm="1">
        <f t="array" ref="R96">_xll.BDH(R$2 &amp; " US Equity","PX_LAST",$B96,$B96)</f>
        <v>25.2</v>
      </c>
      <c r="S96" cm="1">
        <f t="array" ref="S96">_xll.BDH(S$2 &amp; " US Equity","PX_LAST",$B96,$B96)</f>
        <v>154.21</v>
      </c>
      <c r="T96" cm="1">
        <f t="array" ref="T96">_xll.BDH(T$2 &amp; " US Equity","PX_LAST",$B96,$B96)</f>
        <v>63.38</v>
      </c>
      <c r="U96" cm="1">
        <f t="array" ref="U96">_xll.BDH(U$2 &amp; " US Equity","PX_LAST",$B96,$B96)</f>
        <v>117.28</v>
      </c>
      <c r="V96" cm="1">
        <f t="array" ref="V96">_xll.BDH(V$2 &amp; " US Equity","PX_LAST",$B96,$B96)</f>
        <v>43.8</v>
      </c>
      <c r="W96" cm="1">
        <f t="array" ref="W96">_xll.BDH(W$2 &amp; " US Equity","PX_LAST",$B96,$B96)</f>
        <v>176.08</v>
      </c>
      <c r="X96" cm="1">
        <f t="array" ref="X96">_xll.BDH(X$2 &amp; " US Equity","PX_LAST",$B96,$B96)</f>
        <v>58.07</v>
      </c>
      <c r="Y96" cm="1">
        <f t="array" ref="Y96">_xll.BDH(Y$2 &amp; " US Equity","PX_LAST",$B96,$B96)</f>
        <v>44.79</v>
      </c>
      <c r="Z96" cm="1">
        <f t="array" ref="Z96">_xll.BDH(Z$2 &amp; " US Equity","PX_LAST",$B96,$B96)</f>
        <v>364.37</v>
      </c>
      <c r="AA96" cm="1">
        <f t="array" ref="AA96">_xll.BDH(AA$2 &amp; " PE Equity","PX_LAST",$B96,$B96)</f>
        <v>0.53</v>
      </c>
      <c r="AB96" cm="1">
        <f t="array" ref="AB96">_xll.BDH(AB$2 &amp; " PE Equity","PX_LAST",$B96,$B96)</f>
        <v>24.75</v>
      </c>
      <c r="AC96" cm="1">
        <f t="array" ref="AC96">_xll.BDH(AC$2 &amp; " US Equity","PX_LAST",$B96,$B96)</f>
        <v>71.59</v>
      </c>
      <c r="AD96" cm="1">
        <f t="array" ref="AD96">_xll.BDH(AD$2 &amp; " US Equity","PX_LAST",$B96,$B96)</f>
        <v>683.89</v>
      </c>
      <c r="AE96" t="str" cm="1">
        <f t="array" ref="AE96">_xll.BDH(AE$2 &amp; " PE Equity","PX_LAST",$B96,$B96)</f>
        <v>#N/A Connection</v>
      </c>
      <c r="AF96" cm="1">
        <f t="array" ref="AF96">_xll.BDH(AF$2 &amp; " US Equity","PX_LAST",$B96,$B96)</f>
        <v>58.303699999999999</v>
      </c>
      <c r="AG96" cm="1">
        <f t="array" ref="AG96">_xll.BDH(AG$2 &amp; " US Equity","PX_LAST",$B96,$B96)</f>
        <v>14.34</v>
      </c>
      <c r="AH96" cm="1">
        <f t="array" ref="AH96">_xll.BDH(AH$2 &amp; " US Equity","PX_LAST",$B96,$B96)</f>
        <v>623.52</v>
      </c>
      <c r="AI96" cm="1">
        <f t="array" ref="AI96">_xll.BDH(AI$2 &amp; " US Equity","PX_LAST",$B96,$B96)</f>
        <v>109.57</v>
      </c>
      <c r="AJ96" cm="1">
        <f t="array" ref="AJ96">_xll.BDH(AJ$2 &amp; " US Equity","PX_LAST",$B96,$B96)</f>
        <v>105.74</v>
      </c>
      <c r="AK96" cm="1">
        <f t="array" ref="AK96">_xll.BDH(AK$2 &amp; " US Equity","PX_LAST",$B96,$B96)</f>
        <v>119.495</v>
      </c>
      <c r="AL96" cm="1">
        <f t="array" ref="AL96">_xll.BDH(AL$2 &amp; " US Equity","PX_LAST",$B96,$B96)</f>
        <v>232.38</v>
      </c>
      <c r="AM96" cm="1">
        <f t="array" ref="AM96">_xll.BDH(AM$2 &amp; " US Equity","PX_LAST",$B96,$B96)</f>
        <v>55.69</v>
      </c>
      <c r="AN96" cm="1">
        <f t="array" ref="AN96">_xll.BDH(AN$2 &amp; " US Equity","PX_LAST",$B96,$B96)</f>
        <v>23.711300000000001</v>
      </c>
      <c r="AO96" cm="1">
        <f t="array" ref="AO96">_xll.BDH(AO$2 &amp; " US Equity","PX_LAST",$B96,$B96)</f>
        <v>51.65</v>
      </c>
      <c r="AP96" cm="1">
        <f t="array" ref="AP96">_xll.BDH(AP$2 &amp; " US Equity","PX_LAST",$B96,$B96)</f>
        <v>4.91</v>
      </c>
      <c r="AQ96" cm="1">
        <f t="array" ref="AQ96">_xll.BDH(AQ$2 &amp; " US Equity","PX_LAST",$B96,$B96)</f>
        <v>106.13</v>
      </c>
      <c r="AR96" cm="1">
        <f t="array" ref="AR96">_xll.BDH(AR$2 &amp; " US Equity","PX_LAST",$B96,$B96)</f>
        <v>64.05</v>
      </c>
      <c r="AS96" cm="1">
        <f t="array" ref="AS96">_xll.BDH(AS$2 &amp; " US Equity","PX_LAST",$B96,$B96)</f>
        <v>103.96</v>
      </c>
      <c r="AT96" cm="1">
        <f t="array" ref="AT96">_xll.BDH(AT$2 &amp; " US Equity","PX_LAST",$B96,$B96)</f>
        <v>4.79</v>
      </c>
      <c r="AU96" cm="1">
        <f t="array" ref="AU96">_xll.BDH(AU$2 &amp; " US Equity","PX_LAST",$B96,$B96)</f>
        <v>339.71</v>
      </c>
      <c r="AV96" cm="1">
        <f t="array" ref="AV96">_xll.BDH(AV$2 &amp; " US Equity","PX_LAST",$B96,$B96)</f>
        <v>244.95</v>
      </c>
      <c r="AW96" cm="1">
        <f t="array" ref="AW96">_xll.BDH(AW$2 &amp; " US Equity","PX_LAST",$B96,$B96)</f>
        <v>126.48</v>
      </c>
    </row>
    <row r="97" spans="2:49">
      <c r="B97" s="13">
        <v>45995</v>
      </c>
      <c r="C97" cm="1">
        <f t="array" ref="C97">_xll.BDH(C$2 &amp; " US Equity","PX_LAST",$B97,$B97)</f>
        <v>274.05</v>
      </c>
      <c r="D97" cm="1">
        <f t="array" ref="D97">_xll.BDH(D$2 &amp; " PE Equity","PX_LAST",$B97,$B97)</f>
        <v>4.58</v>
      </c>
      <c r="E97" cm="1">
        <f t="array" ref="E97">_xll.BDH(E$2 &amp; " PE Equity","PX_LAST",$B97,$B97)</f>
        <v>1.82</v>
      </c>
      <c r="F97" cm="1">
        <f t="array" ref="F97">_xll.BDH(F$2 &amp; " PE Equity","PX_LAST",$B97,$B97)</f>
        <v>2.41</v>
      </c>
      <c r="G97" cm="1">
        <f t="array" ref="G97">_xll.BDH(G$2 &amp; " US Equity","PX_LAST",$B97,$B97)</f>
        <v>19.5</v>
      </c>
      <c r="H97" cm="1">
        <f t="array" ref="H97">_xll.BDH(H$2 &amp; " PE Equity","PX_LAST",$B97,$B97)</f>
        <v>3.44</v>
      </c>
      <c r="I97" cm="1">
        <f t="array" ref="I97">_xll.BDH(I$2 &amp; " US Equity","PX_LAST",$B97,$B97)</f>
        <v>48.04</v>
      </c>
      <c r="J97" cm="1">
        <f t="array" ref="J97">_xll.BDH(J$2 &amp; " US Equity","PX_LAST",$B97,$B97)</f>
        <v>7.835</v>
      </c>
      <c r="K97" cm="1">
        <f t="array" ref="K97">_xll.BDH(K$2 &amp; " US Equity","PX_LAST",$B97,$B97)</f>
        <v>52.49</v>
      </c>
      <c r="L97" cm="1">
        <f t="array" ref="L97">_xll.BDH(L$2 &amp; " US Equity","PX_LAST",$B97,$B97)</f>
        <v>54.33</v>
      </c>
      <c r="M97" cm="1">
        <f t="array" ref="M97">_xll.BDH(M$2 &amp; " US Equity","PX_LAST",$B97,$B97)</f>
        <v>277.64999999999998</v>
      </c>
      <c r="N97" cm="1">
        <f t="array" ref="N97">_xll.BDH(N$2 &amp; " US Equity","PX_LAST",$B97,$B97)</f>
        <v>35.200000000000003</v>
      </c>
      <c r="O97" cm="1">
        <f t="array" ref="O97">_xll.BDH(O$2 &amp; " US Equity","PX_LAST",$B97,$B97)</f>
        <v>34.72</v>
      </c>
      <c r="P97" cm="1">
        <f t="array" ref="P97">_xll.BDH(P$2 &amp; " US Equity","PX_LAST",$B97,$B97)</f>
        <v>16.97</v>
      </c>
      <c r="Q97" cm="1">
        <f t="array" ref="Q97">_xll.BDH(Q$2 &amp; " US Equity","PX_LAST",$B97,$B97)</f>
        <v>25.7</v>
      </c>
      <c r="R97" cm="1">
        <f t="array" ref="R97">_xll.BDH(R$2 &amp; " US Equity","PX_LAST",$B97,$B97)</f>
        <v>25.31</v>
      </c>
      <c r="S97" cm="1">
        <f t="array" ref="S97">_xll.BDH(S$2 &amp; " US Equity","PX_LAST",$B97,$B97)</f>
        <v>155.01</v>
      </c>
      <c r="T97" cm="1">
        <f t="array" ref="T97">_xll.BDH(T$2 &amp; " US Equity","PX_LAST",$B97,$B97)</f>
        <v>63.35</v>
      </c>
      <c r="U97" cm="1">
        <f t="array" ref="U97">_xll.BDH(U$2 &amp; " US Equity","PX_LAST",$B97,$B97)</f>
        <v>118.72</v>
      </c>
      <c r="V97" cm="1">
        <f t="array" ref="V97">_xll.BDH(V$2 &amp; " US Equity","PX_LAST",$B97,$B97)</f>
        <v>43.71</v>
      </c>
      <c r="W97" cm="1">
        <f t="array" ref="W97">_xll.BDH(W$2 &amp; " US Equity","PX_LAST",$B97,$B97)</f>
        <v>177.92</v>
      </c>
      <c r="X97" cm="1">
        <f t="array" ref="X97">_xll.BDH(X$2 &amp; " US Equity","PX_LAST",$B97,$B97)</f>
        <v>57.91</v>
      </c>
      <c r="Y97" cm="1">
        <f t="array" ref="Y97">_xll.BDH(Y$2 &amp; " US Equity","PX_LAST",$B97,$B97)</f>
        <v>44.75</v>
      </c>
      <c r="Z97" cm="1">
        <f t="array" ref="Z97">_xll.BDH(Z$2 &amp; " US Equity","PX_LAST",$B97,$B97)</f>
        <v>361.6</v>
      </c>
      <c r="AA97" cm="1">
        <f t="array" ref="AA97">_xll.BDH(AA$2 &amp; " PE Equity","PX_LAST",$B97,$B97)</f>
        <v>0.53</v>
      </c>
      <c r="AB97" cm="1">
        <f t="array" ref="AB97">_xll.BDH(AB$2 &amp; " PE Equity","PX_LAST",$B97,$B97)</f>
        <v>24.35</v>
      </c>
      <c r="AC97" cm="1">
        <f t="array" ref="AC97">_xll.BDH(AC$2 &amp; " US Equity","PX_LAST",$B97,$B97)</f>
        <v>71.540000000000006</v>
      </c>
      <c r="AD97" cm="1">
        <f t="array" ref="AD97">_xll.BDH(AD$2 &amp; " US Equity","PX_LAST",$B97,$B97)</f>
        <v>684.39</v>
      </c>
      <c r="AE97" t="str" cm="1">
        <f t="array" ref="AE97">_xll.BDH(AE$2 &amp; " PE Equity","PX_LAST",$B97,$B97)</f>
        <v>#N/A Connection</v>
      </c>
      <c r="AF97" cm="1">
        <f t="array" ref="AF97">_xll.BDH(AF$2 &amp; " US Equity","PX_LAST",$B97,$B97)</f>
        <v>58.169199999999996</v>
      </c>
      <c r="AG97" cm="1">
        <f t="array" ref="AG97">_xll.BDH(AG$2 &amp; " US Equity","PX_LAST",$B97,$B97)</f>
        <v>14.59</v>
      </c>
      <c r="AH97" cm="1">
        <f t="array" ref="AH97">_xll.BDH(AH$2 &amp; " US Equity","PX_LAST",$B97,$B97)</f>
        <v>622.94000000000005</v>
      </c>
      <c r="AI97" cm="1">
        <f t="array" ref="AI97">_xll.BDH(AI$2 &amp; " US Equity","PX_LAST",$B97,$B97)</f>
        <v>110.25</v>
      </c>
      <c r="AJ97" cm="1">
        <f t="array" ref="AJ97">_xll.BDH(AJ$2 &amp; " US Equity","PX_LAST",$B97,$B97)</f>
        <v>105.47</v>
      </c>
      <c r="AK97" cm="1">
        <f t="array" ref="AK97">_xll.BDH(AK$2 &amp; " US Equity","PX_LAST",$B97,$B97)</f>
        <v>119.07</v>
      </c>
      <c r="AL97" cm="1">
        <f t="array" ref="AL97">_xll.BDH(AL$2 &amp; " US Equity","PX_LAST",$B97,$B97)</f>
        <v>229.11</v>
      </c>
      <c r="AM97" cm="1">
        <f t="array" ref="AM97">_xll.BDH(AM$2 &amp; " US Equity","PX_LAST",$B97,$B97)</f>
        <v>55.51</v>
      </c>
      <c r="AN97" cm="1">
        <f t="array" ref="AN97">_xll.BDH(AN$2 &amp; " US Equity","PX_LAST",$B97,$B97)</f>
        <v>23.852699999999999</v>
      </c>
      <c r="AO97" cm="1">
        <f t="array" ref="AO97">_xll.BDH(AO$2 &amp; " US Equity","PX_LAST",$B97,$B97)</f>
        <v>52.18</v>
      </c>
      <c r="AP97" cm="1">
        <f t="array" ref="AP97">_xll.BDH(AP$2 &amp; " US Equity","PX_LAST",$B97,$B97)</f>
        <v>4.96</v>
      </c>
      <c r="AQ97" cm="1">
        <f t="array" ref="AQ97">_xll.BDH(AQ$2 &amp; " US Equity","PX_LAST",$B97,$B97)</f>
        <v>104.94</v>
      </c>
      <c r="AR97" cm="1">
        <f t="array" ref="AR97">_xll.BDH(AR$2 &amp; " US Equity","PX_LAST",$B97,$B97)</f>
        <v>64.400000000000006</v>
      </c>
      <c r="AS97" cm="1">
        <f t="array" ref="AS97">_xll.BDH(AS$2 &amp; " US Equity","PX_LAST",$B97,$B97)</f>
        <v>103.22</v>
      </c>
      <c r="AT97" cm="1">
        <f t="array" ref="AT97">_xll.BDH(AT$2 &amp; " US Equity","PX_LAST",$B97,$B97)</f>
        <v>5.01</v>
      </c>
      <c r="AU97" cm="1">
        <f t="array" ref="AU97">_xll.BDH(AU$2 &amp; " US Equity","PX_LAST",$B97,$B97)</f>
        <v>333.49</v>
      </c>
      <c r="AV97" cm="1">
        <f t="array" ref="AV97">_xll.BDH(AV$2 &amp; " US Equity","PX_LAST",$B97,$B97)</f>
        <v>247.51</v>
      </c>
      <c r="AW97" cm="1">
        <f t="array" ref="AW97">_xll.BDH(AW$2 &amp; " US Equity","PX_LAST",$B97,$B97)</f>
        <v>128.43</v>
      </c>
    </row>
    <row r="98" spans="2:49">
      <c r="B98" s="13">
        <v>45996</v>
      </c>
      <c r="C98" cm="1">
        <f t="array" ref="C98">_xll.BDH(C$2 &amp; " US Equity","PX_LAST",$B98,$B98)</f>
        <v>274.29000000000002</v>
      </c>
      <c r="D98" cm="1">
        <f t="array" ref="D98">_xll.BDH(D$2 &amp; " PE Equity","PX_LAST",$B98,$B98)</f>
        <v>4.54</v>
      </c>
      <c r="E98" cm="1">
        <f t="array" ref="E98">_xll.BDH(E$2 &amp; " PE Equity","PX_LAST",$B98,$B98)</f>
        <v>1.82</v>
      </c>
      <c r="F98" cm="1">
        <f t="array" ref="F98">_xll.BDH(F$2 &amp; " PE Equity","PX_LAST",$B98,$B98)</f>
        <v>2.39</v>
      </c>
      <c r="G98" cm="1">
        <f t="array" ref="G98">_xll.BDH(G$2 &amp; " US Equity","PX_LAST",$B98,$B98)</f>
        <v>20</v>
      </c>
      <c r="H98" cm="1">
        <f t="array" ref="H98">_xll.BDH(H$2 &amp; " PE Equity","PX_LAST",$B98,$B98)</f>
        <v>3.47</v>
      </c>
      <c r="I98" cm="1">
        <f t="array" ref="I98">_xll.BDH(I$2 &amp; " US Equity","PX_LAST",$B98,$B98)</f>
        <v>47.69</v>
      </c>
      <c r="J98" cm="1">
        <f t="array" ref="J98">_xll.BDH(J$2 &amp; " US Equity","PX_LAST",$B98,$B98)</f>
        <v>7.3300999999999998</v>
      </c>
      <c r="K98" cm="1">
        <f t="array" ref="K98">_xll.BDH(K$2 &amp; " US Equity","PX_LAST",$B98,$B98)</f>
        <v>52.29</v>
      </c>
      <c r="L98" cm="1">
        <f t="array" ref="L98">_xll.BDH(L$2 &amp; " US Equity","PX_LAST",$B98,$B98)</f>
        <v>54.74</v>
      </c>
      <c r="M98" cm="1">
        <f t="array" ref="M98">_xll.BDH(M$2 &amp; " US Equity","PX_LAST",$B98,$B98)</f>
        <v>272.3</v>
      </c>
      <c r="N98" cm="1">
        <f t="array" ref="N98">_xll.BDH(N$2 &amp; " US Equity","PX_LAST",$B98,$B98)</f>
        <v>35.11</v>
      </c>
      <c r="O98" cm="1">
        <f t="array" ref="O98">_xll.BDH(O$2 &amp; " US Equity","PX_LAST",$B98,$B98)</f>
        <v>32.53</v>
      </c>
      <c r="P98" cm="1">
        <f t="array" ref="P98">_xll.BDH(P$2 &amp; " US Equity","PX_LAST",$B98,$B98)</f>
        <v>16.87</v>
      </c>
      <c r="Q98" cm="1">
        <f t="array" ref="Q98">_xll.BDH(Q$2 &amp; " US Equity","PX_LAST",$B98,$B98)</f>
        <v>26.03</v>
      </c>
      <c r="R98" cm="1">
        <f t="array" ref="R98">_xll.BDH(R$2 &amp; " US Equity","PX_LAST",$B98,$B98)</f>
        <v>25.25</v>
      </c>
      <c r="S98" cm="1">
        <f t="array" ref="S98">_xll.BDH(S$2 &amp; " US Equity","PX_LAST",$B98,$B98)</f>
        <v>154.58000000000001</v>
      </c>
      <c r="T98" cm="1">
        <f t="array" ref="T98">_xll.BDH(T$2 &amp; " US Equity","PX_LAST",$B98,$B98)</f>
        <v>63.34</v>
      </c>
      <c r="U98" cm="1">
        <f t="array" ref="U98">_xll.BDH(U$2 &amp; " US Equity","PX_LAST",$B98,$B98)</f>
        <v>125.66</v>
      </c>
      <c r="V98" cm="1">
        <f t="array" ref="V98">_xll.BDH(V$2 &amp; " US Equity","PX_LAST",$B98,$B98)</f>
        <v>43.3</v>
      </c>
      <c r="W98" cm="1">
        <f t="array" ref="W98">_xll.BDH(W$2 &amp; " US Equity","PX_LAST",$B98,$B98)</f>
        <v>181.76</v>
      </c>
      <c r="X98" cm="1">
        <f t="array" ref="X98">_xll.BDH(X$2 &amp; " US Equity","PX_LAST",$B98,$B98)</f>
        <v>58.03</v>
      </c>
      <c r="Y98" cm="1">
        <f t="array" ref="Y98">_xll.BDH(Y$2 &amp; " US Equity","PX_LAST",$B98,$B98)</f>
        <v>44.62</v>
      </c>
      <c r="Z98" cm="1">
        <f t="array" ref="Z98">_xll.BDH(Z$2 &amp; " US Equity","PX_LAST",$B98,$B98)</f>
        <v>364.42</v>
      </c>
      <c r="AA98" cm="1">
        <f t="array" ref="AA98">_xll.BDH(AA$2 &amp; " PE Equity","PX_LAST",$B98,$B98)</f>
        <v>0.54</v>
      </c>
      <c r="AB98" cm="1">
        <f t="array" ref="AB98">_xll.BDH(AB$2 &amp; " PE Equity","PX_LAST",$B98,$B98)</f>
        <v>24.85</v>
      </c>
      <c r="AC98" cm="1">
        <f t="array" ref="AC98">_xll.BDH(AC$2 &amp; " US Equity","PX_LAST",$B98,$B98)</f>
        <v>71.680000000000007</v>
      </c>
      <c r="AD98" cm="1">
        <f t="array" ref="AD98">_xll.BDH(AD$2 &amp; " US Equity","PX_LAST",$B98,$B98)</f>
        <v>685.69</v>
      </c>
      <c r="AE98" t="str" cm="1">
        <f t="array" ref="AE98">_xll.BDH(AE$2 &amp; " PE Equity","PX_LAST",$B98,$B98)</f>
        <v>#N/A Connection</v>
      </c>
      <c r="AF98" cm="1">
        <f t="array" ref="AF98">_xll.BDH(AF$2 &amp; " US Equity","PX_LAST",$B98,$B98)</f>
        <v>58.007100000000001</v>
      </c>
      <c r="AG98" cm="1">
        <f t="array" ref="AG98">_xll.BDH(AG$2 &amp; " US Equity","PX_LAST",$B98,$B98)</f>
        <v>13.42</v>
      </c>
      <c r="AH98" cm="1">
        <f t="array" ref="AH98">_xll.BDH(AH$2 &amp; " US Equity","PX_LAST",$B98,$B98)</f>
        <v>625.48</v>
      </c>
      <c r="AI98" cm="1">
        <f t="array" ref="AI98">_xll.BDH(AI$2 &amp; " US Equity","PX_LAST",$B98,$B98)</f>
        <v>111.68</v>
      </c>
      <c r="AJ98" cm="1">
        <f t="array" ref="AJ98">_xll.BDH(AJ$2 &amp; " US Equity","PX_LAST",$B98,$B98)</f>
        <v>105.3</v>
      </c>
      <c r="AK98" cm="1">
        <f t="array" ref="AK98">_xll.BDH(AK$2 &amp; " US Equity","PX_LAST",$B98,$B98)</f>
        <v>119.73</v>
      </c>
      <c r="AL98" cm="1">
        <f t="array" ref="AL98">_xll.BDH(AL$2 &amp; " US Equity","PX_LAST",$B98,$B98)</f>
        <v>229.53</v>
      </c>
      <c r="AM98" cm="1">
        <f t="array" ref="AM98">_xll.BDH(AM$2 &amp; " US Equity","PX_LAST",$B98,$B98)</f>
        <v>56.15</v>
      </c>
      <c r="AN98" cm="1">
        <f t="array" ref="AN98">_xll.BDH(AN$2 &amp; " US Equity","PX_LAST",$B98,$B98)</f>
        <v>24.19</v>
      </c>
      <c r="AO98" cm="1">
        <f t="array" ref="AO98">_xll.BDH(AO$2 &amp; " US Equity","PX_LAST",$B98,$B98)</f>
        <v>52.92</v>
      </c>
      <c r="AP98" cm="1">
        <f t="array" ref="AP98">_xll.BDH(AP$2 &amp; " US Equity","PX_LAST",$B98,$B98)</f>
        <v>4.97</v>
      </c>
      <c r="AQ98" cm="1">
        <f t="array" ref="AQ98">_xll.BDH(AQ$2 &amp; " US Equity","PX_LAST",$B98,$B98)</f>
        <v>102.96</v>
      </c>
      <c r="AR98" cm="1">
        <f t="array" ref="AR98">_xll.BDH(AR$2 &amp; " US Equity","PX_LAST",$B98,$B98)</f>
        <v>62.41</v>
      </c>
      <c r="AS98" cm="1">
        <f t="array" ref="AS98">_xll.BDH(AS$2 &amp; " US Equity","PX_LAST",$B98,$B98)</f>
        <v>100.24</v>
      </c>
      <c r="AT98" cm="1">
        <f t="array" ref="AT98">_xll.BDH(AT$2 &amp; " US Equity","PX_LAST",$B98,$B98)</f>
        <v>5.04</v>
      </c>
      <c r="AU98" cm="1">
        <f t="array" ref="AU98">_xll.BDH(AU$2 &amp; " US Equity","PX_LAST",$B98,$B98)</f>
        <v>330.91</v>
      </c>
      <c r="AV98" cm="1">
        <f t="array" ref="AV98">_xll.BDH(AV$2 &amp; " US Equity","PX_LAST",$B98,$B98)</f>
        <v>247.88</v>
      </c>
      <c r="AW98" cm="1">
        <f t="array" ref="AW98">_xll.BDH(AW$2 &amp; " US Equity","PX_LAST",$B98,$B98)</f>
        <v>129.41999999999999</v>
      </c>
    </row>
    <row r="99" spans="2:49">
      <c r="B99" s="13">
        <v>45997</v>
      </c>
      <c r="C99" t="str" cm="1">
        <f t="array" ref="C99">_xll.BDH(C$2 &amp; " US Equity","PX_LAST",$B99,$B99)</f>
        <v>#N/A N/A</v>
      </c>
      <c r="D99" t="str" cm="1">
        <f t="array" ref="D99">_xll.BDH(D$2 &amp; " PE Equity","PX_LAST",$B99,$B99)</f>
        <v>#N/A N/A</v>
      </c>
      <c r="E99" t="str" cm="1">
        <f t="array" ref="E99">_xll.BDH(E$2 &amp; " PE Equity","PX_LAST",$B99,$B99)</f>
        <v>#N/A N/A</v>
      </c>
      <c r="F99" t="str" cm="1">
        <f t="array" ref="F99">_xll.BDH(F$2 &amp; " PE Equity","PX_LAST",$B99,$B99)</f>
        <v>#N/A N/A</v>
      </c>
      <c r="G99" t="str" cm="1">
        <f t="array" ref="G99">_xll.BDH(G$2 &amp; " US Equity","PX_LAST",$B99,$B99)</f>
        <v>#N/A N/A</v>
      </c>
      <c r="H99" t="str" cm="1">
        <f t="array" ref="H99">_xll.BDH(H$2 &amp; " PE Equity","PX_LAST",$B99,$B99)</f>
        <v>#N/A N/A</v>
      </c>
      <c r="I99" t="str" cm="1">
        <f t="array" ref="I99">_xll.BDH(I$2 &amp; " US Equity","PX_LAST",$B99,$B99)</f>
        <v>#N/A N/A</v>
      </c>
      <c r="J99" t="str" cm="1">
        <f t="array" ref="J99">_xll.BDH(J$2 &amp; " US Equity","PX_LAST",$B99,$B99)</f>
        <v>#N/A N/A</v>
      </c>
      <c r="K99" t="str" cm="1">
        <f t="array" ref="K99">_xll.BDH(K$2 &amp; " US Equity","PX_LAST",$B99,$B99)</f>
        <v>#N/A N/A</v>
      </c>
      <c r="L99" t="str" cm="1">
        <f t="array" ref="L99">_xll.BDH(L$2 &amp; " US Equity","PX_LAST",$B99,$B99)</f>
        <v>#N/A N/A</v>
      </c>
      <c r="M99" t="str" cm="1">
        <f t="array" ref="M99">_xll.BDH(M$2 &amp; " US Equity","PX_LAST",$B99,$B99)</f>
        <v>#N/A N/A</v>
      </c>
      <c r="N99" t="str" cm="1">
        <f t="array" ref="N99">_xll.BDH(N$2 &amp; " US Equity","PX_LAST",$B99,$B99)</f>
        <v>#N/A N/A</v>
      </c>
      <c r="O99" t="str" cm="1">
        <f t="array" ref="O99">_xll.BDH(O$2 &amp; " US Equity","PX_LAST",$B99,$B99)</f>
        <v>#N/A N/A</v>
      </c>
      <c r="P99" t="str" cm="1">
        <f t="array" ref="P99">_xll.BDH(P$2 &amp; " US Equity","PX_LAST",$B99,$B99)</f>
        <v>#N/A N/A</v>
      </c>
      <c r="Q99" t="str" cm="1">
        <f t="array" ref="Q99">_xll.BDH(Q$2 &amp; " US Equity","PX_LAST",$B99,$B99)</f>
        <v>#N/A N/A</v>
      </c>
      <c r="R99" t="str" cm="1">
        <f t="array" ref="R99">_xll.BDH(R$2 &amp; " US Equity","PX_LAST",$B99,$B99)</f>
        <v>#N/A N/A</v>
      </c>
      <c r="S99" t="str" cm="1">
        <f t="array" ref="S99">_xll.BDH(S$2 &amp; " US Equity","PX_LAST",$B99,$B99)</f>
        <v>#N/A N/A</v>
      </c>
      <c r="T99" t="str" cm="1">
        <f t="array" ref="T99">_xll.BDH(T$2 &amp; " US Equity","PX_LAST",$B99,$B99)</f>
        <v>#N/A N/A</v>
      </c>
      <c r="U99" t="str" cm="1">
        <f t="array" ref="U99">_xll.BDH(U$2 &amp; " US Equity","PX_LAST",$B99,$B99)</f>
        <v>#N/A N/A</v>
      </c>
      <c r="V99" t="str" cm="1">
        <f t="array" ref="V99">_xll.BDH(V$2 &amp; " US Equity","PX_LAST",$B99,$B99)</f>
        <v>#N/A N/A</v>
      </c>
      <c r="W99" t="str" cm="1">
        <f t="array" ref="W99">_xll.BDH(W$2 &amp; " US Equity","PX_LAST",$B99,$B99)</f>
        <v>#N/A N/A</v>
      </c>
      <c r="X99" t="str" cm="1">
        <f t="array" ref="X99">_xll.BDH(X$2 &amp; " US Equity","PX_LAST",$B99,$B99)</f>
        <v>#N/A N/A</v>
      </c>
      <c r="Y99" t="str" cm="1">
        <f t="array" ref="Y99">_xll.BDH(Y$2 &amp; " US Equity","PX_LAST",$B99,$B99)</f>
        <v>#N/A N/A</v>
      </c>
      <c r="Z99" t="str" cm="1">
        <f t="array" ref="Z99">_xll.BDH(Z$2 &amp; " US Equity","PX_LAST",$B99,$B99)</f>
        <v>#N/A N/A</v>
      </c>
      <c r="AA99" t="str" cm="1">
        <f t="array" ref="AA99">_xll.BDH(AA$2 &amp; " PE Equity","PX_LAST",$B99,$B99)</f>
        <v>#N/A N/A</v>
      </c>
      <c r="AB99" t="str" cm="1">
        <f t="array" ref="AB99">_xll.BDH(AB$2 &amp; " PE Equity","PX_LAST",$B99,$B99)</f>
        <v>#N/A N/A</v>
      </c>
      <c r="AC99" t="str" cm="1">
        <f t="array" ref="AC99">_xll.BDH(AC$2 &amp; " US Equity","PX_LAST",$B99,$B99)</f>
        <v>#N/A N/A</v>
      </c>
      <c r="AD99" t="str" cm="1">
        <f t="array" ref="AD99">_xll.BDH(AD$2 &amp; " US Equity","PX_LAST",$B99,$B99)</f>
        <v>#N/A N/A</v>
      </c>
      <c r="AE99" t="str" cm="1">
        <f t="array" ref="AE99">_xll.BDH(AE$2 &amp; " PE Equity","PX_LAST",$B99,$B99)</f>
        <v>#N/A Connection</v>
      </c>
      <c r="AF99" t="str" cm="1">
        <f t="array" ref="AF99">_xll.BDH(AF$2 &amp; " US Equity","PX_LAST",$B99,$B99)</f>
        <v>#N/A N/A</v>
      </c>
      <c r="AG99" t="str" cm="1">
        <f t="array" ref="AG99">_xll.BDH(AG$2 &amp; " US Equity","PX_LAST",$B99,$B99)</f>
        <v>#N/A N/A</v>
      </c>
      <c r="AH99" t="str" cm="1">
        <f t="array" ref="AH99">_xll.BDH(AH$2 &amp; " US Equity","PX_LAST",$B99,$B99)</f>
        <v>#N/A N/A</v>
      </c>
      <c r="AI99" t="str" cm="1">
        <f t="array" ref="AI99">_xll.BDH(AI$2 &amp; " US Equity","PX_LAST",$B99,$B99)</f>
        <v>#N/A N/A</v>
      </c>
      <c r="AJ99" t="str" cm="1">
        <f t="array" ref="AJ99">_xll.BDH(AJ$2 &amp; " US Equity","PX_LAST",$B99,$B99)</f>
        <v>#N/A N/A</v>
      </c>
      <c r="AK99" t="str" cm="1">
        <f t="array" ref="AK99">_xll.BDH(AK$2 &amp; " US Equity","PX_LAST",$B99,$B99)</f>
        <v>#N/A N/A</v>
      </c>
      <c r="AL99" t="str" cm="1">
        <f t="array" ref="AL99">_xll.BDH(AL$2 &amp; " US Equity","PX_LAST",$B99,$B99)</f>
        <v>#N/A N/A</v>
      </c>
      <c r="AM99" t="str" cm="1">
        <f t="array" ref="AM99">_xll.BDH(AM$2 &amp; " US Equity","PX_LAST",$B99,$B99)</f>
        <v>#N/A N/A</v>
      </c>
      <c r="AN99" t="str" cm="1">
        <f t="array" ref="AN99">_xll.BDH(AN$2 &amp; " US Equity","PX_LAST",$B99,$B99)</f>
        <v>#N/A N/A</v>
      </c>
      <c r="AO99" t="str" cm="1">
        <f t="array" ref="AO99">_xll.BDH(AO$2 &amp; " US Equity","PX_LAST",$B99,$B99)</f>
        <v>#N/A N/A</v>
      </c>
      <c r="AP99" t="str" cm="1">
        <f t="array" ref="AP99">_xll.BDH(AP$2 &amp; " US Equity","PX_LAST",$B99,$B99)</f>
        <v>#N/A N/A</v>
      </c>
      <c r="AQ99" t="str" cm="1">
        <f t="array" ref="AQ99">_xll.BDH(AQ$2 &amp; " US Equity","PX_LAST",$B99,$B99)</f>
        <v>#N/A N/A</v>
      </c>
      <c r="AR99" t="str" cm="1">
        <f t="array" ref="AR99">_xll.BDH(AR$2 &amp; " US Equity","PX_LAST",$B99,$B99)</f>
        <v>#N/A N/A</v>
      </c>
      <c r="AS99" t="str" cm="1">
        <f t="array" ref="AS99">_xll.BDH(AS$2 &amp; " US Equity","PX_LAST",$B99,$B99)</f>
        <v>#N/A N/A</v>
      </c>
      <c r="AT99" t="str" cm="1">
        <f t="array" ref="AT99">_xll.BDH(AT$2 &amp; " US Equity","PX_LAST",$B99,$B99)</f>
        <v>#N/A N/A</v>
      </c>
      <c r="AU99" t="str" cm="1">
        <f t="array" ref="AU99">_xll.BDH(AU$2 &amp; " US Equity","PX_LAST",$B99,$B99)</f>
        <v>#N/A N/A</v>
      </c>
      <c r="AV99" t="str" cm="1">
        <f t="array" ref="AV99">_xll.BDH(AV$2 &amp; " US Equity","PX_LAST",$B99,$B99)</f>
        <v>#N/A N/A</v>
      </c>
      <c r="AW99" t="str" cm="1">
        <f t="array" ref="AW99">_xll.BDH(AW$2 &amp; " US Equity","PX_LAST",$B99,$B99)</f>
        <v>#N/A N/A</v>
      </c>
    </row>
    <row r="100" spans="2:49">
      <c r="B100" s="13">
        <v>45998</v>
      </c>
      <c r="C100" t="str" cm="1">
        <f t="array" ref="C100">_xll.BDH(C$2 &amp; " US Equity","PX_LAST",$B100,$B100)</f>
        <v>#N/A N/A</v>
      </c>
      <c r="D100" t="str" cm="1">
        <f t="array" ref="D100">_xll.BDH(D$2 &amp; " PE Equity","PX_LAST",$B100,$B100)</f>
        <v>#N/A N/A</v>
      </c>
      <c r="E100" t="str" cm="1">
        <f t="array" ref="E100">_xll.BDH(E$2 &amp; " PE Equity","PX_LAST",$B100,$B100)</f>
        <v>#N/A N/A</v>
      </c>
      <c r="F100" t="str" cm="1">
        <f t="array" ref="F100">_xll.BDH(F$2 &amp; " PE Equity","PX_LAST",$B100,$B100)</f>
        <v>#N/A N/A</v>
      </c>
      <c r="G100" t="str" cm="1">
        <f t="array" ref="G100">_xll.BDH(G$2 &amp; " US Equity","PX_LAST",$B100,$B100)</f>
        <v>#N/A N/A</v>
      </c>
      <c r="H100" t="str" cm="1">
        <f t="array" ref="H100">_xll.BDH(H$2 &amp; " PE Equity","PX_LAST",$B100,$B100)</f>
        <v>#N/A N/A</v>
      </c>
      <c r="I100" t="str" cm="1">
        <f t="array" ref="I100">_xll.BDH(I$2 &amp; " US Equity","PX_LAST",$B100,$B100)</f>
        <v>#N/A N/A</v>
      </c>
      <c r="J100" t="str" cm="1">
        <f t="array" ref="J100">_xll.BDH(J$2 &amp; " US Equity","PX_LAST",$B100,$B100)</f>
        <v>#N/A N/A</v>
      </c>
      <c r="K100" t="str" cm="1">
        <f t="array" ref="K100">_xll.BDH(K$2 &amp; " US Equity","PX_LAST",$B100,$B100)</f>
        <v>#N/A N/A</v>
      </c>
      <c r="L100" t="str" cm="1">
        <f t="array" ref="L100">_xll.BDH(L$2 &amp; " US Equity","PX_LAST",$B100,$B100)</f>
        <v>#N/A N/A</v>
      </c>
      <c r="M100" t="str" cm="1">
        <f t="array" ref="M100">_xll.BDH(M$2 &amp; " US Equity","PX_LAST",$B100,$B100)</f>
        <v>#N/A N/A</v>
      </c>
      <c r="N100" t="str" cm="1">
        <f t="array" ref="N100">_xll.BDH(N$2 &amp; " US Equity","PX_LAST",$B100,$B100)</f>
        <v>#N/A N/A</v>
      </c>
      <c r="O100" t="str" cm="1">
        <f t="array" ref="O100">_xll.BDH(O$2 &amp; " US Equity","PX_LAST",$B100,$B100)</f>
        <v>#N/A N/A</v>
      </c>
      <c r="P100" t="str" cm="1">
        <f t="array" ref="P100">_xll.BDH(P$2 &amp; " US Equity","PX_LAST",$B100,$B100)</f>
        <v>#N/A N/A</v>
      </c>
      <c r="Q100" t="str" cm="1">
        <f t="array" ref="Q100">_xll.BDH(Q$2 &amp; " US Equity","PX_LAST",$B100,$B100)</f>
        <v>#N/A N/A</v>
      </c>
      <c r="R100" t="str" cm="1">
        <f t="array" ref="R100">_xll.BDH(R$2 &amp; " US Equity","PX_LAST",$B100,$B100)</f>
        <v>#N/A N/A</v>
      </c>
      <c r="S100" t="str" cm="1">
        <f t="array" ref="S100">_xll.BDH(S$2 &amp; " US Equity","PX_LAST",$B100,$B100)</f>
        <v>#N/A N/A</v>
      </c>
      <c r="T100" t="str" cm="1">
        <f t="array" ref="T100">_xll.BDH(T$2 &amp; " US Equity","PX_LAST",$B100,$B100)</f>
        <v>#N/A N/A</v>
      </c>
      <c r="U100" t="str" cm="1">
        <f t="array" ref="U100">_xll.BDH(U$2 &amp; " US Equity","PX_LAST",$B100,$B100)</f>
        <v>#N/A N/A</v>
      </c>
      <c r="V100" t="str" cm="1">
        <f t="array" ref="V100">_xll.BDH(V$2 &amp; " US Equity","PX_LAST",$B100,$B100)</f>
        <v>#N/A N/A</v>
      </c>
      <c r="W100" t="str" cm="1">
        <f t="array" ref="W100">_xll.BDH(W$2 &amp; " US Equity","PX_LAST",$B100,$B100)</f>
        <v>#N/A N/A</v>
      </c>
      <c r="X100" t="str" cm="1">
        <f t="array" ref="X100">_xll.BDH(X$2 &amp; " US Equity","PX_LAST",$B100,$B100)</f>
        <v>#N/A N/A</v>
      </c>
      <c r="Y100" t="str" cm="1">
        <f t="array" ref="Y100">_xll.BDH(Y$2 &amp; " US Equity","PX_LAST",$B100,$B100)</f>
        <v>#N/A N/A</v>
      </c>
      <c r="Z100" t="str" cm="1">
        <f t="array" ref="Z100">_xll.BDH(Z$2 &amp; " US Equity","PX_LAST",$B100,$B100)</f>
        <v>#N/A N/A</v>
      </c>
      <c r="AA100" t="str" cm="1">
        <f t="array" ref="AA100">_xll.BDH(AA$2 &amp; " PE Equity","PX_LAST",$B100,$B100)</f>
        <v>#N/A N/A</v>
      </c>
      <c r="AB100" t="str" cm="1">
        <f t="array" ref="AB100">_xll.BDH(AB$2 &amp; " PE Equity","PX_LAST",$B100,$B100)</f>
        <v>#N/A N/A</v>
      </c>
      <c r="AC100" t="str" cm="1">
        <f t="array" ref="AC100">_xll.BDH(AC$2 &amp; " US Equity","PX_LAST",$B100,$B100)</f>
        <v>#N/A N/A</v>
      </c>
      <c r="AD100" t="str" cm="1">
        <f t="array" ref="AD100">_xll.BDH(AD$2 &amp; " US Equity","PX_LAST",$B100,$B100)</f>
        <v>#N/A N/A</v>
      </c>
      <c r="AE100" t="str" cm="1">
        <f t="array" ref="AE100">_xll.BDH(AE$2 &amp; " PE Equity","PX_LAST",$B100,$B100)</f>
        <v>#N/A Connection</v>
      </c>
      <c r="AF100" t="str" cm="1">
        <f t="array" ref="AF100">_xll.BDH(AF$2 &amp; " US Equity","PX_LAST",$B100,$B100)</f>
        <v>#N/A N/A</v>
      </c>
      <c r="AG100" t="str" cm="1">
        <f t="array" ref="AG100">_xll.BDH(AG$2 &amp; " US Equity","PX_LAST",$B100,$B100)</f>
        <v>#N/A N/A</v>
      </c>
      <c r="AH100" t="str" cm="1">
        <f t="array" ref="AH100">_xll.BDH(AH$2 &amp; " US Equity","PX_LAST",$B100,$B100)</f>
        <v>#N/A N/A</v>
      </c>
      <c r="AI100" t="str" cm="1">
        <f t="array" ref="AI100">_xll.BDH(AI$2 &amp; " US Equity","PX_LAST",$B100,$B100)</f>
        <v>#N/A N/A</v>
      </c>
      <c r="AJ100" t="str" cm="1">
        <f t="array" ref="AJ100">_xll.BDH(AJ$2 &amp; " US Equity","PX_LAST",$B100,$B100)</f>
        <v>#N/A N/A</v>
      </c>
      <c r="AK100" t="str" cm="1">
        <f t="array" ref="AK100">_xll.BDH(AK$2 &amp; " US Equity","PX_LAST",$B100,$B100)</f>
        <v>#N/A N/A</v>
      </c>
      <c r="AL100" t="str" cm="1">
        <f t="array" ref="AL100">_xll.BDH(AL$2 &amp; " US Equity","PX_LAST",$B100,$B100)</f>
        <v>#N/A N/A</v>
      </c>
      <c r="AM100" t="str" cm="1">
        <f t="array" ref="AM100">_xll.BDH(AM$2 &amp; " US Equity","PX_LAST",$B100,$B100)</f>
        <v>#N/A N/A</v>
      </c>
      <c r="AN100" t="str" cm="1">
        <f t="array" ref="AN100">_xll.BDH(AN$2 &amp; " US Equity","PX_LAST",$B100,$B100)</f>
        <v>#N/A N/A</v>
      </c>
      <c r="AO100" t="str" cm="1">
        <f t="array" ref="AO100">_xll.BDH(AO$2 &amp; " US Equity","PX_LAST",$B100,$B100)</f>
        <v>#N/A N/A</v>
      </c>
      <c r="AP100" t="str" cm="1">
        <f t="array" ref="AP100">_xll.BDH(AP$2 &amp; " US Equity","PX_LAST",$B100,$B100)</f>
        <v>#N/A N/A</v>
      </c>
      <c r="AQ100" t="str" cm="1">
        <f t="array" ref="AQ100">_xll.BDH(AQ$2 &amp; " US Equity","PX_LAST",$B100,$B100)</f>
        <v>#N/A N/A</v>
      </c>
      <c r="AR100" t="str" cm="1">
        <f t="array" ref="AR100">_xll.BDH(AR$2 &amp; " US Equity","PX_LAST",$B100,$B100)</f>
        <v>#N/A N/A</v>
      </c>
      <c r="AS100" t="str" cm="1">
        <f t="array" ref="AS100">_xll.BDH(AS$2 &amp; " US Equity","PX_LAST",$B100,$B100)</f>
        <v>#N/A N/A</v>
      </c>
      <c r="AT100" t="str" cm="1">
        <f t="array" ref="AT100">_xll.BDH(AT$2 &amp; " US Equity","PX_LAST",$B100,$B100)</f>
        <v>#N/A N/A</v>
      </c>
      <c r="AU100" t="str" cm="1">
        <f t="array" ref="AU100">_xll.BDH(AU$2 &amp; " US Equity","PX_LAST",$B100,$B100)</f>
        <v>#N/A N/A</v>
      </c>
      <c r="AV100" t="str" cm="1">
        <f t="array" ref="AV100">_xll.BDH(AV$2 &amp; " US Equity","PX_LAST",$B100,$B100)</f>
        <v>#N/A N/A</v>
      </c>
      <c r="AW100" t="str" cm="1">
        <f t="array" ref="AW100">_xll.BDH(AW$2 &amp; " US Equity","PX_LAST",$B100,$B100)</f>
        <v>#N/A N/A</v>
      </c>
    </row>
    <row r="101" spans="2:49">
      <c r="B101" s="13">
        <v>45999</v>
      </c>
      <c r="C101" cm="1">
        <f t="array" ref="C101">_xll.BDH(C$2 &amp; " US Equity","PX_LAST",$B101,$B101)</f>
        <v>276.64</v>
      </c>
      <c r="D101" t="str" cm="1">
        <f t="array" ref="D101">_xll.BDH(D$2 &amp; " PE Equity","PX_LAST",$B101,$B101)</f>
        <v>#N/A N/A</v>
      </c>
      <c r="E101" t="str" cm="1">
        <f t="array" ref="E101">_xll.BDH(E$2 &amp; " PE Equity","PX_LAST",$B101,$B101)</f>
        <v>#N/A N/A</v>
      </c>
      <c r="F101" t="str" cm="1">
        <f t="array" ref="F101">_xll.BDH(F$2 &amp; " PE Equity","PX_LAST",$B101,$B101)</f>
        <v>#N/A N/A</v>
      </c>
      <c r="G101" cm="1">
        <f t="array" ref="G101">_xll.BDH(G$2 &amp; " US Equity","PX_LAST",$B101,$B101)</f>
        <v>20.52</v>
      </c>
      <c r="H101" t="str" cm="1">
        <f t="array" ref="H101">_xll.BDH(H$2 &amp; " PE Equity","PX_LAST",$B101,$B101)</f>
        <v>#N/A N/A</v>
      </c>
      <c r="I101" cm="1">
        <f t="array" ref="I101">_xll.BDH(I$2 &amp; " US Equity","PX_LAST",$B101,$B101)</f>
        <v>47.59</v>
      </c>
      <c r="J101" cm="1">
        <f t="array" ref="J101">_xll.BDH(J$2 &amp; " US Equity","PX_LAST",$B101,$B101)</f>
        <v>7.3494999999999999</v>
      </c>
      <c r="K101" cm="1">
        <f t="array" ref="K101">_xll.BDH(K$2 &amp; " US Equity","PX_LAST",$B101,$B101)</f>
        <v>52.31</v>
      </c>
      <c r="L101" cm="1">
        <f t="array" ref="L101">_xll.BDH(L$2 &amp; " US Equity","PX_LAST",$B101,$B101)</f>
        <v>54.62</v>
      </c>
      <c r="M101" cm="1">
        <f t="array" ref="M101">_xll.BDH(M$2 &amp; " US Equity","PX_LAST",$B101,$B101)</f>
        <v>269.33999999999997</v>
      </c>
      <c r="N101" cm="1">
        <f t="array" ref="N101">_xll.BDH(N$2 &amp; " US Equity","PX_LAST",$B101,$B101)</f>
        <v>35.15</v>
      </c>
      <c r="O101" cm="1">
        <f t="array" ref="O101">_xll.BDH(O$2 &amp; " US Equity","PX_LAST",$B101,$B101)</f>
        <v>32.75</v>
      </c>
      <c r="P101" cm="1">
        <f t="array" ref="P101">_xll.BDH(P$2 &amp; " US Equity","PX_LAST",$B101,$B101)</f>
        <v>16.7</v>
      </c>
      <c r="Q101" cm="1">
        <f t="array" ref="Q101">_xll.BDH(Q$2 &amp; " US Equity","PX_LAST",$B101,$B101)</f>
        <v>25.77</v>
      </c>
      <c r="R101" cm="1">
        <f t="array" ref="R101">_xll.BDH(R$2 &amp; " US Equity","PX_LAST",$B101,$B101)</f>
        <v>24.88</v>
      </c>
      <c r="S101" cm="1">
        <f t="array" ref="S101">_xll.BDH(S$2 &amp; " US Equity","PX_LAST",$B101,$B101)</f>
        <v>154.38999999999999</v>
      </c>
      <c r="T101" cm="1">
        <f t="array" ref="T101">_xll.BDH(T$2 &amp; " US Equity","PX_LAST",$B101,$B101)</f>
        <v>63.38</v>
      </c>
      <c r="U101" cm="1">
        <f t="array" ref="U101">_xll.BDH(U$2 &amp; " US Equity","PX_LAST",$B101,$B101)</f>
        <v>130.06</v>
      </c>
      <c r="V101" cm="1">
        <f t="array" ref="V101">_xll.BDH(V$2 &amp; " US Equity","PX_LAST",$B101,$B101)</f>
        <v>42.72</v>
      </c>
      <c r="W101" cm="1">
        <f t="array" ref="W101">_xll.BDH(W$2 &amp; " US Equity","PX_LAST",$B101,$B101)</f>
        <v>181.49</v>
      </c>
      <c r="X101" cm="1">
        <f t="array" ref="X101">_xll.BDH(X$2 &amp; " US Equity","PX_LAST",$B101,$B101)</f>
        <v>57.76</v>
      </c>
      <c r="Y101" cm="1">
        <f t="array" ref="Y101">_xll.BDH(Y$2 &amp; " US Equity","PX_LAST",$B101,$B101)</f>
        <v>44.65</v>
      </c>
      <c r="Z101" cm="1">
        <f t="array" ref="Z101">_xll.BDH(Z$2 &amp; " US Equity","PX_LAST",$B101,$B101)</f>
        <v>368.55</v>
      </c>
      <c r="AA101" t="str" cm="1">
        <f t="array" ref="AA101">_xll.BDH(AA$2 &amp; " PE Equity","PX_LAST",$B101,$B101)</f>
        <v>#N/A N/A</v>
      </c>
      <c r="AB101" t="str" cm="1">
        <f t="array" ref="AB101">_xll.BDH(AB$2 &amp; " PE Equity","PX_LAST",$B101,$B101)</f>
        <v>#N/A N/A</v>
      </c>
      <c r="AC101" cm="1">
        <f t="array" ref="AC101">_xll.BDH(AC$2 &amp; " US Equity","PX_LAST",$B101,$B101)</f>
        <v>71.239999999999995</v>
      </c>
      <c r="AD101" cm="1">
        <f t="array" ref="AD101">_xll.BDH(AD$2 &amp; " US Equity","PX_LAST",$B101,$B101)</f>
        <v>683.63</v>
      </c>
      <c r="AE101" t="str" cm="1">
        <f t="array" ref="AE101">_xll.BDH(AE$2 &amp; " PE Equity","PX_LAST",$B101,$B101)</f>
        <v>#N/A Connection</v>
      </c>
      <c r="AF101" cm="1">
        <f t="array" ref="AF101">_xll.BDH(AF$2 &amp; " US Equity","PX_LAST",$B101,$B101)</f>
        <v>57.533299999999997</v>
      </c>
      <c r="AG101" cm="1">
        <f t="array" ref="AG101">_xll.BDH(AG$2 &amp; " US Equity","PX_LAST",$B101,$B101)</f>
        <v>13.4481</v>
      </c>
      <c r="AH101" cm="1">
        <f t="array" ref="AH101">_xll.BDH(AH$2 &amp; " US Equity","PX_LAST",$B101,$B101)</f>
        <v>624.28</v>
      </c>
      <c r="AI101" cm="1">
        <f t="array" ref="AI101">_xll.BDH(AI$2 &amp; " US Equity","PX_LAST",$B101,$B101)</f>
        <v>111.33</v>
      </c>
      <c r="AJ101" cm="1">
        <f t="array" ref="AJ101">_xll.BDH(AJ$2 &amp; " US Equity","PX_LAST",$B101,$B101)</f>
        <v>107.63</v>
      </c>
      <c r="AK101" cm="1">
        <f t="array" ref="AK101">_xll.BDH(AK$2 &amp; " US Equity","PX_LAST",$B101,$B101)</f>
        <v>117.99</v>
      </c>
      <c r="AL101" cm="1">
        <f t="array" ref="AL101">_xll.BDH(AL$2 &amp; " US Equity","PX_LAST",$B101,$B101)</f>
        <v>226.89</v>
      </c>
      <c r="AM101" cm="1">
        <f t="array" ref="AM101">_xll.BDH(AM$2 &amp; " US Equity","PX_LAST",$B101,$B101)</f>
        <v>55.8</v>
      </c>
      <c r="AN101" cm="1">
        <f t="array" ref="AN101">_xll.BDH(AN$2 &amp; " US Equity","PX_LAST",$B101,$B101)</f>
        <v>24.36</v>
      </c>
      <c r="AO101" cm="1">
        <f t="array" ref="AO101">_xll.BDH(AO$2 &amp; " US Equity","PX_LAST",$B101,$B101)</f>
        <v>53.35</v>
      </c>
      <c r="AP101" cm="1">
        <f t="array" ref="AP101">_xll.BDH(AP$2 &amp; " US Equity","PX_LAST",$B101,$B101)</f>
        <v>4.79</v>
      </c>
      <c r="AQ101" cm="1">
        <f t="array" ref="AQ101">_xll.BDH(AQ$2 &amp; " US Equity","PX_LAST",$B101,$B101)</f>
        <v>101.85</v>
      </c>
      <c r="AR101" cm="1">
        <f t="array" ref="AR101">_xll.BDH(AR$2 &amp; " US Equity","PX_LAST",$B101,$B101)</f>
        <v>62.41</v>
      </c>
      <c r="AS101" cm="1">
        <f t="array" ref="AS101">_xll.BDH(AS$2 &amp; " US Equity","PX_LAST",$B101,$B101)</f>
        <v>96.79</v>
      </c>
      <c r="AT101" cm="1">
        <f t="array" ref="AT101">_xll.BDH(AT$2 &amp; " US Equity","PX_LAST",$B101,$B101)</f>
        <v>5.0999999999999996</v>
      </c>
      <c r="AU101" cm="1">
        <f t="array" ref="AU101">_xll.BDH(AU$2 &amp; " US Equity","PX_LAST",$B101,$B101)</f>
        <v>323.62</v>
      </c>
      <c r="AV101" cm="1">
        <f t="array" ref="AV101">_xll.BDH(AV$2 &amp; " US Equity","PX_LAST",$B101,$B101)</f>
        <v>247.28</v>
      </c>
      <c r="AW101" cm="1">
        <f t="array" ref="AW101">_xll.BDH(AW$2 &amp; " US Equity","PX_LAST",$B101,$B101)</f>
        <v>130.24</v>
      </c>
    </row>
    <row r="102" spans="2:49">
      <c r="B102" s="13">
        <v>46000</v>
      </c>
      <c r="C102" cm="1">
        <f t="array" ref="C102">_xll.BDH(C$2 &amp; " US Equity","PX_LAST",$B102,$B102)</f>
        <v>275.13</v>
      </c>
      <c r="D102" t="str" cm="1">
        <f t="array" ref="D102">_xll.BDH(D$2 &amp; " PE Equity","PX_LAST",$B102,$B102)</f>
        <v>#N/A N/A</v>
      </c>
      <c r="E102" t="str" cm="1">
        <f t="array" ref="E102">_xll.BDH(E$2 &amp; " PE Equity","PX_LAST",$B102,$B102)</f>
        <v>#N/A N/A</v>
      </c>
      <c r="F102" t="str" cm="1">
        <f t="array" ref="F102">_xll.BDH(F$2 &amp; " PE Equity","PX_LAST",$B102,$B102)</f>
        <v>#N/A N/A</v>
      </c>
      <c r="G102" cm="1">
        <f t="array" ref="G102">_xll.BDH(G$2 &amp; " US Equity","PX_LAST",$B102,$B102)</f>
        <v>19.809999999999999</v>
      </c>
      <c r="H102" t="str" cm="1">
        <f t="array" ref="H102">_xll.BDH(H$2 &amp; " PE Equity","PX_LAST",$B102,$B102)</f>
        <v>#N/A N/A</v>
      </c>
      <c r="I102" cm="1">
        <f t="array" ref="I102">_xll.BDH(I$2 &amp; " US Equity","PX_LAST",$B102,$B102)</f>
        <v>47.47</v>
      </c>
      <c r="J102" cm="1">
        <f t="array" ref="J102">_xll.BDH(J$2 &amp; " US Equity","PX_LAST",$B102,$B102)</f>
        <v>7.3785999999999996</v>
      </c>
      <c r="K102" cm="1">
        <f t="array" ref="K102">_xll.BDH(K$2 &amp; " US Equity","PX_LAST",$B102,$B102)</f>
        <v>52.36</v>
      </c>
      <c r="L102" cm="1">
        <f t="array" ref="L102">_xll.BDH(L$2 &amp; " US Equity","PX_LAST",$B102,$B102)</f>
        <v>54.53</v>
      </c>
      <c r="M102" cm="1">
        <f t="array" ref="M102">_xll.BDH(M$2 &amp; " US Equity","PX_LAST",$B102,$B102)</f>
        <v>276.29000000000002</v>
      </c>
      <c r="N102" cm="1">
        <f t="array" ref="N102">_xll.BDH(N$2 &amp; " US Equity","PX_LAST",$B102,$B102)</f>
        <v>35.270000000000003</v>
      </c>
      <c r="O102" cm="1">
        <f t="array" ref="O102">_xll.BDH(O$2 &amp; " US Equity","PX_LAST",$B102,$B102)</f>
        <v>32.74</v>
      </c>
      <c r="P102" cm="1">
        <f t="array" ref="P102">_xll.BDH(P$2 &amp; " US Equity","PX_LAST",$B102,$B102)</f>
        <v>16.68</v>
      </c>
      <c r="Q102" cm="1">
        <f t="array" ref="Q102">_xll.BDH(Q$2 &amp; " US Equity","PX_LAST",$B102,$B102)</f>
        <v>25.33</v>
      </c>
      <c r="R102" cm="1">
        <f t="array" ref="R102">_xll.BDH(R$2 &amp; " US Equity","PX_LAST",$B102,$B102)</f>
        <v>26.45</v>
      </c>
      <c r="S102" cm="1">
        <f t="array" ref="S102">_xll.BDH(S$2 &amp; " US Equity","PX_LAST",$B102,$B102)</f>
        <v>153.26</v>
      </c>
      <c r="T102" cm="1">
        <f t="array" ref="T102">_xll.BDH(T$2 &amp; " US Equity","PX_LAST",$B102,$B102)</f>
        <v>63.21</v>
      </c>
      <c r="U102" cm="1">
        <f t="array" ref="U102">_xll.BDH(U$2 &amp; " US Equity","PX_LAST",$B102,$B102)</f>
        <v>123.94</v>
      </c>
      <c r="V102" cm="1">
        <f t="array" ref="V102">_xll.BDH(V$2 &amp; " US Equity","PX_LAST",$B102,$B102)</f>
        <v>42.75</v>
      </c>
      <c r="W102" cm="1">
        <f t="array" ref="W102">_xll.BDH(W$2 &amp; " US Equity","PX_LAST",$B102,$B102)</f>
        <v>181.84</v>
      </c>
      <c r="X102" cm="1">
        <f t="array" ref="X102">_xll.BDH(X$2 &amp; " US Equity","PX_LAST",$B102,$B102)</f>
        <v>57.69</v>
      </c>
      <c r="Y102" cm="1">
        <f t="array" ref="Y102">_xll.BDH(Y$2 &amp; " US Equity","PX_LAST",$B102,$B102)</f>
        <v>44.21</v>
      </c>
      <c r="Z102" cm="1">
        <f t="array" ref="Z102">_xll.BDH(Z$2 &amp; " US Equity","PX_LAST",$B102,$B102)</f>
        <v>369</v>
      </c>
      <c r="AA102" t="str" cm="1">
        <f t="array" ref="AA102">_xll.BDH(AA$2 &amp; " PE Equity","PX_LAST",$B102,$B102)</f>
        <v>#N/A N/A</v>
      </c>
      <c r="AB102" t="str" cm="1">
        <f t="array" ref="AB102">_xll.BDH(AB$2 &amp; " PE Equity","PX_LAST",$B102,$B102)</f>
        <v>#N/A N/A</v>
      </c>
      <c r="AC102" cm="1">
        <f t="array" ref="AC102">_xll.BDH(AC$2 &amp; " US Equity","PX_LAST",$B102,$B102)</f>
        <v>71.02</v>
      </c>
      <c r="AD102" cm="1">
        <f t="array" ref="AD102">_xll.BDH(AD$2 &amp; " US Equity","PX_LAST",$B102,$B102)</f>
        <v>683.04</v>
      </c>
      <c r="AE102" t="str" cm="1">
        <f t="array" ref="AE102">_xll.BDH(AE$2 &amp; " PE Equity","PX_LAST",$B102,$B102)</f>
        <v>#N/A Connection</v>
      </c>
      <c r="AF102" cm="1">
        <f t="array" ref="AF102">_xll.BDH(AF$2 &amp; " US Equity","PX_LAST",$B102,$B102)</f>
        <v>56.844499999999996</v>
      </c>
      <c r="AG102" cm="1">
        <f t="array" ref="AG102">_xll.BDH(AG$2 &amp; " US Equity","PX_LAST",$B102,$B102)</f>
        <v>13.4457</v>
      </c>
      <c r="AH102" cm="1">
        <f t="array" ref="AH102">_xll.BDH(AH$2 &amp; " US Equity","PX_LAST",$B102,$B102)</f>
        <v>625.04999999999995</v>
      </c>
      <c r="AI102" cm="1">
        <f t="array" ref="AI102">_xll.BDH(AI$2 &amp; " US Equity","PX_LAST",$B102,$B102)</f>
        <v>111.68</v>
      </c>
      <c r="AJ102" cm="1">
        <f t="array" ref="AJ102">_xll.BDH(AJ$2 &amp; " US Equity","PX_LAST",$B102,$B102)</f>
        <v>107.02</v>
      </c>
      <c r="AK102" cm="1">
        <f t="array" ref="AK102">_xll.BDH(AK$2 &amp; " US Equity","PX_LAST",$B102,$B102)</f>
        <v>117.98</v>
      </c>
      <c r="AL102" cm="1">
        <f t="array" ref="AL102">_xll.BDH(AL$2 &amp; " US Equity","PX_LAST",$B102,$B102)</f>
        <v>227.92</v>
      </c>
      <c r="AM102" cm="1">
        <f t="array" ref="AM102">_xll.BDH(AM$2 &amp; " US Equity","PX_LAST",$B102,$B102)</f>
        <v>56.01</v>
      </c>
      <c r="AN102" cm="1">
        <f t="array" ref="AN102">_xll.BDH(AN$2 &amp; " US Equity","PX_LAST",$B102,$B102)</f>
        <v>24.22</v>
      </c>
      <c r="AO102" cm="1">
        <f t="array" ref="AO102">_xll.BDH(AO$2 &amp; " US Equity","PX_LAST",$B102,$B102)</f>
        <v>52.86</v>
      </c>
      <c r="AP102" cm="1">
        <f t="array" ref="AP102">_xll.BDH(AP$2 &amp; " US Equity","PX_LAST",$B102,$B102)</f>
        <v>4.63</v>
      </c>
      <c r="AQ102" cm="1">
        <f t="array" ref="AQ102">_xll.BDH(AQ$2 &amp; " US Equity","PX_LAST",$B102,$B102)</f>
        <v>102.89</v>
      </c>
      <c r="AR102" cm="1">
        <f t="array" ref="AR102">_xll.BDH(AR$2 &amp; " US Equity","PX_LAST",$B102,$B102)</f>
        <v>63.59</v>
      </c>
      <c r="AS102" cm="1">
        <f t="array" ref="AS102">_xll.BDH(AS$2 &amp; " US Equity","PX_LAST",$B102,$B102)</f>
        <v>96.71</v>
      </c>
      <c r="AT102" cm="1">
        <f t="array" ref="AT102">_xll.BDH(AT$2 &amp; " US Equity","PX_LAST",$B102,$B102)</f>
        <v>5.03</v>
      </c>
      <c r="AU102" cm="1">
        <f t="array" ref="AU102">_xll.BDH(AU$2 &amp; " US Equity","PX_LAST",$B102,$B102)</f>
        <v>323.60000000000002</v>
      </c>
      <c r="AV102" cm="1">
        <f t="array" ref="AV102">_xll.BDH(AV$2 &amp; " US Equity","PX_LAST",$B102,$B102)</f>
        <v>248.73</v>
      </c>
      <c r="AW102" cm="1">
        <f t="array" ref="AW102">_xll.BDH(AW$2 &amp; " US Equity","PX_LAST",$B102,$B102)</f>
        <v>135.78</v>
      </c>
    </row>
    <row r="103" spans="2:49">
      <c r="B103" s="13">
        <v>46001</v>
      </c>
      <c r="C103" cm="1">
        <f t="array" ref="C103">_xll.BDH(C$2 &amp; " US Equity","PX_LAST",$B103,$B103)</f>
        <v>284.31</v>
      </c>
      <c r="D103" cm="1">
        <f t="array" ref="D103">_xll.BDH(D$2 &amp; " PE Equity","PX_LAST",$B103,$B103)</f>
        <v>4.53</v>
      </c>
      <c r="E103" cm="1">
        <f t="array" ref="E103">_xll.BDH(E$2 &amp; " PE Equity","PX_LAST",$B103,$B103)</f>
        <v>1.86</v>
      </c>
      <c r="F103" cm="1">
        <f t="array" ref="F103">_xll.BDH(F$2 &amp; " PE Equity","PX_LAST",$B103,$B103)</f>
        <v>2.38</v>
      </c>
      <c r="G103" cm="1">
        <f t="array" ref="G103">_xll.BDH(G$2 &amp; " US Equity","PX_LAST",$B103,$B103)</f>
        <v>19.649999999999999</v>
      </c>
      <c r="H103" cm="1">
        <f t="array" ref="H103">_xll.BDH(H$2 &amp; " PE Equity","PX_LAST",$B103,$B103)</f>
        <v>3.43</v>
      </c>
      <c r="I103" cm="1">
        <f t="array" ref="I103">_xll.BDH(I$2 &amp; " US Equity","PX_LAST",$B103,$B103)</f>
        <v>48.78</v>
      </c>
      <c r="J103" cm="1">
        <f t="array" ref="J103">_xll.BDH(J$2 &amp; " US Equity","PX_LAST",$B103,$B103)</f>
        <v>7.2912999999999997</v>
      </c>
      <c r="K103" cm="1">
        <f t="array" ref="K103">_xll.BDH(K$2 &amp; " US Equity","PX_LAST",$B103,$B103)</f>
        <v>53.06</v>
      </c>
      <c r="L103" cm="1">
        <f t="array" ref="L103">_xll.BDH(L$2 &amp; " US Equity","PX_LAST",$B103,$B103)</f>
        <v>55.14</v>
      </c>
      <c r="M103" cm="1">
        <f t="array" ref="M103">_xll.BDH(M$2 &amp; " US Equity","PX_LAST",$B103,$B103)</f>
        <v>277</v>
      </c>
      <c r="N103" cm="1">
        <f t="array" ref="N103">_xll.BDH(N$2 &amp; " US Equity","PX_LAST",$B103,$B103)</f>
        <v>35.89</v>
      </c>
      <c r="O103" cm="1">
        <f t="array" ref="O103">_xll.BDH(O$2 &amp; " US Equity","PX_LAST",$B103,$B103)</f>
        <v>32.770000000000003</v>
      </c>
      <c r="P103" cm="1">
        <f t="array" ref="P103">_xll.BDH(P$2 &amp; " US Equity","PX_LAST",$B103,$B103)</f>
        <v>16.739999999999998</v>
      </c>
      <c r="Q103" cm="1">
        <f t="array" ref="Q103">_xll.BDH(Q$2 &amp; " US Equity","PX_LAST",$B103,$B103)</f>
        <v>25.78</v>
      </c>
      <c r="R103" cm="1">
        <f t="array" ref="R103">_xll.BDH(R$2 &amp; " US Equity","PX_LAST",$B103,$B103)</f>
        <v>26.83</v>
      </c>
      <c r="S103" cm="1">
        <f t="array" ref="S103">_xll.BDH(S$2 &amp; " US Equity","PX_LAST",$B103,$B103)</f>
        <v>156.06</v>
      </c>
      <c r="T103" cm="1">
        <f t="array" ref="T103">_xll.BDH(T$2 &amp; " US Equity","PX_LAST",$B103,$B103)</f>
        <v>63.83</v>
      </c>
      <c r="U103" cm="1">
        <f t="array" ref="U103">_xll.BDH(U$2 &amp; " US Equity","PX_LAST",$B103,$B103)</f>
        <v>126.07</v>
      </c>
      <c r="V103" cm="1">
        <f t="array" ref="V103">_xll.BDH(V$2 &amp; " US Equity","PX_LAST",$B103,$B103)</f>
        <v>42.73</v>
      </c>
      <c r="W103" cm="1">
        <f t="array" ref="W103">_xll.BDH(W$2 &amp; " US Equity","PX_LAST",$B103,$B103)</f>
        <v>187.91</v>
      </c>
      <c r="X103" cm="1">
        <f t="array" ref="X103">_xll.BDH(X$2 &amp; " US Equity","PX_LAST",$B103,$B103)</f>
        <v>58.38</v>
      </c>
      <c r="Y103" cm="1">
        <f t="array" ref="Y103">_xll.BDH(Y$2 &amp; " US Equity","PX_LAST",$B103,$B103)</f>
        <v>44.58</v>
      </c>
      <c r="Z103" cm="1">
        <f t="array" ref="Z103">_xll.BDH(Z$2 &amp; " US Equity","PX_LAST",$B103,$B103)</f>
        <v>374.1</v>
      </c>
      <c r="AA103" cm="1">
        <f t="array" ref="AA103">_xll.BDH(AA$2 &amp; " PE Equity","PX_LAST",$B103,$B103)</f>
        <v>0.57999999999999996</v>
      </c>
      <c r="AB103" cm="1">
        <f t="array" ref="AB103">_xll.BDH(AB$2 &amp; " PE Equity","PX_LAST",$B103,$B103)</f>
        <v>25.2</v>
      </c>
      <c r="AC103" cm="1">
        <f t="array" ref="AC103">_xll.BDH(AC$2 &amp; " US Equity","PX_LAST",$B103,$B103)</f>
        <v>72.040000000000006</v>
      </c>
      <c r="AD103" cm="1">
        <f t="array" ref="AD103">_xll.BDH(AD$2 &amp; " US Equity","PX_LAST",$B103,$B103)</f>
        <v>687.57</v>
      </c>
      <c r="AE103" t="str" cm="1">
        <f t="array" ref="AE103">_xll.BDH(AE$2 &amp; " PE Equity","PX_LAST",$B103,$B103)</f>
        <v>#N/A Connection</v>
      </c>
      <c r="AF103" cm="1">
        <f t="array" ref="AF103">_xll.BDH(AF$2 &amp; " US Equity","PX_LAST",$B103,$B103)</f>
        <v>57.7502</v>
      </c>
      <c r="AG103" cm="1">
        <f t="array" ref="AG103">_xll.BDH(AG$2 &amp; " US Equity","PX_LAST",$B103,$B103)</f>
        <v>13.435600000000001</v>
      </c>
      <c r="AH103" cm="1">
        <f t="array" ref="AH103">_xll.BDH(AH$2 &amp; " US Equity","PX_LAST",$B103,$B103)</f>
        <v>627.61</v>
      </c>
      <c r="AI103" cm="1">
        <f t="array" ref="AI103">_xll.BDH(AI$2 &amp; " US Equity","PX_LAST",$B103,$B103)</f>
        <v>114.76</v>
      </c>
      <c r="AJ103" cm="1">
        <f t="array" ref="AJ103">_xll.BDH(AJ$2 &amp; " US Equity","PX_LAST",$B103,$B103)</f>
        <v>108.83</v>
      </c>
      <c r="AK103" cm="1">
        <f t="array" ref="AK103">_xll.BDH(AK$2 &amp; " US Equity","PX_LAST",$B103,$B103)</f>
        <v>119.71</v>
      </c>
      <c r="AL103" cm="1">
        <f t="array" ref="AL103">_xll.BDH(AL$2 &amp; " US Equity","PX_LAST",$B103,$B103)</f>
        <v>231.78</v>
      </c>
      <c r="AM103" cm="1">
        <f t="array" ref="AM103">_xll.BDH(AM$2 &amp; " US Equity","PX_LAST",$B103,$B103)</f>
        <v>56.65</v>
      </c>
      <c r="AN103" cm="1">
        <f t="array" ref="AN103">_xll.BDH(AN$2 &amp; " US Equity","PX_LAST",$B103,$B103)</f>
        <v>24.37</v>
      </c>
      <c r="AO103" cm="1">
        <f t="array" ref="AO103">_xll.BDH(AO$2 &amp; " US Equity","PX_LAST",$B103,$B103)</f>
        <v>53.25</v>
      </c>
      <c r="AP103" cm="1">
        <f t="array" ref="AP103">_xll.BDH(AP$2 &amp; " US Equity","PX_LAST",$B103,$B103)</f>
        <v>4.6399999999999997</v>
      </c>
      <c r="AQ103" cm="1">
        <f t="array" ref="AQ103">_xll.BDH(AQ$2 &amp; " US Equity","PX_LAST",$B103,$B103)</f>
        <v>103.14</v>
      </c>
      <c r="AR103" cm="1">
        <f t="array" ref="AR103">_xll.BDH(AR$2 &amp; " US Equity","PX_LAST",$B103,$B103)</f>
        <v>64.39</v>
      </c>
      <c r="AS103" cm="1">
        <f t="array" ref="AS103">_xll.BDH(AS$2 &amp; " US Equity","PX_LAST",$B103,$B103)</f>
        <v>92.71</v>
      </c>
      <c r="AT103" cm="1">
        <f t="array" ref="AT103">_xll.BDH(AT$2 &amp; " US Equity","PX_LAST",$B103,$B103)</f>
        <v>5.03</v>
      </c>
      <c r="AU103" cm="1">
        <f t="array" ref="AU103">_xll.BDH(AU$2 &amp; " US Equity","PX_LAST",$B103,$B103)</f>
        <v>328.37</v>
      </c>
      <c r="AV103" cm="1">
        <f t="array" ref="AV103">_xll.BDH(AV$2 &amp; " US Equity","PX_LAST",$B103,$B103)</f>
        <v>246.02</v>
      </c>
      <c r="AW103" cm="1">
        <f t="array" ref="AW103">_xll.BDH(AW$2 &amp; " US Equity","PX_LAST",$B103,$B103)</f>
        <v>141.54</v>
      </c>
    </row>
    <row r="104" spans="2:49">
      <c r="B104" s="13">
        <v>46002</v>
      </c>
      <c r="C104" cm="1">
        <f t="array" ref="C104">_xll.BDH(C$2 &amp; " US Equity","PX_LAST",$B104,$B104)</f>
        <v>284.77999999999997</v>
      </c>
      <c r="D104" cm="1">
        <f t="array" ref="D104">_xll.BDH(D$2 &amp; " PE Equity","PX_LAST",$B104,$B104)</f>
        <v>4.45</v>
      </c>
      <c r="E104" cm="1">
        <f t="array" ref="E104">_xll.BDH(E$2 &amp; " PE Equity","PX_LAST",$B104,$B104)</f>
        <v>1.88</v>
      </c>
      <c r="F104" cm="1">
        <f t="array" ref="F104">_xll.BDH(F$2 &amp; " PE Equity","PX_LAST",$B104,$B104)</f>
        <v>2.39</v>
      </c>
      <c r="G104" cm="1">
        <f t="array" ref="G104">_xll.BDH(G$2 &amp; " US Equity","PX_LAST",$B104,$B104)</f>
        <v>19.190000000000001</v>
      </c>
      <c r="H104" cm="1">
        <f t="array" ref="H104">_xll.BDH(H$2 &amp; " PE Equity","PX_LAST",$B104,$B104)</f>
        <v>3.4</v>
      </c>
      <c r="I104" cm="1">
        <f t="array" ref="I104">_xll.BDH(I$2 &amp; " US Equity","PX_LAST",$B104,$B104)</f>
        <v>49.24</v>
      </c>
      <c r="J104" cm="1">
        <f t="array" ref="J104">_xll.BDH(J$2 &amp; " US Equity","PX_LAST",$B104,$B104)</f>
        <v>7.0583</v>
      </c>
      <c r="K104" cm="1">
        <f t="array" ref="K104">_xll.BDH(K$2 &amp; " US Equity","PX_LAST",$B104,$B104)</f>
        <v>53.48</v>
      </c>
      <c r="L104" cm="1">
        <f t="array" ref="L104">_xll.BDH(L$2 &amp; " US Equity","PX_LAST",$B104,$B104)</f>
        <v>54.88</v>
      </c>
      <c r="M104" cm="1">
        <f t="array" ref="M104">_xll.BDH(M$2 &amp; " US Equity","PX_LAST",$B104,$B104)</f>
        <v>281.61</v>
      </c>
      <c r="N104" cm="1">
        <f t="array" ref="N104">_xll.BDH(N$2 &amp; " US Equity","PX_LAST",$B104,$B104)</f>
        <v>36.409999999999997</v>
      </c>
      <c r="O104" cm="1">
        <f t="array" ref="O104">_xll.BDH(O$2 &amp; " US Equity","PX_LAST",$B104,$B104)</f>
        <v>33.159999999999997</v>
      </c>
      <c r="P104" cm="1">
        <f t="array" ref="P104">_xll.BDH(P$2 &amp; " US Equity","PX_LAST",$B104,$B104)</f>
        <v>17.04</v>
      </c>
      <c r="Q104" cm="1">
        <f t="array" ref="Q104">_xll.BDH(Q$2 &amp; " US Equity","PX_LAST",$B104,$B104)</f>
        <v>25.8</v>
      </c>
      <c r="R104" cm="1">
        <f t="array" ref="R104">_xll.BDH(R$2 &amp; " US Equity","PX_LAST",$B104,$B104)</f>
        <v>27.78</v>
      </c>
      <c r="S104" cm="1">
        <f t="array" ref="S104">_xll.BDH(S$2 &amp; " US Equity","PX_LAST",$B104,$B104)</f>
        <v>157.72999999999999</v>
      </c>
      <c r="T104" cm="1">
        <f t="array" ref="T104">_xll.BDH(T$2 &amp; " US Equity","PX_LAST",$B104,$B104)</f>
        <v>64.42</v>
      </c>
      <c r="U104" cm="1">
        <f t="array" ref="U104">_xll.BDH(U$2 &amp; " US Equity","PX_LAST",$B104,$B104)</f>
        <v>128.31</v>
      </c>
      <c r="V104" cm="1">
        <f t="array" ref="V104">_xll.BDH(V$2 &amp; " US Equity","PX_LAST",$B104,$B104)</f>
        <v>43.04</v>
      </c>
      <c r="W104" cm="1">
        <f t="array" ref="W104">_xll.BDH(W$2 &amp; " US Equity","PX_LAST",$B104,$B104)</f>
        <v>187.54</v>
      </c>
      <c r="X104" cm="1">
        <f t="array" ref="X104">_xll.BDH(X$2 &amp; " US Equity","PX_LAST",$B104,$B104)</f>
        <v>58.49</v>
      </c>
      <c r="Y104" cm="1">
        <f t="array" ref="Y104">_xll.BDH(Y$2 &amp; " US Equity","PX_LAST",$B104,$B104)</f>
        <v>45</v>
      </c>
      <c r="Z104" cm="1">
        <f t="array" ref="Z104">_xll.BDH(Z$2 &amp; " US Equity","PX_LAST",$B104,$B104)</f>
        <v>370.89</v>
      </c>
      <c r="AA104" cm="1">
        <f t="array" ref="AA104">_xll.BDH(AA$2 &amp; " PE Equity","PX_LAST",$B104,$B104)</f>
        <v>0.59</v>
      </c>
      <c r="AB104" cm="1">
        <f t="array" ref="AB104">_xll.BDH(AB$2 &amp; " PE Equity","PX_LAST",$B104,$B104)</f>
        <v>24.5</v>
      </c>
      <c r="AC104" cm="1">
        <f t="array" ref="AC104">_xll.BDH(AC$2 &amp; " US Equity","PX_LAST",$B104,$B104)</f>
        <v>72.62</v>
      </c>
      <c r="AD104" cm="1">
        <f t="array" ref="AD104">_xll.BDH(AD$2 &amp; " US Equity","PX_LAST",$B104,$B104)</f>
        <v>689.17</v>
      </c>
      <c r="AE104" t="str" cm="1">
        <f t="array" ref="AE104">_xll.BDH(AE$2 &amp; " PE Equity","PX_LAST",$B104,$B104)</f>
        <v>#N/A Connection</v>
      </c>
      <c r="AF104" cm="1">
        <f t="array" ref="AF104">_xll.BDH(AF$2 &amp; " US Equity","PX_LAST",$B104,$B104)</f>
        <v>58.0458</v>
      </c>
      <c r="AG104" cm="1">
        <f t="array" ref="AG104">_xll.BDH(AG$2 &amp; " US Equity","PX_LAST",$B104,$B104)</f>
        <v>13.6357</v>
      </c>
      <c r="AH104" cm="1">
        <f t="array" ref="AH104">_xll.BDH(AH$2 &amp; " US Equity","PX_LAST",$B104,$B104)</f>
        <v>625.58000000000004</v>
      </c>
      <c r="AI104" cm="1">
        <f t="array" ref="AI104">_xll.BDH(AI$2 &amp; " US Equity","PX_LAST",$B104,$B104)</f>
        <v>117.05</v>
      </c>
      <c r="AJ104" cm="1">
        <f t="array" ref="AJ104">_xll.BDH(AJ$2 &amp; " US Equity","PX_LAST",$B104,$B104)</f>
        <v>111.46</v>
      </c>
      <c r="AK104" cm="1">
        <f t="array" ref="AK104">_xll.BDH(AK$2 &amp; " US Equity","PX_LAST",$B104,$B104)</f>
        <v>120.18</v>
      </c>
      <c r="AL104" cm="1">
        <f t="array" ref="AL104">_xll.BDH(AL$2 &amp; " US Equity","PX_LAST",$B104,$B104)</f>
        <v>230.28</v>
      </c>
      <c r="AM104" cm="1">
        <f t="array" ref="AM104">_xll.BDH(AM$2 &amp; " US Equity","PX_LAST",$B104,$B104)</f>
        <v>56.11</v>
      </c>
      <c r="AN104" cm="1">
        <f t="array" ref="AN104">_xll.BDH(AN$2 &amp; " US Equity","PX_LAST",$B104,$B104)</f>
        <v>24.03</v>
      </c>
      <c r="AO104" cm="1">
        <f t="array" ref="AO104">_xll.BDH(AO$2 &amp; " US Equity","PX_LAST",$B104,$B104)</f>
        <v>52.89</v>
      </c>
      <c r="AP104" cm="1">
        <f t="array" ref="AP104">_xll.BDH(AP$2 &amp; " US Equity","PX_LAST",$B104,$B104)</f>
        <v>4.71</v>
      </c>
      <c r="AQ104" cm="1">
        <f t="array" ref="AQ104">_xll.BDH(AQ$2 &amp; " US Equity","PX_LAST",$B104,$B104)</f>
        <v>103.45</v>
      </c>
      <c r="AR104" cm="1">
        <f t="array" ref="AR104">_xll.BDH(AR$2 &amp; " US Equity","PX_LAST",$B104,$B104)</f>
        <v>64.180000000000007</v>
      </c>
      <c r="AS104" cm="1">
        <f t="array" ref="AS104">_xll.BDH(AS$2 &amp; " US Equity","PX_LAST",$B104,$B104)</f>
        <v>94.09</v>
      </c>
      <c r="AT104" cm="1">
        <f t="array" ref="AT104">_xll.BDH(AT$2 &amp; " US Equity","PX_LAST",$B104,$B104)</f>
        <v>5.13</v>
      </c>
      <c r="AU104" cm="1">
        <f t="array" ref="AU104">_xll.BDH(AU$2 &amp; " US Equity","PX_LAST",$B104,$B104)</f>
        <v>336.73</v>
      </c>
      <c r="AV104" cm="1">
        <f t="array" ref="AV104">_xll.BDH(AV$2 &amp; " US Equity","PX_LAST",$B104,$B104)</f>
        <v>242.41</v>
      </c>
      <c r="AW104" cm="1">
        <f t="array" ref="AW104">_xll.BDH(AW$2 &amp; " US Equity","PX_LAST",$B104,$B104)</f>
        <v>142.77000000000001</v>
      </c>
    </row>
    <row r="105" spans="2:49">
      <c r="B105" s="13">
        <v>46003</v>
      </c>
      <c r="C105" cm="1">
        <f t="array" ref="C105">_xll.BDH(C$2 &amp; " US Equity","PX_LAST",$B105,$B105)</f>
        <v>284.33999999999997</v>
      </c>
      <c r="D105" cm="1">
        <f t="array" ref="D105">_xll.BDH(D$2 &amp; " PE Equity","PX_LAST",$B105,$B105)</f>
        <v>4.55</v>
      </c>
      <c r="E105" cm="1">
        <f t="array" ref="E105">_xll.BDH(E$2 &amp; " PE Equity","PX_LAST",$B105,$B105)</f>
        <v>1.87</v>
      </c>
      <c r="F105" cm="1">
        <f t="array" ref="F105">_xll.BDH(F$2 &amp; " PE Equity","PX_LAST",$B105,$B105)</f>
        <v>2.48</v>
      </c>
      <c r="G105" cm="1">
        <f t="array" ref="G105">_xll.BDH(G$2 &amp; " US Equity","PX_LAST",$B105,$B105)</f>
        <v>18.989999999999998</v>
      </c>
      <c r="H105" cm="1">
        <f t="array" ref="H105">_xll.BDH(H$2 &amp; " PE Equity","PX_LAST",$B105,$B105)</f>
        <v>3.51</v>
      </c>
      <c r="I105" cm="1">
        <f t="array" ref="I105">_xll.BDH(I$2 &amp; " US Equity","PX_LAST",$B105,$B105)</f>
        <v>47.84</v>
      </c>
      <c r="J105" cm="1">
        <f t="array" ref="J105">_xll.BDH(J$2 &amp; " US Equity","PX_LAST",$B105,$B105)</f>
        <v>7.1067999999999998</v>
      </c>
      <c r="K105" cm="1">
        <f t="array" ref="K105">_xll.BDH(K$2 &amp; " US Equity","PX_LAST",$B105,$B105)</f>
        <v>53.36</v>
      </c>
      <c r="L105" cm="1">
        <f t="array" ref="L105">_xll.BDH(L$2 &amp; " US Equity","PX_LAST",$B105,$B105)</f>
        <v>54.24</v>
      </c>
      <c r="M105" cm="1">
        <f t="array" ref="M105">_xll.BDH(M$2 &amp; " US Equity","PX_LAST",$B105,$B105)</f>
        <v>282.52999999999997</v>
      </c>
      <c r="N105" cm="1">
        <f t="array" ref="N105">_xll.BDH(N$2 &amp; " US Equity","PX_LAST",$B105,$B105)</f>
        <v>36.119999999999997</v>
      </c>
      <c r="O105" cm="1">
        <f t="array" ref="O105">_xll.BDH(O$2 &amp; " US Equity","PX_LAST",$B105,$B105)</f>
        <v>33.32</v>
      </c>
      <c r="P105" cm="1">
        <f t="array" ref="P105">_xll.BDH(P$2 &amp; " US Equity","PX_LAST",$B105,$B105)</f>
        <v>16.600000000000001</v>
      </c>
      <c r="Q105" cm="1">
        <f t="array" ref="Q105">_xll.BDH(Q$2 &amp; " US Equity","PX_LAST",$B105,$B105)</f>
        <v>25.85</v>
      </c>
      <c r="R105" cm="1">
        <f t="array" ref="R105">_xll.BDH(R$2 &amp; " US Equity","PX_LAST",$B105,$B105)</f>
        <v>28.16</v>
      </c>
      <c r="S105" cm="1">
        <f t="array" ref="S105">_xll.BDH(S$2 &amp; " US Equity","PX_LAST",$B105,$B105)</f>
        <v>156.74</v>
      </c>
      <c r="T105" cm="1">
        <f t="array" ref="T105">_xll.BDH(T$2 &amp; " US Equity","PX_LAST",$B105,$B105)</f>
        <v>63.98</v>
      </c>
      <c r="U105" cm="1">
        <f t="array" ref="U105">_xll.BDH(U$2 &amp; " US Equity","PX_LAST",$B105,$B105)</f>
        <v>125.01</v>
      </c>
      <c r="V105" cm="1">
        <f t="array" ref="V105">_xll.BDH(V$2 &amp; " US Equity","PX_LAST",$B105,$B105)</f>
        <v>42.83</v>
      </c>
      <c r="W105" cm="1">
        <f t="array" ref="W105">_xll.BDH(W$2 &amp; " US Equity","PX_LAST",$B105,$B105)</f>
        <v>183.57</v>
      </c>
      <c r="X105" cm="1">
        <f t="array" ref="X105">_xll.BDH(X$2 &amp; " US Equity","PX_LAST",$B105,$B105)</f>
        <v>58.37</v>
      </c>
      <c r="Y105" cm="1">
        <f t="array" ref="Y105">_xll.BDH(Y$2 &amp; " US Equity","PX_LAST",$B105,$B105)</f>
        <v>44.88</v>
      </c>
      <c r="Z105" cm="1">
        <f t="array" ref="Z105">_xll.BDH(Z$2 &amp; " US Equity","PX_LAST",$B105,$B105)</f>
        <v>354.12</v>
      </c>
      <c r="AA105" cm="1">
        <f t="array" ref="AA105">_xll.BDH(AA$2 &amp; " PE Equity","PX_LAST",$B105,$B105)</f>
        <v>0.59</v>
      </c>
      <c r="AB105" cm="1">
        <f t="array" ref="AB105">_xll.BDH(AB$2 &amp; " PE Equity","PX_LAST",$B105,$B105)</f>
        <v>25</v>
      </c>
      <c r="AC105" cm="1">
        <f t="array" ref="AC105">_xll.BDH(AC$2 &amp; " US Equity","PX_LAST",$B105,$B105)</f>
        <v>72.25</v>
      </c>
      <c r="AD105" cm="1">
        <f t="array" ref="AD105">_xll.BDH(AD$2 &amp; " US Equity","PX_LAST",$B105,$B105)</f>
        <v>681.76</v>
      </c>
      <c r="AE105" t="str" cm="1">
        <f t="array" ref="AE105">_xll.BDH(AE$2 &amp; " PE Equity","PX_LAST",$B105,$B105)</f>
        <v>#N/A Connection</v>
      </c>
      <c r="AF105" cm="1">
        <f t="array" ref="AF105">_xll.BDH(AF$2 &amp; " US Equity","PX_LAST",$B105,$B105)</f>
        <v>57.899099999999997</v>
      </c>
      <c r="AG105" cm="1">
        <f t="array" ref="AG105">_xll.BDH(AG$2 &amp; " US Equity","PX_LAST",$B105,$B105)</f>
        <v>13.715</v>
      </c>
      <c r="AH105" cm="1">
        <f t="array" ref="AH105">_xll.BDH(AH$2 &amp; " US Equity","PX_LAST",$B105,$B105)</f>
        <v>613.62</v>
      </c>
      <c r="AI105" cm="1">
        <f t="array" ref="AI105">_xll.BDH(AI$2 &amp; " US Equity","PX_LAST",$B105,$B105)</f>
        <v>116.96</v>
      </c>
      <c r="AJ105" cm="1">
        <f t="array" ref="AJ105">_xll.BDH(AJ$2 &amp; " US Equity","PX_LAST",$B105,$B105)</f>
        <v>111.6</v>
      </c>
      <c r="AK105" cm="1">
        <f t="array" ref="AK105">_xll.BDH(AK$2 &amp; " US Equity","PX_LAST",$B105,$B105)</f>
        <v>120.7</v>
      </c>
      <c r="AL105" cm="1">
        <f t="array" ref="AL105">_xll.BDH(AL$2 &amp; " US Equity","PX_LAST",$B105,$B105)</f>
        <v>226.19</v>
      </c>
      <c r="AM105" cm="1">
        <f t="array" ref="AM105">_xll.BDH(AM$2 &amp; " US Equity","PX_LAST",$B105,$B105)</f>
        <v>52.82</v>
      </c>
      <c r="AN105" cm="1">
        <f t="array" ref="AN105">_xll.BDH(AN$2 &amp; " US Equity","PX_LAST",$B105,$B105)</f>
        <v>23.995000000000001</v>
      </c>
      <c r="AO105" cm="1">
        <f t="array" ref="AO105">_xll.BDH(AO$2 &amp; " US Equity","PX_LAST",$B105,$B105)</f>
        <v>52.56</v>
      </c>
      <c r="AP105" cm="1">
        <f t="array" ref="AP105">_xll.BDH(AP$2 &amp; " US Equity","PX_LAST",$B105,$B105)</f>
        <v>4.5599999999999996</v>
      </c>
      <c r="AQ105" cm="1">
        <f t="array" ref="AQ105">_xll.BDH(AQ$2 &amp; " US Equity","PX_LAST",$B105,$B105)</f>
        <v>103.15</v>
      </c>
      <c r="AR105" cm="1">
        <f t="array" ref="AR105">_xll.BDH(AR$2 &amp; " US Equity","PX_LAST",$B105,$B105)</f>
        <v>63.9</v>
      </c>
      <c r="AS105" cm="1">
        <f t="array" ref="AS105">_xll.BDH(AS$2 &amp; " US Equity","PX_LAST",$B105,$B105)</f>
        <v>95.19</v>
      </c>
      <c r="AT105" cm="1">
        <f t="array" ref="AT105">_xll.BDH(AT$2 &amp; " US Equity","PX_LAST",$B105,$B105)</f>
        <v>5.03</v>
      </c>
      <c r="AU105" cm="1">
        <f t="array" ref="AU105">_xll.BDH(AU$2 &amp; " US Equity","PX_LAST",$B105,$B105)</f>
        <v>341.84</v>
      </c>
      <c r="AV105" cm="1">
        <f t="array" ref="AV105">_xll.BDH(AV$2 &amp; " US Equity","PX_LAST",$B105,$B105)</f>
        <v>241.47</v>
      </c>
      <c r="AW105" cm="1">
        <f t="array" ref="AW105">_xll.BDH(AW$2 &amp; " US Equity","PX_LAST",$B105,$B105)</f>
        <v>136.6</v>
      </c>
    </row>
    <row r="106" spans="2:49">
      <c r="B106" s="13">
        <v>46004</v>
      </c>
      <c r="C106" t="str" cm="1">
        <f t="array" ref="C106">_xll.BDH(C$2 &amp; " US Equity","PX_LAST",$B106,$B106)</f>
        <v>#N/A N/A</v>
      </c>
      <c r="D106" t="str" cm="1">
        <f t="array" ref="D106">_xll.BDH(D$2 &amp; " PE Equity","PX_LAST",$B106,$B106)</f>
        <v>#N/A N/A</v>
      </c>
      <c r="E106" t="str" cm="1">
        <f t="array" ref="E106">_xll.BDH(E$2 &amp; " PE Equity","PX_LAST",$B106,$B106)</f>
        <v>#N/A N/A</v>
      </c>
      <c r="F106" t="str" cm="1">
        <f t="array" ref="F106">_xll.BDH(F$2 &amp; " PE Equity","PX_LAST",$B106,$B106)</f>
        <v>#N/A N/A</v>
      </c>
      <c r="G106" t="str" cm="1">
        <f t="array" ref="G106">_xll.BDH(G$2 &amp; " US Equity","PX_LAST",$B106,$B106)</f>
        <v>#N/A N/A</v>
      </c>
      <c r="H106" t="str" cm="1">
        <f t="array" ref="H106">_xll.BDH(H$2 &amp; " PE Equity","PX_LAST",$B106,$B106)</f>
        <v>#N/A N/A</v>
      </c>
      <c r="I106" t="str" cm="1">
        <f t="array" ref="I106">_xll.BDH(I$2 &amp; " US Equity","PX_LAST",$B106,$B106)</f>
        <v>#N/A N/A</v>
      </c>
      <c r="J106" t="str" cm="1">
        <f t="array" ref="J106">_xll.BDH(J$2 &amp; " US Equity","PX_LAST",$B106,$B106)</f>
        <v>#N/A N/A</v>
      </c>
      <c r="K106" t="str" cm="1">
        <f t="array" ref="K106">_xll.BDH(K$2 &amp; " US Equity","PX_LAST",$B106,$B106)</f>
        <v>#N/A N/A</v>
      </c>
      <c r="L106" t="str" cm="1">
        <f t="array" ref="L106">_xll.BDH(L$2 &amp; " US Equity","PX_LAST",$B106,$B106)</f>
        <v>#N/A N/A</v>
      </c>
      <c r="M106" t="str" cm="1">
        <f t="array" ref="M106">_xll.BDH(M$2 &amp; " US Equity","PX_LAST",$B106,$B106)</f>
        <v>#N/A N/A</v>
      </c>
      <c r="N106" t="str" cm="1">
        <f t="array" ref="N106">_xll.BDH(N$2 &amp; " US Equity","PX_LAST",$B106,$B106)</f>
        <v>#N/A N/A</v>
      </c>
      <c r="O106" t="str" cm="1">
        <f t="array" ref="O106">_xll.BDH(O$2 &amp; " US Equity","PX_LAST",$B106,$B106)</f>
        <v>#N/A N/A</v>
      </c>
      <c r="P106" t="str" cm="1">
        <f t="array" ref="P106">_xll.BDH(P$2 &amp; " US Equity","PX_LAST",$B106,$B106)</f>
        <v>#N/A N/A</v>
      </c>
      <c r="Q106" t="str" cm="1">
        <f t="array" ref="Q106">_xll.BDH(Q$2 &amp; " US Equity","PX_LAST",$B106,$B106)</f>
        <v>#N/A N/A</v>
      </c>
      <c r="R106" t="str" cm="1">
        <f t="array" ref="R106">_xll.BDH(R$2 &amp; " US Equity","PX_LAST",$B106,$B106)</f>
        <v>#N/A N/A</v>
      </c>
      <c r="S106" t="str" cm="1">
        <f t="array" ref="S106">_xll.BDH(S$2 &amp; " US Equity","PX_LAST",$B106,$B106)</f>
        <v>#N/A N/A</v>
      </c>
      <c r="T106" t="str" cm="1">
        <f t="array" ref="T106">_xll.BDH(T$2 &amp; " US Equity","PX_LAST",$B106,$B106)</f>
        <v>#N/A N/A</v>
      </c>
      <c r="U106" t="str" cm="1">
        <f t="array" ref="U106">_xll.BDH(U$2 &amp; " US Equity","PX_LAST",$B106,$B106)</f>
        <v>#N/A N/A</v>
      </c>
      <c r="V106" t="str" cm="1">
        <f t="array" ref="V106">_xll.BDH(V$2 &amp; " US Equity","PX_LAST",$B106,$B106)</f>
        <v>#N/A N/A</v>
      </c>
      <c r="W106" t="str" cm="1">
        <f t="array" ref="W106">_xll.BDH(W$2 &amp; " US Equity","PX_LAST",$B106,$B106)</f>
        <v>#N/A N/A</v>
      </c>
      <c r="X106" t="str" cm="1">
        <f t="array" ref="X106">_xll.BDH(X$2 &amp; " US Equity","PX_LAST",$B106,$B106)</f>
        <v>#N/A N/A</v>
      </c>
      <c r="Y106" t="str" cm="1">
        <f t="array" ref="Y106">_xll.BDH(Y$2 &amp; " US Equity","PX_LAST",$B106,$B106)</f>
        <v>#N/A N/A</v>
      </c>
      <c r="Z106" t="str" cm="1">
        <f t="array" ref="Z106">_xll.BDH(Z$2 &amp; " US Equity","PX_LAST",$B106,$B106)</f>
        <v>#N/A N/A</v>
      </c>
      <c r="AA106" t="str" cm="1">
        <f t="array" ref="AA106">_xll.BDH(AA$2 &amp; " PE Equity","PX_LAST",$B106,$B106)</f>
        <v>#N/A N/A</v>
      </c>
      <c r="AB106" t="str" cm="1">
        <f t="array" ref="AB106">_xll.BDH(AB$2 &amp; " PE Equity","PX_LAST",$B106,$B106)</f>
        <v>#N/A N/A</v>
      </c>
      <c r="AC106" t="str" cm="1">
        <f t="array" ref="AC106">_xll.BDH(AC$2 &amp; " US Equity","PX_LAST",$B106,$B106)</f>
        <v>#N/A N/A</v>
      </c>
      <c r="AD106" t="str" cm="1">
        <f t="array" ref="AD106">_xll.BDH(AD$2 &amp; " US Equity","PX_LAST",$B106,$B106)</f>
        <v>#N/A N/A</v>
      </c>
      <c r="AE106" t="str" cm="1">
        <f t="array" ref="AE106">_xll.BDH(AE$2 &amp; " PE Equity","PX_LAST",$B106,$B106)</f>
        <v>#N/A Connection</v>
      </c>
      <c r="AF106" t="str" cm="1">
        <f t="array" ref="AF106">_xll.BDH(AF$2 &amp; " US Equity","PX_LAST",$B106,$B106)</f>
        <v>#N/A N/A</v>
      </c>
      <c r="AG106" t="str" cm="1">
        <f t="array" ref="AG106">_xll.BDH(AG$2 &amp; " US Equity","PX_LAST",$B106,$B106)</f>
        <v>#N/A N/A</v>
      </c>
      <c r="AH106" t="str" cm="1">
        <f t="array" ref="AH106">_xll.BDH(AH$2 &amp; " US Equity","PX_LAST",$B106,$B106)</f>
        <v>#N/A N/A</v>
      </c>
      <c r="AI106" t="str" cm="1">
        <f t="array" ref="AI106">_xll.BDH(AI$2 &amp; " US Equity","PX_LAST",$B106,$B106)</f>
        <v>#N/A N/A</v>
      </c>
      <c r="AJ106" t="str" cm="1">
        <f t="array" ref="AJ106">_xll.BDH(AJ$2 &amp; " US Equity","PX_LAST",$B106,$B106)</f>
        <v>#N/A N/A</v>
      </c>
      <c r="AK106" t="str" cm="1">
        <f t="array" ref="AK106">_xll.BDH(AK$2 &amp; " US Equity","PX_LAST",$B106,$B106)</f>
        <v>#N/A N/A</v>
      </c>
      <c r="AL106" t="str" cm="1">
        <f t="array" ref="AL106">_xll.BDH(AL$2 &amp; " US Equity","PX_LAST",$B106,$B106)</f>
        <v>#N/A N/A</v>
      </c>
      <c r="AM106" t="str" cm="1">
        <f t="array" ref="AM106">_xll.BDH(AM$2 &amp; " US Equity","PX_LAST",$B106,$B106)</f>
        <v>#N/A N/A</v>
      </c>
      <c r="AN106" t="str" cm="1">
        <f t="array" ref="AN106">_xll.BDH(AN$2 &amp; " US Equity","PX_LAST",$B106,$B106)</f>
        <v>#N/A N/A</v>
      </c>
      <c r="AO106" t="str" cm="1">
        <f t="array" ref="AO106">_xll.BDH(AO$2 &amp; " US Equity","PX_LAST",$B106,$B106)</f>
        <v>#N/A N/A</v>
      </c>
      <c r="AP106" t="str" cm="1">
        <f t="array" ref="AP106">_xll.BDH(AP$2 &amp; " US Equity","PX_LAST",$B106,$B106)</f>
        <v>#N/A N/A</v>
      </c>
      <c r="AQ106" t="str" cm="1">
        <f t="array" ref="AQ106">_xll.BDH(AQ$2 &amp; " US Equity","PX_LAST",$B106,$B106)</f>
        <v>#N/A N/A</v>
      </c>
      <c r="AR106" t="str" cm="1">
        <f t="array" ref="AR106">_xll.BDH(AR$2 &amp; " US Equity","PX_LAST",$B106,$B106)</f>
        <v>#N/A N/A</v>
      </c>
      <c r="AS106" t="str" cm="1">
        <f t="array" ref="AS106">_xll.BDH(AS$2 &amp; " US Equity","PX_LAST",$B106,$B106)</f>
        <v>#N/A N/A</v>
      </c>
      <c r="AT106" t="str" cm="1">
        <f t="array" ref="AT106">_xll.BDH(AT$2 &amp; " US Equity","PX_LAST",$B106,$B106)</f>
        <v>#N/A N/A</v>
      </c>
      <c r="AU106" t="str" cm="1">
        <f t="array" ref="AU106">_xll.BDH(AU$2 &amp; " US Equity","PX_LAST",$B106,$B106)</f>
        <v>#N/A N/A</v>
      </c>
      <c r="AV106" t="str" cm="1">
        <f t="array" ref="AV106">_xll.BDH(AV$2 &amp; " US Equity","PX_LAST",$B106,$B106)</f>
        <v>#N/A N/A</v>
      </c>
      <c r="AW106" t="str" cm="1">
        <f t="array" ref="AW106">_xll.BDH(AW$2 &amp; " US Equity","PX_LAST",$B106,$B106)</f>
        <v>#N/A N/A</v>
      </c>
    </row>
    <row r="107" spans="2:49">
      <c r="B107" s="13">
        <v>46005</v>
      </c>
      <c r="C107" t="str" cm="1">
        <f t="array" ref="C107">_xll.BDH(C$2 &amp; " US Equity","PX_LAST",$B107,$B107)</f>
        <v>#N/A N/A</v>
      </c>
      <c r="D107" t="str" cm="1">
        <f t="array" ref="D107">_xll.BDH(D$2 &amp; " PE Equity","PX_LAST",$B107,$B107)</f>
        <v>#N/A N/A</v>
      </c>
      <c r="E107" t="str" cm="1">
        <f t="array" ref="E107">_xll.BDH(E$2 &amp; " PE Equity","PX_LAST",$B107,$B107)</f>
        <v>#N/A N/A</v>
      </c>
      <c r="F107" t="str" cm="1">
        <f t="array" ref="F107">_xll.BDH(F$2 &amp; " PE Equity","PX_LAST",$B107,$B107)</f>
        <v>#N/A N/A</v>
      </c>
      <c r="G107" t="str" cm="1">
        <f t="array" ref="G107">_xll.BDH(G$2 &amp; " US Equity","PX_LAST",$B107,$B107)</f>
        <v>#N/A N/A</v>
      </c>
      <c r="H107" t="str" cm="1">
        <f t="array" ref="H107">_xll.BDH(H$2 &amp; " PE Equity","PX_LAST",$B107,$B107)</f>
        <v>#N/A N/A</v>
      </c>
      <c r="I107" t="str" cm="1">
        <f t="array" ref="I107">_xll.BDH(I$2 &amp; " US Equity","PX_LAST",$B107,$B107)</f>
        <v>#N/A N/A</v>
      </c>
      <c r="J107" t="str" cm="1">
        <f t="array" ref="J107">_xll.BDH(J$2 &amp; " US Equity","PX_LAST",$B107,$B107)</f>
        <v>#N/A N/A</v>
      </c>
      <c r="K107" t="str" cm="1">
        <f t="array" ref="K107">_xll.BDH(K$2 &amp; " US Equity","PX_LAST",$B107,$B107)</f>
        <v>#N/A N/A</v>
      </c>
      <c r="L107" t="str" cm="1">
        <f t="array" ref="L107">_xll.BDH(L$2 &amp; " US Equity","PX_LAST",$B107,$B107)</f>
        <v>#N/A N/A</v>
      </c>
      <c r="M107" t="str" cm="1">
        <f t="array" ref="M107">_xll.BDH(M$2 &amp; " US Equity","PX_LAST",$B107,$B107)</f>
        <v>#N/A N/A</v>
      </c>
      <c r="N107" t="str" cm="1">
        <f t="array" ref="N107">_xll.BDH(N$2 &amp; " US Equity","PX_LAST",$B107,$B107)</f>
        <v>#N/A N/A</v>
      </c>
      <c r="O107" t="str" cm="1">
        <f t="array" ref="O107">_xll.BDH(O$2 &amp; " US Equity","PX_LAST",$B107,$B107)</f>
        <v>#N/A N/A</v>
      </c>
      <c r="P107" t="str" cm="1">
        <f t="array" ref="P107">_xll.BDH(P$2 &amp; " US Equity","PX_LAST",$B107,$B107)</f>
        <v>#N/A N/A</v>
      </c>
      <c r="Q107" t="str" cm="1">
        <f t="array" ref="Q107">_xll.BDH(Q$2 &amp; " US Equity","PX_LAST",$B107,$B107)</f>
        <v>#N/A N/A</v>
      </c>
      <c r="R107" t="str" cm="1">
        <f t="array" ref="R107">_xll.BDH(R$2 &amp; " US Equity","PX_LAST",$B107,$B107)</f>
        <v>#N/A N/A</v>
      </c>
      <c r="S107" t="str" cm="1">
        <f t="array" ref="S107">_xll.BDH(S$2 &amp; " US Equity","PX_LAST",$B107,$B107)</f>
        <v>#N/A N/A</v>
      </c>
      <c r="T107" t="str" cm="1">
        <f t="array" ref="T107">_xll.BDH(T$2 &amp; " US Equity","PX_LAST",$B107,$B107)</f>
        <v>#N/A N/A</v>
      </c>
      <c r="U107" t="str" cm="1">
        <f t="array" ref="U107">_xll.BDH(U$2 &amp; " US Equity","PX_LAST",$B107,$B107)</f>
        <v>#N/A N/A</v>
      </c>
      <c r="V107" t="str" cm="1">
        <f t="array" ref="V107">_xll.BDH(V$2 &amp; " US Equity","PX_LAST",$B107,$B107)</f>
        <v>#N/A N/A</v>
      </c>
      <c r="W107" t="str" cm="1">
        <f t="array" ref="W107">_xll.BDH(W$2 &amp; " US Equity","PX_LAST",$B107,$B107)</f>
        <v>#N/A N/A</v>
      </c>
      <c r="X107" t="str" cm="1">
        <f t="array" ref="X107">_xll.BDH(X$2 &amp; " US Equity","PX_LAST",$B107,$B107)</f>
        <v>#N/A N/A</v>
      </c>
      <c r="Y107" t="str" cm="1">
        <f t="array" ref="Y107">_xll.BDH(Y$2 &amp; " US Equity","PX_LAST",$B107,$B107)</f>
        <v>#N/A N/A</v>
      </c>
      <c r="Z107" t="str" cm="1">
        <f t="array" ref="Z107">_xll.BDH(Z$2 &amp; " US Equity","PX_LAST",$B107,$B107)</f>
        <v>#N/A N/A</v>
      </c>
      <c r="AA107" t="str" cm="1">
        <f t="array" ref="AA107">_xll.BDH(AA$2 &amp; " PE Equity","PX_LAST",$B107,$B107)</f>
        <v>#N/A N/A</v>
      </c>
      <c r="AB107" t="str" cm="1">
        <f t="array" ref="AB107">_xll.BDH(AB$2 &amp; " PE Equity","PX_LAST",$B107,$B107)</f>
        <v>#N/A N/A</v>
      </c>
      <c r="AC107" t="str" cm="1">
        <f t="array" ref="AC107">_xll.BDH(AC$2 &amp; " US Equity","PX_LAST",$B107,$B107)</f>
        <v>#N/A N/A</v>
      </c>
      <c r="AD107" t="str" cm="1">
        <f t="array" ref="AD107">_xll.BDH(AD$2 &amp; " US Equity","PX_LAST",$B107,$B107)</f>
        <v>#N/A N/A</v>
      </c>
      <c r="AE107" t="str" cm="1">
        <f t="array" ref="AE107">_xll.BDH(AE$2 &amp; " PE Equity","PX_LAST",$B107,$B107)</f>
        <v>#N/A Connection</v>
      </c>
      <c r="AF107" t="str" cm="1">
        <f t="array" ref="AF107">_xll.BDH(AF$2 &amp; " US Equity","PX_LAST",$B107,$B107)</f>
        <v>#N/A N/A</v>
      </c>
      <c r="AG107" t="str" cm="1">
        <f t="array" ref="AG107">_xll.BDH(AG$2 &amp; " US Equity","PX_LAST",$B107,$B107)</f>
        <v>#N/A N/A</v>
      </c>
      <c r="AH107" t="str" cm="1">
        <f t="array" ref="AH107">_xll.BDH(AH$2 &amp; " US Equity","PX_LAST",$B107,$B107)</f>
        <v>#N/A N/A</v>
      </c>
      <c r="AI107" t="str" cm="1">
        <f t="array" ref="AI107">_xll.BDH(AI$2 &amp; " US Equity","PX_LAST",$B107,$B107)</f>
        <v>#N/A N/A</v>
      </c>
      <c r="AJ107" t="str" cm="1">
        <f t="array" ref="AJ107">_xll.BDH(AJ$2 &amp; " US Equity","PX_LAST",$B107,$B107)</f>
        <v>#N/A N/A</v>
      </c>
      <c r="AK107" t="str" cm="1">
        <f t="array" ref="AK107">_xll.BDH(AK$2 &amp; " US Equity","PX_LAST",$B107,$B107)</f>
        <v>#N/A N/A</v>
      </c>
      <c r="AL107" t="str" cm="1">
        <f t="array" ref="AL107">_xll.BDH(AL$2 &amp; " US Equity","PX_LAST",$B107,$B107)</f>
        <v>#N/A N/A</v>
      </c>
      <c r="AM107" t="str" cm="1">
        <f t="array" ref="AM107">_xll.BDH(AM$2 &amp; " US Equity","PX_LAST",$B107,$B107)</f>
        <v>#N/A N/A</v>
      </c>
      <c r="AN107" t="str" cm="1">
        <f t="array" ref="AN107">_xll.BDH(AN$2 &amp; " US Equity","PX_LAST",$B107,$B107)</f>
        <v>#N/A N/A</v>
      </c>
      <c r="AO107" t="str" cm="1">
        <f t="array" ref="AO107">_xll.BDH(AO$2 &amp; " US Equity","PX_LAST",$B107,$B107)</f>
        <v>#N/A N/A</v>
      </c>
      <c r="AP107" t="str" cm="1">
        <f t="array" ref="AP107">_xll.BDH(AP$2 &amp; " US Equity","PX_LAST",$B107,$B107)</f>
        <v>#N/A N/A</v>
      </c>
      <c r="AQ107" t="str" cm="1">
        <f t="array" ref="AQ107">_xll.BDH(AQ$2 &amp; " US Equity","PX_LAST",$B107,$B107)</f>
        <v>#N/A N/A</v>
      </c>
      <c r="AR107" t="str" cm="1">
        <f t="array" ref="AR107">_xll.BDH(AR$2 &amp; " US Equity","PX_LAST",$B107,$B107)</f>
        <v>#N/A N/A</v>
      </c>
      <c r="AS107" t="str" cm="1">
        <f t="array" ref="AS107">_xll.BDH(AS$2 &amp; " US Equity","PX_LAST",$B107,$B107)</f>
        <v>#N/A N/A</v>
      </c>
      <c r="AT107" t="str" cm="1">
        <f t="array" ref="AT107">_xll.BDH(AT$2 &amp; " US Equity","PX_LAST",$B107,$B107)</f>
        <v>#N/A N/A</v>
      </c>
      <c r="AU107" t="str" cm="1">
        <f t="array" ref="AU107">_xll.BDH(AU$2 &amp; " US Equity","PX_LAST",$B107,$B107)</f>
        <v>#N/A N/A</v>
      </c>
      <c r="AV107" t="str" cm="1">
        <f t="array" ref="AV107">_xll.BDH(AV$2 &amp; " US Equity","PX_LAST",$B107,$B107)</f>
        <v>#N/A N/A</v>
      </c>
      <c r="AW107" t="str" cm="1">
        <f t="array" ref="AW107">_xll.BDH(AW$2 &amp; " US Equity","PX_LAST",$B107,$B107)</f>
        <v>#N/A N/A</v>
      </c>
    </row>
    <row r="108" spans="2:49">
      <c r="B108" s="13">
        <v>46006</v>
      </c>
      <c r="C108" cm="1">
        <f t="array" ref="C108">_xll.BDH(C$2 &amp; " US Equity","PX_LAST",$B108,$B108)</f>
        <v>281.23</v>
      </c>
      <c r="D108" cm="1">
        <f t="array" ref="D108">_xll.BDH(D$2 &amp; " PE Equity","PX_LAST",$B108,$B108)</f>
        <v>4.55</v>
      </c>
      <c r="E108" cm="1">
        <f t="array" ref="E108">_xll.BDH(E$2 &amp; " PE Equity","PX_LAST",$B108,$B108)</f>
        <v>1.88</v>
      </c>
      <c r="F108" cm="1">
        <f t="array" ref="F108">_xll.BDH(F$2 &amp; " PE Equity","PX_LAST",$B108,$B108)</f>
        <v>2.4500000000000002</v>
      </c>
      <c r="G108" cm="1">
        <f t="array" ref="G108">_xll.BDH(G$2 &amp; " US Equity","PX_LAST",$B108,$B108)</f>
        <v>18.309999999999999</v>
      </c>
      <c r="H108" cm="1">
        <f t="array" ref="H108">_xll.BDH(H$2 &amp; " PE Equity","PX_LAST",$B108,$B108)</f>
        <v>3.5</v>
      </c>
      <c r="I108" cm="1">
        <f t="array" ref="I108">_xll.BDH(I$2 &amp; " US Equity","PX_LAST",$B108,$B108)</f>
        <v>47.57</v>
      </c>
      <c r="J108" cm="1">
        <f t="array" ref="J108">_xll.BDH(J$2 &amp; " US Equity","PX_LAST",$B108,$B108)</f>
        <v>7.2329999999999997</v>
      </c>
      <c r="K108" cm="1">
        <f t="array" ref="K108">_xll.BDH(K$2 &amp; " US Equity","PX_LAST",$B108,$B108)</f>
        <v>54.01</v>
      </c>
      <c r="L108" cm="1">
        <f t="array" ref="L108">_xll.BDH(L$2 &amp; " US Equity","PX_LAST",$B108,$B108)</f>
        <v>54.08</v>
      </c>
      <c r="M108" cm="1">
        <f t="array" ref="M108">_xll.BDH(M$2 &amp; " US Equity","PX_LAST",$B108,$B108)</f>
        <v>282.24</v>
      </c>
      <c r="N108" cm="1">
        <f t="array" ref="N108">_xll.BDH(N$2 &amp; " US Equity","PX_LAST",$B108,$B108)</f>
        <v>36.53</v>
      </c>
      <c r="O108" cm="1">
        <f t="array" ref="O108">_xll.BDH(O$2 &amp; " US Equity","PX_LAST",$B108,$B108)</f>
        <v>33.58</v>
      </c>
      <c r="P108" cm="1">
        <f t="array" ref="P108">_xll.BDH(P$2 &amp; " US Equity","PX_LAST",$B108,$B108)</f>
        <v>16.579999999999998</v>
      </c>
      <c r="Q108" cm="1">
        <f t="array" ref="Q108">_xll.BDH(Q$2 &amp; " US Equity","PX_LAST",$B108,$B108)</f>
        <v>26.43</v>
      </c>
      <c r="R108" cm="1">
        <f t="array" ref="R108">_xll.BDH(R$2 &amp; " US Equity","PX_LAST",$B108,$B108)</f>
        <v>27.71</v>
      </c>
      <c r="S108" cm="1">
        <f t="array" ref="S108">_xll.BDH(S$2 &amp; " US Equity","PX_LAST",$B108,$B108)</f>
        <v>156.99</v>
      </c>
      <c r="T108" cm="1">
        <f t="array" ref="T108">_xll.BDH(T$2 &amp; " US Equity","PX_LAST",$B108,$B108)</f>
        <v>64.33</v>
      </c>
      <c r="U108" cm="1">
        <f t="array" ref="U108">_xll.BDH(U$2 &amp; " US Equity","PX_LAST",$B108,$B108)</f>
        <v>118.83</v>
      </c>
      <c r="V108" cm="1">
        <f t="array" ref="V108">_xll.BDH(V$2 &amp; " US Equity","PX_LAST",$B108,$B108)</f>
        <v>43.22</v>
      </c>
      <c r="W108" cm="1">
        <f t="array" ref="W108">_xll.BDH(W$2 &amp; " US Equity","PX_LAST",$B108,$B108)</f>
        <v>183.25</v>
      </c>
      <c r="X108" cm="1">
        <f t="array" ref="X108">_xll.BDH(X$2 &amp; " US Equity","PX_LAST",$B108,$B108)</f>
        <v>59.06</v>
      </c>
      <c r="Y108" cm="1">
        <f t="array" ref="Y108">_xll.BDH(Y$2 &amp; " US Equity","PX_LAST",$B108,$B108)</f>
        <v>45.18</v>
      </c>
      <c r="Z108" cm="1">
        <f t="array" ref="Z108">_xll.BDH(Z$2 &amp; " US Equity","PX_LAST",$B108,$B108)</f>
        <v>352.9</v>
      </c>
      <c r="AA108" cm="1">
        <f t="array" ref="AA108">_xll.BDH(AA$2 &amp; " PE Equity","PX_LAST",$B108,$B108)</f>
        <v>0.6</v>
      </c>
      <c r="AB108" cm="1">
        <f t="array" ref="AB108">_xll.BDH(AB$2 &amp; " PE Equity","PX_LAST",$B108,$B108)</f>
        <v>25</v>
      </c>
      <c r="AC108" cm="1">
        <f t="array" ref="AC108">_xll.BDH(AC$2 &amp; " US Equity","PX_LAST",$B108,$B108)</f>
        <v>72.430000000000007</v>
      </c>
      <c r="AD108" cm="1">
        <f t="array" ref="AD108">_xll.BDH(AD$2 &amp; " US Equity","PX_LAST",$B108,$B108)</f>
        <v>680.73</v>
      </c>
      <c r="AE108" t="str" cm="1">
        <f t="array" ref="AE108">_xll.BDH(AE$2 &amp; " PE Equity","PX_LAST",$B108,$B108)</f>
        <v>#N/A Connection</v>
      </c>
      <c r="AF108" cm="1">
        <f t="array" ref="AF108">_xll.BDH(AF$2 &amp; " US Equity","PX_LAST",$B108,$B108)</f>
        <v>58.414499999999997</v>
      </c>
      <c r="AG108" cm="1">
        <f t="array" ref="AG108">_xll.BDH(AG$2 &amp; " US Equity","PX_LAST",$B108,$B108)</f>
        <v>13.75</v>
      </c>
      <c r="AH108" cm="1">
        <f t="array" ref="AH108">_xll.BDH(AH$2 &amp; " US Equity","PX_LAST",$B108,$B108)</f>
        <v>610.54</v>
      </c>
      <c r="AI108" cm="1">
        <f t="array" ref="AI108">_xll.BDH(AI$2 &amp; " US Equity","PX_LAST",$B108,$B108)</f>
        <v>117.6</v>
      </c>
      <c r="AJ108" cm="1">
        <f t="array" ref="AJ108">_xll.BDH(AJ$2 &amp; " US Equity","PX_LAST",$B108,$B108)</f>
        <v>110.49</v>
      </c>
      <c r="AK108" cm="1">
        <f t="array" ref="AK108">_xll.BDH(AK$2 &amp; " US Equity","PX_LAST",$B108,$B108)</f>
        <v>121.73</v>
      </c>
      <c r="AL108" cm="1">
        <f t="array" ref="AL108">_xll.BDH(AL$2 &amp; " US Equity","PX_LAST",$B108,$B108)</f>
        <v>222.54</v>
      </c>
      <c r="AM108" cm="1">
        <f t="array" ref="AM108">_xll.BDH(AM$2 &amp; " US Equity","PX_LAST",$B108,$B108)</f>
        <v>52.02</v>
      </c>
      <c r="AN108" cm="1">
        <f t="array" ref="AN108">_xll.BDH(AN$2 &amp; " US Equity","PX_LAST",$B108,$B108)</f>
        <v>23.695</v>
      </c>
      <c r="AO108" cm="1">
        <f t="array" ref="AO108">_xll.BDH(AO$2 &amp; " US Equity","PX_LAST",$B108,$B108)</f>
        <v>51.63</v>
      </c>
      <c r="AP108" cm="1">
        <f t="array" ref="AP108">_xll.BDH(AP$2 &amp; " US Equity","PX_LAST",$B108,$B108)</f>
        <v>4.5599999999999996</v>
      </c>
      <c r="AQ108" cm="1">
        <f t="array" ref="AQ108">_xll.BDH(AQ$2 &amp; " US Equity","PX_LAST",$B108,$B108)</f>
        <v>102.8</v>
      </c>
      <c r="AR108" cm="1">
        <f t="array" ref="AR108">_xll.BDH(AR$2 &amp; " US Equity","PX_LAST",$B108,$B108)</f>
        <v>63.06</v>
      </c>
      <c r="AS108" cm="1">
        <f t="array" ref="AS108">_xll.BDH(AS$2 &amp; " US Equity","PX_LAST",$B108,$B108)</f>
        <v>93.77</v>
      </c>
      <c r="AT108" cm="1">
        <f t="array" ref="AT108">_xll.BDH(AT$2 &amp; " US Equity","PX_LAST",$B108,$B108)</f>
        <v>4.99</v>
      </c>
      <c r="AU108" cm="1">
        <f t="array" ref="AU108">_xll.BDH(AU$2 &amp; " US Equity","PX_LAST",$B108,$B108)</f>
        <v>341.1</v>
      </c>
      <c r="AV108" cm="1">
        <f t="array" ref="AV108">_xll.BDH(AV$2 &amp; " US Equity","PX_LAST",$B108,$B108)</f>
        <v>244.56</v>
      </c>
      <c r="AW108" cm="1">
        <f t="array" ref="AW108">_xll.BDH(AW$2 &amp; " US Equity","PX_LAST",$B108,$B108)</f>
        <v>134.81</v>
      </c>
    </row>
    <row r="109" spans="2:49">
      <c r="B109" s="13">
        <v>46007</v>
      </c>
      <c r="C109" cm="1">
        <f t="array" ref="C109">_xll.BDH(C$2 &amp; " US Equity","PX_LAST",$B109,$B109)</f>
        <v>282.45999999999998</v>
      </c>
      <c r="D109" cm="1">
        <f t="array" ref="D109">_xll.BDH(D$2 &amp; " PE Equity","PX_LAST",$B109,$B109)</f>
        <v>4.55</v>
      </c>
      <c r="E109" cm="1">
        <f t="array" ref="E109">_xll.BDH(E$2 &amp; " PE Equity","PX_LAST",$B109,$B109)</f>
        <v>1.86</v>
      </c>
      <c r="F109" cm="1">
        <f t="array" ref="F109">_xll.BDH(F$2 &amp; " PE Equity","PX_LAST",$B109,$B109)</f>
        <v>2.52</v>
      </c>
      <c r="G109" cm="1">
        <f t="array" ref="G109">_xll.BDH(G$2 &amp; " US Equity","PX_LAST",$B109,$B109)</f>
        <v>18.47</v>
      </c>
      <c r="H109" cm="1">
        <f t="array" ref="H109">_xll.BDH(H$2 &amp; " PE Equity","PX_LAST",$B109,$B109)</f>
        <v>3.54</v>
      </c>
      <c r="I109" cm="1">
        <f t="array" ref="I109">_xll.BDH(I$2 &amp; " US Equity","PX_LAST",$B109,$B109)</f>
        <v>47.79</v>
      </c>
      <c r="J109" cm="1">
        <f t="array" ref="J109">_xll.BDH(J$2 &amp; " US Equity","PX_LAST",$B109,$B109)</f>
        <v>6.9805999999999999</v>
      </c>
      <c r="K109" cm="1">
        <f t="array" ref="K109">_xll.BDH(K$2 &amp; " US Equity","PX_LAST",$B109,$B109)</f>
        <v>52.88</v>
      </c>
      <c r="L109" cm="1">
        <f t="array" ref="L109">_xll.BDH(L$2 &amp; " US Equity","PX_LAST",$B109,$B109)</f>
        <v>52.98</v>
      </c>
      <c r="M109" cm="1">
        <f t="array" ref="M109">_xll.BDH(M$2 &amp; " US Equity","PX_LAST",$B109,$B109)</f>
        <v>280</v>
      </c>
      <c r="N109" cm="1">
        <f t="array" ref="N109">_xll.BDH(N$2 &amp; " US Equity","PX_LAST",$B109,$B109)</f>
        <v>36.090000000000003</v>
      </c>
      <c r="O109" cm="1">
        <f t="array" ref="O109">_xll.BDH(O$2 &amp; " US Equity","PX_LAST",$B109,$B109)</f>
        <v>31.6</v>
      </c>
      <c r="P109" cm="1">
        <f t="array" ref="P109">_xll.BDH(P$2 &amp; " US Equity","PX_LAST",$B109,$B109)</f>
        <v>16.29</v>
      </c>
      <c r="Q109" cm="1">
        <f t="array" ref="Q109">_xll.BDH(Q$2 &amp; " US Equity","PX_LAST",$B109,$B109)</f>
        <v>25.53</v>
      </c>
      <c r="R109" cm="1">
        <f t="array" ref="R109">_xll.BDH(R$2 &amp; " US Equity","PX_LAST",$B109,$B109)</f>
        <v>28.11</v>
      </c>
      <c r="S109" cm="1">
        <f t="array" ref="S109">_xll.BDH(S$2 &amp; " US Equity","PX_LAST",$B109,$B109)</f>
        <v>156.06</v>
      </c>
      <c r="T109" cm="1">
        <f t="array" ref="T109">_xll.BDH(T$2 &amp; " US Equity","PX_LAST",$B109,$B109)</f>
        <v>63.59</v>
      </c>
      <c r="U109" cm="1">
        <f t="array" ref="U109">_xll.BDH(U$2 &amp; " US Equity","PX_LAST",$B109,$B109)</f>
        <v>119.31</v>
      </c>
      <c r="V109" cm="1">
        <f t="array" ref="V109">_xll.BDH(V$2 &amp; " US Equity","PX_LAST",$B109,$B109)</f>
        <v>43.04</v>
      </c>
      <c r="W109" cm="1">
        <f t="array" ref="W109">_xll.BDH(W$2 &amp; " US Equity","PX_LAST",$B109,$B109)</f>
        <v>187.75</v>
      </c>
      <c r="X109" cm="1">
        <f t="array" ref="X109">_xll.BDH(X$2 &amp; " US Equity","PX_LAST",$B109,$B109)</f>
        <v>59.02</v>
      </c>
      <c r="Y109" cm="1">
        <f t="array" ref="Y109">_xll.BDH(Y$2 &amp; " US Equity","PX_LAST",$B109,$B109)</f>
        <v>44.94</v>
      </c>
      <c r="Z109" cm="1">
        <f t="array" ref="Z109">_xll.BDH(Z$2 &amp; " US Equity","PX_LAST",$B109,$B109)</f>
        <v>351.94</v>
      </c>
      <c r="AA109" cm="1">
        <f t="array" ref="AA109">_xll.BDH(AA$2 &amp; " PE Equity","PX_LAST",$B109,$B109)</f>
        <v>0.56999999999999995</v>
      </c>
      <c r="AB109" cm="1">
        <f t="array" ref="AB109">_xll.BDH(AB$2 &amp; " PE Equity","PX_LAST",$B109,$B109)</f>
        <v>25</v>
      </c>
      <c r="AC109" cm="1">
        <f t="array" ref="AC109">_xll.BDH(AC$2 &amp; " US Equity","PX_LAST",$B109,$B109)</f>
        <v>71.52</v>
      </c>
      <c r="AD109" cm="1">
        <f t="array" ref="AD109">_xll.BDH(AD$2 &amp; " US Equity","PX_LAST",$B109,$B109)</f>
        <v>678.87</v>
      </c>
      <c r="AE109" t="str" cm="1">
        <f t="array" ref="AE109">_xll.BDH(AE$2 &amp; " PE Equity","PX_LAST",$B109,$B109)</f>
        <v>#N/A Connection</v>
      </c>
      <c r="AF109" cm="1">
        <f t="array" ref="AF109">_xll.BDH(AF$2 &amp; " US Equity","PX_LAST",$B109,$B109)</f>
        <v>57.208100000000002</v>
      </c>
      <c r="AG109" cm="1">
        <f t="array" ref="AG109">_xll.BDH(AG$2 &amp; " US Equity","PX_LAST",$B109,$B109)</f>
        <v>13.045</v>
      </c>
      <c r="AH109" cm="1">
        <f t="array" ref="AH109">_xll.BDH(AH$2 &amp; " US Equity","PX_LAST",$B109,$B109)</f>
        <v>611.75</v>
      </c>
      <c r="AI109" cm="1">
        <f t="array" ref="AI109">_xll.BDH(AI$2 &amp; " US Equity","PX_LAST",$B109,$B109)</f>
        <v>117.08</v>
      </c>
      <c r="AJ109" cm="1">
        <f t="array" ref="AJ109">_xll.BDH(AJ$2 &amp; " US Equity","PX_LAST",$B109,$B109)</f>
        <v>111.62</v>
      </c>
      <c r="AK109" cm="1">
        <f t="array" ref="AK109">_xll.BDH(AK$2 &amp; " US Equity","PX_LAST",$B109,$B109)</f>
        <v>121.93</v>
      </c>
      <c r="AL109" cm="1">
        <f t="array" ref="AL109">_xll.BDH(AL$2 &amp; " US Equity","PX_LAST",$B109,$B109)</f>
        <v>222.56</v>
      </c>
      <c r="AM109" cm="1">
        <f t="array" ref="AM109">_xll.BDH(AM$2 &amp; " US Equity","PX_LAST",$B109,$B109)</f>
        <v>52.33</v>
      </c>
      <c r="AN109" cm="1">
        <f t="array" ref="AN109">_xll.BDH(AN$2 &amp; " US Equity","PX_LAST",$B109,$B109)</f>
        <v>22.97</v>
      </c>
      <c r="AO109" cm="1">
        <f t="array" ref="AO109">_xll.BDH(AO$2 &amp; " US Equity","PX_LAST",$B109,$B109)</f>
        <v>51.32</v>
      </c>
      <c r="AP109" cm="1">
        <f t="array" ref="AP109">_xll.BDH(AP$2 &amp; " US Equity","PX_LAST",$B109,$B109)</f>
        <v>4.55</v>
      </c>
      <c r="AQ109" cm="1">
        <f t="array" ref="AQ109">_xll.BDH(AQ$2 &amp; " US Equity","PX_LAST",$B109,$B109)</f>
        <v>102.54</v>
      </c>
      <c r="AR109" cm="1">
        <f t="array" ref="AR109">_xll.BDH(AR$2 &amp; " US Equity","PX_LAST",$B109,$B109)</f>
        <v>62.76</v>
      </c>
      <c r="AS109" cm="1">
        <f t="array" ref="AS109">_xll.BDH(AS$2 &amp; " US Equity","PX_LAST",$B109,$B109)</f>
        <v>94.57</v>
      </c>
      <c r="AT109" cm="1">
        <f t="array" ref="AT109">_xll.BDH(AT$2 &amp; " US Equity","PX_LAST",$B109,$B109)</f>
        <v>5.03</v>
      </c>
      <c r="AU109" cm="1">
        <f t="array" ref="AU109">_xll.BDH(AU$2 &amp; " US Equity","PX_LAST",$B109,$B109)</f>
        <v>334.2</v>
      </c>
      <c r="AV109" cm="1">
        <f t="array" ref="AV109">_xll.BDH(AV$2 &amp; " US Equity","PX_LAST",$B109,$B109)</f>
        <v>244.53</v>
      </c>
      <c r="AW109" cm="1">
        <f t="array" ref="AW109">_xll.BDH(AW$2 &amp; " US Equity","PX_LAST",$B109,$B109)</f>
        <v>133.38</v>
      </c>
    </row>
    <row r="110" spans="2:49">
      <c r="B110" s="13">
        <v>46008</v>
      </c>
      <c r="C110" cm="1">
        <f t="array" ref="C110">_xll.BDH(C$2 &amp; " US Equity","PX_LAST",$B110,$B110)</f>
        <v>282.20999999999998</v>
      </c>
      <c r="D110" cm="1">
        <f t="array" ref="D110">_xll.BDH(D$2 &amp; " PE Equity","PX_LAST",$B110,$B110)</f>
        <v>4.57</v>
      </c>
      <c r="E110" cm="1">
        <f t="array" ref="E110">_xll.BDH(E$2 &amp; " PE Equity","PX_LAST",$B110,$B110)</f>
        <v>1.88</v>
      </c>
      <c r="F110" cm="1">
        <f t="array" ref="F110">_xll.BDH(F$2 &amp; " PE Equity","PX_LAST",$B110,$B110)</f>
        <v>2.5299999999999998</v>
      </c>
      <c r="G110" cm="1">
        <f t="array" ref="G110">_xll.BDH(G$2 &amp; " US Equity","PX_LAST",$B110,$B110)</f>
        <v>18.09</v>
      </c>
      <c r="H110" cm="1">
        <f t="array" ref="H110">_xll.BDH(H$2 &amp; " PE Equity","PX_LAST",$B110,$B110)</f>
        <v>3.57</v>
      </c>
      <c r="I110" cm="1">
        <f t="array" ref="I110">_xll.BDH(I$2 &amp; " US Equity","PX_LAST",$B110,$B110)</f>
        <v>47.25</v>
      </c>
      <c r="J110" cm="1">
        <f t="array" ref="J110">_xll.BDH(J$2 &amp; " US Equity","PX_LAST",$B110,$B110)</f>
        <v>6.835</v>
      </c>
      <c r="K110" cm="1">
        <f t="array" ref="K110">_xll.BDH(K$2 &amp; " US Equity","PX_LAST",$B110,$B110)</f>
        <v>52.8</v>
      </c>
      <c r="L110" cm="1">
        <f t="array" ref="L110">_xll.BDH(L$2 &amp; " US Equity","PX_LAST",$B110,$B110)</f>
        <v>52.6</v>
      </c>
      <c r="M110" cm="1">
        <f t="array" ref="M110">_xll.BDH(M$2 &amp; " US Equity","PX_LAST",$B110,$B110)</f>
        <v>275.60000000000002</v>
      </c>
      <c r="N110" cm="1">
        <f t="array" ref="N110">_xll.BDH(N$2 &amp; " US Equity","PX_LAST",$B110,$B110)</f>
        <v>36.17</v>
      </c>
      <c r="O110" cm="1">
        <f t="array" ref="O110">_xll.BDH(O$2 &amp; " US Equity","PX_LAST",$B110,$B110)</f>
        <v>31</v>
      </c>
      <c r="P110" cm="1">
        <f t="array" ref="P110">_xll.BDH(P$2 &amp; " US Equity","PX_LAST",$B110,$B110)</f>
        <v>16</v>
      </c>
      <c r="Q110" cm="1">
        <f t="array" ref="Q110">_xll.BDH(Q$2 &amp; " US Equity","PX_LAST",$B110,$B110)</f>
        <v>25.04</v>
      </c>
      <c r="R110" cm="1">
        <f t="array" ref="R110">_xll.BDH(R$2 &amp; " US Equity","PX_LAST",$B110,$B110)</f>
        <v>28.11</v>
      </c>
      <c r="S110" cm="1">
        <f t="array" ref="S110">_xll.BDH(S$2 &amp; " US Equity","PX_LAST",$B110,$B110)</f>
        <v>153.53</v>
      </c>
      <c r="T110" cm="1">
        <f t="array" ref="T110">_xll.BDH(T$2 &amp; " US Equity","PX_LAST",$B110,$B110)</f>
        <v>63.01</v>
      </c>
      <c r="U110" cm="1">
        <f t="array" ref="U110">_xll.BDH(U$2 &amp; " US Equity","PX_LAST",$B110,$B110)</f>
        <v>119.5</v>
      </c>
      <c r="V110" cm="1">
        <f t="array" ref="V110">_xll.BDH(V$2 &amp; " US Equity","PX_LAST",$B110,$B110)</f>
        <v>42.76</v>
      </c>
      <c r="W110" cm="1">
        <f t="array" ref="W110">_xll.BDH(W$2 &amp; " US Equity","PX_LAST",$B110,$B110)</f>
        <v>177.29</v>
      </c>
      <c r="X110" cm="1">
        <f t="array" ref="X110">_xll.BDH(X$2 &amp; " US Equity","PX_LAST",$B110,$B110)</f>
        <v>58.84</v>
      </c>
      <c r="Y110" cm="1">
        <f t="array" ref="Y110">_xll.BDH(Y$2 &amp; " US Equity","PX_LAST",$B110,$B110)</f>
        <v>44.62</v>
      </c>
      <c r="Z110" cm="1">
        <f t="array" ref="Z110">_xll.BDH(Z$2 &amp; " US Equity","PX_LAST",$B110,$B110)</f>
        <v>339.24</v>
      </c>
      <c r="AA110" cm="1">
        <f t="array" ref="AA110">_xll.BDH(AA$2 &amp; " PE Equity","PX_LAST",$B110,$B110)</f>
        <v>0.57999999999999996</v>
      </c>
      <c r="AB110" cm="1">
        <f t="array" ref="AB110">_xll.BDH(AB$2 &amp; " PE Equity","PX_LAST",$B110,$B110)</f>
        <v>25</v>
      </c>
      <c r="AC110" cm="1">
        <f t="array" ref="AC110">_xll.BDH(AC$2 &amp; " US Equity","PX_LAST",$B110,$B110)</f>
        <v>71.239999999999995</v>
      </c>
      <c r="AD110" cm="1">
        <f t="array" ref="AD110">_xll.BDH(AD$2 &amp; " US Equity","PX_LAST",$B110,$B110)</f>
        <v>671.4</v>
      </c>
      <c r="AE110" t="str" cm="1">
        <f t="array" ref="AE110">_xll.BDH(AE$2 &amp; " PE Equity","PX_LAST",$B110,$B110)</f>
        <v>#N/A Connection</v>
      </c>
      <c r="AF110" cm="1">
        <f t="array" ref="AF110">_xll.BDH(AF$2 &amp; " US Equity","PX_LAST",$B110,$B110)</f>
        <v>56.904699999999998</v>
      </c>
      <c r="AG110" cm="1">
        <f t="array" ref="AG110">_xll.BDH(AG$2 &amp; " US Equity","PX_LAST",$B110,$B110)</f>
        <v>12.726800000000001</v>
      </c>
      <c r="AH110" cm="1">
        <f t="array" ref="AH110">_xll.BDH(AH$2 &amp; " US Equity","PX_LAST",$B110,$B110)</f>
        <v>600.41</v>
      </c>
      <c r="AI110" cm="1">
        <f t="array" ref="AI110">_xll.BDH(AI$2 &amp; " US Equity","PX_LAST",$B110,$B110)</f>
        <v>115.68</v>
      </c>
      <c r="AJ110" cm="1">
        <f t="array" ref="AJ110">_xll.BDH(AJ$2 &amp; " US Equity","PX_LAST",$B110,$B110)</f>
        <v>110.63</v>
      </c>
      <c r="AK110" cm="1">
        <f t="array" ref="AK110">_xll.BDH(AK$2 &amp; " US Equity","PX_LAST",$B110,$B110)</f>
        <v>120.52</v>
      </c>
      <c r="AL110" cm="1">
        <f t="array" ref="AL110">_xll.BDH(AL$2 &amp; " US Equity","PX_LAST",$B110,$B110)</f>
        <v>221.27</v>
      </c>
      <c r="AM110" cm="1">
        <f t="array" ref="AM110">_xll.BDH(AM$2 &amp; " US Equity","PX_LAST",$B110,$B110)</f>
        <v>49.4</v>
      </c>
      <c r="AN110" cm="1">
        <f t="array" ref="AN110">_xll.BDH(AN$2 &amp; " US Equity","PX_LAST",$B110,$B110)</f>
        <v>23.0382</v>
      </c>
      <c r="AO110" cm="1">
        <f t="array" ref="AO110">_xll.BDH(AO$2 &amp; " US Equity","PX_LAST",$B110,$B110)</f>
        <v>51.21</v>
      </c>
      <c r="AP110" cm="1">
        <f t="array" ref="AP110">_xll.BDH(AP$2 &amp; " US Equity","PX_LAST",$B110,$B110)</f>
        <v>4.58</v>
      </c>
      <c r="AQ110" cm="1">
        <f t="array" ref="AQ110">_xll.BDH(AQ$2 &amp; " US Equity","PX_LAST",$B110,$B110)</f>
        <v>102.94</v>
      </c>
      <c r="AR110" cm="1">
        <f t="array" ref="AR110">_xll.BDH(AR$2 &amp; " US Equity","PX_LAST",$B110,$B110)</f>
        <v>61.83</v>
      </c>
      <c r="AS110" cm="1">
        <f t="array" ref="AS110">_xll.BDH(AS$2 &amp; " US Equity","PX_LAST",$B110,$B110)</f>
        <v>94.79</v>
      </c>
      <c r="AT110" cm="1">
        <f t="array" ref="AT110">_xll.BDH(AT$2 &amp; " US Equity","PX_LAST",$B110,$B110)</f>
        <v>4.8600000000000003</v>
      </c>
      <c r="AU110" cm="1">
        <f t="array" ref="AU110">_xll.BDH(AU$2 &amp; " US Equity","PX_LAST",$B110,$B110)</f>
        <v>331.63</v>
      </c>
      <c r="AV110" cm="1">
        <f t="array" ref="AV110">_xll.BDH(AV$2 &amp; " US Equity","PX_LAST",$B110,$B110)</f>
        <v>240.55</v>
      </c>
      <c r="AW110" cm="1">
        <f t="array" ref="AW110">_xll.BDH(AW$2 &amp; " US Equity","PX_LAST",$B110,$B110)</f>
        <v>132.15</v>
      </c>
    </row>
    <row r="111" spans="2:49">
      <c r="B111" s="13">
        <v>46009</v>
      </c>
      <c r="C111" cm="1">
        <f t="array" ref="C111">_xll.BDH(C$2 &amp; " US Equity","PX_LAST",$B111,$B111)</f>
        <v>287.12</v>
      </c>
      <c r="D111" cm="1">
        <f t="array" ref="D111">_xll.BDH(D$2 &amp; " PE Equity","PX_LAST",$B111,$B111)</f>
        <v>4.67</v>
      </c>
      <c r="E111" cm="1">
        <f t="array" ref="E111">_xll.BDH(E$2 &amp; " PE Equity","PX_LAST",$B111,$B111)</f>
        <v>1.88</v>
      </c>
      <c r="F111" cm="1">
        <f t="array" ref="F111">_xll.BDH(F$2 &amp; " PE Equity","PX_LAST",$B111,$B111)</f>
        <v>2.6</v>
      </c>
      <c r="G111" cm="1">
        <f t="array" ref="G111">_xll.BDH(G$2 &amp; " US Equity","PX_LAST",$B111,$B111)</f>
        <v>18.600000000000001</v>
      </c>
      <c r="H111" cm="1">
        <f t="array" ref="H111">_xll.BDH(H$2 &amp; " PE Equity","PX_LAST",$B111,$B111)</f>
        <v>3.6</v>
      </c>
      <c r="I111" cm="1">
        <f t="array" ref="I111">_xll.BDH(I$2 &amp; " US Equity","PX_LAST",$B111,$B111)</f>
        <v>48.33</v>
      </c>
      <c r="J111" cm="1">
        <f t="array" ref="J111">_xll.BDH(J$2 &amp; " US Equity","PX_LAST",$B111,$B111)</f>
        <v>6.9028999999999998</v>
      </c>
      <c r="K111" cm="1">
        <f t="array" ref="K111">_xll.BDH(K$2 &amp; " US Equity","PX_LAST",$B111,$B111)</f>
        <v>53.21</v>
      </c>
      <c r="L111" cm="1">
        <f t="array" ref="L111">_xll.BDH(L$2 &amp; " US Equity","PX_LAST",$B111,$B111)</f>
        <v>53.2</v>
      </c>
      <c r="M111" cm="1">
        <f t="array" ref="M111">_xll.BDH(M$2 &amp; " US Equity","PX_LAST",$B111,$B111)</f>
        <v>281</v>
      </c>
      <c r="N111" cm="1">
        <f t="array" ref="N111">_xll.BDH(N$2 &amp; " US Equity","PX_LAST",$B111,$B111)</f>
        <v>36.5</v>
      </c>
      <c r="O111" cm="1">
        <f t="array" ref="O111">_xll.BDH(O$2 &amp; " US Equity","PX_LAST",$B111,$B111)</f>
        <v>31.17</v>
      </c>
      <c r="P111" cm="1">
        <f t="array" ref="P111">_xll.BDH(P$2 &amp; " US Equity","PX_LAST",$B111,$B111)</f>
        <v>16.18</v>
      </c>
      <c r="Q111" cm="1">
        <f t="array" ref="Q111">_xll.BDH(Q$2 &amp; " US Equity","PX_LAST",$B111,$B111)</f>
        <v>25.04</v>
      </c>
      <c r="R111" cm="1">
        <f t="array" ref="R111">_xll.BDH(R$2 &amp; " US Equity","PX_LAST",$B111,$B111)</f>
        <v>28.25</v>
      </c>
      <c r="S111" cm="1">
        <f t="array" ref="S111">_xll.BDH(S$2 &amp; " US Equity","PX_LAST",$B111,$B111)</f>
        <v>154.53</v>
      </c>
      <c r="T111" cm="1">
        <f t="array" ref="T111">_xll.BDH(T$2 &amp; " US Equity","PX_LAST",$B111,$B111)</f>
        <v>63.45</v>
      </c>
      <c r="U111" cm="1">
        <f t="array" ref="U111">_xll.BDH(U$2 &amp; " US Equity","PX_LAST",$B111,$B111)</f>
        <v>120.49</v>
      </c>
      <c r="V111" cm="1">
        <f t="array" ref="V111">_xll.BDH(V$2 &amp; " US Equity","PX_LAST",$B111,$B111)</f>
        <v>43.18</v>
      </c>
      <c r="W111" cm="1">
        <f t="array" ref="W111">_xll.BDH(W$2 &amp; " US Equity","PX_LAST",$B111,$B111)</f>
        <v>185.69</v>
      </c>
      <c r="X111" cm="1">
        <f t="array" ref="X111">_xll.BDH(X$2 &amp; " US Equity","PX_LAST",$B111,$B111)</f>
        <v>59.47</v>
      </c>
      <c r="Y111" cm="1">
        <f t="array" ref="Y111">_xll.BDH(Y$2 &amp; " US Equity","PX_LAST",$B111,$B111)</f>
        <v>44.8</v>
      </c>
      <c r="Z111" cm="1">
        <f t="array" ref="Z111">_xll.BDH(Z$2 &amp; " US Equity","PX_LAST",$B111,$B111)</f>
        <v>347.25</v>
      </c>
      <c r="AA111" cm="1">
        <f t="array" ref="AA111">_xll.BDH(AA$2 &amp; " PE Equity","PX_LAST",$B111,$B111)</f>
        <v>0.59</v>
      </c>
      <c r="AB111" cm="1">
        <f t="array" ref="AB111">_xll.BDH(AB$2 &amp; " PE Equity","PX_LAST",$B111,$B111)</f>
        <v>25.3</v>
      </c>
      <c r="AC111" cm="1">
        <f t="array" ref="AC111">_xll.BDH(AC$2 &amp; " US Equity","PX_LAST",$B111,$B111)</f>
        <v>71.41</v>
      </c>
      <c r="AD111" cm="1">
        <f t="array" ref="AD111">_xll.BDH(AD$2 &amp; " US Equity","PX_LAST",$B111,$B111)</f>
        <v>676.47</v>
      </c>
      <c r="AE111" t="str" cm="1">
        <f t="array" ref="AE111">_xll.BDH(AE$2 &amp; " PE Equity","PX_LAST",$B111,$B111)</f>
        <v>#N/A Connection</v>
      </c>
      <c r="AF111" cm="1">
        <f t="array" ref="AF111">_xll.BDH(AF$2 &amp; " US Equity","PX_LAST",$B111,$B111)</f>
        <v>57.057200000000002</v>
      </c>
      <c r="AG111" cm="1">
        <f t="array" ref="AG111">_xll.BDH(AG$2 &amp; " US Equity","PX_LAST",$B111,$B111)</f>
        <v>12.78</v>
      </c>
      <c r="AH111" cm="1">
        <f t="array" ref="AH111">_xll.BDH(AH$2 &amp; " US Equity","PX_LAST",$B111,$B111)</f>
        <v>609.11</v>
      </c>
      <c r="AI111" cm="1">
        <f t="array" ref="AI111">_xll.BDH(AI$2 &amp; " US Equity","PX_LAST",$B111,$B111)</f>
        <v>115.55</v>
      </c>
      <c r="AJ111" cm="1">
        <f t="array" ref="AJ111">_xll.BDH(AJ$2 &amp; " US Equity","PX_LAST",$B111,$B111)</f>
        <v>111.87</v>
      </c>
      <c r="AK111" cm="1">
        <f t="array" ref="AK111">_xll.BDH(AK$2 &amp; " US Equity","PX_LAST",$B111,$B111)</f>
        <v>122.34</v>
      </c>
      <c r="AL111" cm="1">
        <f t="array" ref="AL111">_xll.BDH(AL$2 &amp; " US Equity","PX_LAST",$B111,$B111)</f>
        <v>226.76</v>
      </c>
      <c r="AM111" cm="1">
        <f t="array" ref="AM111">_xll.BDH(AM$2 &amp; " US Equity","PX_LAST",$B111,$B111)</f>
        <v>51.51</v>
      </c>
      <c r="AN111" cm="1">
        <f t="array" ref="AN111">_xll.BDH(AN$2 &amp; " US Equity","PX_LAST",$B111,$B111)</f>
        <v>23.02</v>
      </c>
      <c r="AO111" cm="1">
        <f t="array" ref="AO111">_xll.BDH(AO$2 &amp; " US Equity","PX_LAST",$B111,$B111)</f>
        <v>51.5</v>
      </c>
      <c r="AP111" cm="1">
        <f t="array" ref="AP111">_xll.BDH(AP$2 &amp; " US Equity","PX_LAST",$B111,$B111)</f>
        <v>4.5999999999999996</v>
      </c>
      <c r="AQ111" cm="1">
        <f t="array" ref="AQ111">_xll.BDH(AQ$2 &amp; " US Equity","PX_LAST",$B111,$B111)</f>
        <v>101.51</v>
      </c>
      <c r="AR111" cm="1">
        <f t="array" ref="AR111">_xll.BDH(AR$2 &amp; " US Equity","PX_LAST",$B111,$B111)</f>
        <v>61.5</v>
      </c>
      <c r="AS111" cm="1">
        <f t="array" ref="AS111">_xll.BDH(AS$2 &amp; " US Equity","PX_LAST",$B111,$B111)</f>
        <v>94</v>
      </c>
      <c r="AT111" cm="1">
        <f t="array" ref="AT111">_xll.BDH(AT$2 &amp; " US Equity","PX_LAST",$B111,$B111)</f>
        <v>4.93</v>
      </c>
      <c r="AU111" cm="1">
        <f t="array" ref="AU111">_xll.BDH(AU$2 &amp; " US Equity","PX_LAST",$B111,$B111)</f>
        <v>328.14</v>
      </c>
      <c r="AV111" cm="1">
        <f t="array" ref="AV111">_xll.BDH(AV$2 &amp; " US Equity","PX_LAST",$B111,$B111)</f>
        <v>246.65</v>
      </c>
      <c r="AW111" cm="1">
        <f t="array" ref="AW111">_xll.BDH(AW$2 &amp; " US Equity","PX_LAST",$B111,$B111)</f>
        <v>131.97</v>
      </c>
    </row>
    <row r="112" spans="2:49">
      <c r="B112" s="13">
        <v>46010</v>
      </c>
      <c r="C112" cm="1">
        <f t="array" ref="C112">_xll.BDH(C$2 &amp; " US Equity","PX_LAST",$B112,$B112)</f>
        <v>288.77999999999997</v>
      </c>
      <c r="D112" cm="1">
        <f t="array" ref="D112">_xll.BDH(D$2 &amp; " PE Equity","PX_LAST",$B112,$B112)</f>
        <v>4.9000000000000004</v>
      </c>
      <c r="E112" cm="1">
        <f t="array" ref="E112">_xll.BDH(E$2 &amp; " PE Equity","PX_LAST",$B112,$B112)</f>
        <v>1.88</v>
      </c>
      <c r="F112" cm="1">
        <f t="array" ref="F112">_xll.BDH(F$2 &amp; " PE Equity","PX_LAST",$B112,$B112)</f>
        <v>2.63</v>
      </c>
      <c r="G112" cm="1">
        <f t="array" ref="G112">_xll.BDH(G$2 &amp; " US Equity","PX_LAST",$B112,$B112)</f>
        <v>19.86</v>
      </c>
      <c r="H112" cm="1">
        <f t="array" ref="H112">_xll.BDH(H$2 &amp; " PE Equity","PX_LAST",$B112,$B112)</f>
        <v>3.63</v>
      </c>
      <c r="I112" cm="1">
        <f t="array" ref="I112">_xll.BDH(I$2 &amp; " US Equity","PX_LAST",$B112,$B112)</f>
        <v>48.99</v>
      </c>
      <c r="J112" cm="1">
        <f t="array" ref="J112">_xll.BDH(J$2 &amp; " US Equity","PX_LAST",$B112,$B112)</f>
        <v>6.9126000000000003</v>
      </c>
      <c r="K112" cm="1">
        <f t="array" ref="K112">_xll.BDH(K$2 &amp; " US Equity","PX_LAST",$B112,$B112)</f>
        <v>53.45</v>
      </c>
      <c r="L112" cm="1">
        <f t="array" ref="L112">_xll.BDH(L$2 &amp; " US Equity","PX_LAST",$B112,$B112)</f>
        <v>53.72</v>
      </c>
      <c r="M112" cm="1">
        <f t="array" ref="M112">_xll.BDH(M$2 &amp; " US Equity","PX_LAST",$B112,$B112)</f>
        <v>285.77</v>
      </c>
      <c r="N112" cm="1">
        <f t="array" ref="N112">_xll.BDH(N$2 &amp; " US Equity","PX_LAST",$B112,$B112)</f>
        <v>36.78</v>
      </c>
      <c r="O112" cm="1">
        <f t="array" ref="O112">_xll.BDH(O$2 &amp; " US Equity","PX_LAST",$B112,$B112)</f>
        <v>31.17</v>
      </c>
      <c r="P112" cm="1">
        <f t="array" ref="P112">_xll.BDH(P$2 &amp; " US Equity","PX_LAST",$B112,$B112)</f>
        <v>16.440000000000001</v>
      </c>
      <c r="Q112" cm="1">
        <f t="array" ref="Q112">_xll.BDH(Q$2 &amp; " US Equity","PX_LAST",$B112,$B112)</f>
        <v>25.19</v>
      </c>
      <c r="R112" cm="1">
        <f t="array" ref="R112">_xll.BDH(R$2 &amp; " US Equity","PX_LAST",$B112,$B112)</f>
        <v>28.35</v>
      </c>
      <c r="S112" cm="1">
        <f t="array" ref="S112">_xll.BDH(S$2 &amp; " US Equity","PX_LAST",$B112,$B112)</f>
        <v>155.86000000000001</v>
      </c>
      <c r="T112" cm="1">
        <f t="array" ref="T112">_xll.BDH(T$2 &amp; " US Equity","PX_LAST",$B112,$B112)</f>
        <v>63.79</v>
      </c>
      <c r="U112" cm="1">
        <f t="array" ref="U112">_xll.BDH(U$2 &amp; " US Equity","PX_LAST",$B112,$B112)</f>
        <v>123.82</v>
      </c>
      <c r="V112" cm="1">
        <f t="array" ref="V112">_xll.BDH(V$2 &amp; " US Equity","PX_LAST",$B112,$B112)</f>
        <v>42.63</v>
      </c>
      <c r="W112" cm="1">
        <f t="array" ref="W112">_xll.BDH(W$2 &amp; " US Equity","PX_LAST",$B112,$B112)</f>
        <v>193.38</v>
      </c>
      <c r="X112" cm="1">
        <f t="array" ref="X112">_xll.BDH(X$2 &amp; " US Equity","PX_LAST",$B112,$B112)</f>
        <v>59.57</v>
      </c>
      <c r="Y112" cm="1">
        <f t="array" ref="Y112">_xll.BDH(Y$2 &amp; " US Equity","PX_LAST",$B112,$B112)</f>
        <v>44.91</v>
      </c>
      <c r="Z112" cm="1">
        <f t="array" ref="Z112">_xll.BDH(Z$2 &amp; " US Equity","PX_LAST",$B112,$B112)</f>
        <v>356.23</v>
      </c>
      <c r="AA112" cm="1">
        <f t="array" ref="AA112">_xll.BDH(AA$2 &amp; " PE Equity","PX_LAST",$B112,$B112)</f>
        <v>0.62</v>
      </c>
      <c r="AB112" cm="1">
        <f t="array" ref="AB112">_xll.BDH(AB$2 &amp; " PE Equity","PX_LAST",$B112,$B112)</f>
        <v>24.79</v>
      </c>
      <c r="AC112" cm="1">
        <f t="array" ref="AC112">_xll.BDH(AC$2 &amp; " US Equity","PX_LAST",$B112,$B112)</f>
        <v>71.67</v>
      </c>
      <c r="AD112" cm="1">
        <f t="array" ref="AD112">_xll.BDH(AD$2 &amp; " US Equity","PX_LAST",$B112,$B112)</f>
        <v>680.59</v>
      </c>
      <c r="AE112" t="str" cm="1">
        <f t="array" ref="AE112">_xll.BDH(AE$2 &amp; " PE Equity","PX_LAST",$B112,$B112)</f>
        <v>#N/A Connection</v>
      </c>
      <c r="AF112" cm="1">
        <f t="array" ref="AF112">_xll.BDH(AF$2 &amp; " US Equity","PX_LAST",$B112,$B112)</f>
        <v>57.478299999999997</v>
      </c>
      <c r="AG112" cm="1">
        <f t="array" ref="AG112">_xll.BDH(AG$2 &amp; " US Equity","PX_LAST",$B112,$B112)</f>
        <v>12.769500000000001</v>
      </c>
      <c r="AH112" cm="1">
        <f t="array" ref="AH112">_xll.BDH(AH$2 &amp; " US Equity","PX_LAST",$B112,$B112)</f>
        <v>617.04999999999995</v>
      </c>
      <c r="AI112" cm="1">
        <f t="array" ref="AI112">_xll.BDH(AI$2 &amp; " US Equity","PX_LAST",$B112,$B112)</f>
        <v>114.99</v>
      </c>
      <c r="AJ112" cm="1">
        <f t="array" ref="AJ112">_xll.BDH(AJ$2 &amp; " US Equity","PX_LAST",$B112,$B112)</f>
        <v>111.24</v>
      </c>
      <c r="AK112" cm="1">
        <f t="array" ref="AK112">_xll.BDH(AK$2 &amp; " US Equity","PX_LAST",$B112,$B112)</f>
        <v>121.85</v>
      </c>
      <c r="AL112" cm="1">
        <f t="array" ref="AL112">_xll.BDH(AL$2 &amp; " US Equity","PX_LAST",$B112,$B112)</f>
        <v>227.35</v>
      </c>
      <c r="AM112" cm="1">
        <f t="array" ref="AM112">_xll.BDH(AM$2 &amp; " US Equity","PX_LAST",$B112,$B112)</f>
        <v>53.52</v>
      </c>
      <c r="AN112" cm="1">
        <f t="array" ref="AN112">_xll.BDH(AN$2 &amp; " US Equity","PX_LAST",$B112,$B112)</f>
        <v>23.2</v>
      </c>
      <c r="AO112" cm="1">
        <f t="array" ref="AO112">_xll.BDH(AO$2 &amp; " US Equity","PX_LAST",$B112,$B112)</f>
        <v>52.12</v>
      </c>
      <c r="AP112" cm="1">
        <f t="array" ref="AP112">_xll.BDH(AP$2 &amp; " US Equity","PX_LAST",$B112,$B112)</f>
        <v>4.6100000000000003</v>
      </c>
      <c r="AQ112" cm="1">
        <f t="array" ref="AQ112">_xll.BDH(AQ$2 &amp; " US Equity","PX_LAST",$B112,$B112)</f>
        <v>100.65</v>
      </c>
      <c r="AR112" cm="1">
        <f t="array" ref="AR112">_xll.BDH(AR$2 &amp; " US Equity","PX_LAST",$B112,$B112)</f>
        <v>62.68</v>
      </c>
      <c r="AS112" cm="1">
        <f t="array" ref="AS112">_xll.BDH(AS$2 &amp; " US Equity","PX_LAST",$B112,$B112)</f>
        <v>94.39</v>
      </c>
      <c r="AT112" cm="1">
        <f t="array" ref="AT112">_xll.BDH(AT$2 &amp; " US Equity","PX_LAST",$B112,$B112)</f>
        <v>4.99</v>
      </c>
      <c r="AU112" cm="1">
        <f t="array" ref="AU112">_xll.BDH(AU$2 &amp; " US Equity","PX_LAST",$B112,$B112)</f>
        <v>327.42</v>
      </c>
      <c r="AV112" cm="1">
        <f t="array" ref="AV112">_xll.BDH(AV$2 &amp; " US Equity","PX_LAST",$B112,$B112)</f>
        <v>247.4</v>
      </c>
      <c r="AW112" cm="1">
        <f t="array" ref="AW112">_xll.BDH(AW$2 &amp; " US Equity","PX_LAST",$B112,$B112)</f>
        <v>130.61000000000001</v>
      </c>
    </row>
    <row r="113" spans="2:49">
      <c r="B113" s="13">
        <v>46011</v>
      </c>
      <c r="C113" t="str" cm="1">
        <f t="array" ref="C113">_xll.BDH(C$2 &amp; " US Equity","PX_LAST",$B113,$B113)</f>
        <v>#N/A N/A</v>
      </c>
      <c r="D113" t="str" cm="1">
        <f t="array" ref="D113">_xll.BDH(D$2 &amp; " PE Equity","PX_LAST",$B113,$B113)</f>
        <v>#N/A N/A</v>
      </c>
      <c r="E113" t="str" cm="1">
        <f t="array" ref="E113">_xll.BDH(E$2 &amp; " PE Equity","PX_LAST",$B113,$B113)</f>
        <v>#N/A N/A</v>
      </c>
      <c r="F113" t="str" cm="1">
        <f t="array" ref="F113">_xll.BDH(F$2 &amp; " PE Equity","PX_LAST",$B113,$B113)</f>
        <v>#N/A N/A</v>
      </c>
      <c r="G113" t="str" cm="1">
        <f t="array" ref="G113">_xll.BDH(G$2 &amp; " US Equity","PX_LAST",$B113,$B113)</f>
        <v>#N/A N/A</v>
      </c>
      <c r="H113" t="str" cm="1">
        <f t="array" ref="H113">_xll.BDH(H$2 &amp; " PE Equity","PX_LAST",$B113,$B113)</f>
        <v>#N/A N/A</v>
      </c>
      <c r="I113" t="str" cm="1">
        <f t="array" ref="I113">_xll.BDH(I$2 &amp; " US Equity","PX_LAST",$B113,$B113)</f>
        <v>#N/A N/A</v>
      </c>
      <c r="J113" t="str" cm="1">
        <f t="array" ref="J113">_xll.BDH(J$2 &amp; " US Equity","PX_LAST",$B113,$B113)</f>
        <v>#N/A N/A</v>
      </c>
      <c r="K113" t="str" cm="1">
        <f t="array" ref="K113">_xll.BDH(K$2 &amp; " US Equity","PX_LAST",$B113,$B113)</f>
        <v>#N/A N/A</v>
      </c>
      <c r="L113" t="str" cm="1">
        <f t="array" ref="L113">_xll.BDH(L$2 &amp; " US Equity","PX_LAST",$B113,$B113)</f>
        <v>#N/A N/A</v>
      </c>
      <c r="M113" t="str" cm="1">
        <f t="array" ref="M113">_xll.BDH(M$2 &amp; " US Equity","PX_LAST",$B113,$B113)</f>
        <v>#N/A N/A</v>
      </c>
      <c r="N113" t="str" cm="1">
        <f t="array" ref="N113">_xll.BDH(N$2 &amp; " US Equity","PX_LAST",$B113,$B113)</f>
        <v>#N/A N/A</v>
      </c>
      <c r="O113" t="str" cm="1">
        <f t="array" ref="O113">_xll.BDH(O$2 &amp; " US Equity","PX_LAST",$B113,$B113)</f>
        <v>#N/A N/A</v>
      </c>
      <c r="P113" t="str" cm="1">
        <f t="array" ref="P113">_xll.BDH(P$2 &amp; " US Equity","PX_LAST",$B113,$B113)</f>
        <v>#N/A N/A</v>
      </c>
      <c r="Q113" t="str" cm="1">
        <f t="array" ref="Q113">_xll.BDH(Q$2 &amp; " US Equity","PX_LAST",$B113,$B113)</f>
        <v>#N/A N/A</v>
      </c>
      <c r="R113" t="str" cm="1">
        <f t="array" ref="R113">_xll.BDH(R$2 &amp; " US Equity","PX_LAST",$B113,$B113)</f>
        <v>#N/A N/A</v>
      </c>
      <c r="S113" t="str" cm="1">
        <f t="array" ref="S113">_xll.BDH(S$2 &amp; " US Equity","PX_LAST",$B113,$B113)</f>
        <v>#N/A N/A</v>
      </c>
      <c r="T113" t="str" cm="1">
        <f t="array" ref="T113">_xll.BDH(T$2 &amp; " US Equity","PX_LAST",$B113,$B113)</f>
        <v>#N/A N/A</v>
      </c>
      <c r="U113" t="str" cm="1">
        <f t="array" ref="U113">_xll.BDH(U$2 &amp; " US Equity","PX_LAST",$B113,$B113)</f>
        <v>#N/A N/A</v>
      </c>
      <c r="V113" t="str" cm="1">
        <f t="array" ref="V113">_xll.BDH(V$2 &amp; " US Equity","PX_LAST",$B113,$B113)</f>
        <v>#N/A N/A</v>
      </c>
      <c r="W113" t="str" cm="1">
        <f t="array" ref="W113">_xll.BDH(W$2 &amp; " US Equity","PX_LAST",$B113,$B113)</f>
        <v>#N/A N/A</v>
      </c>
      <c r="X113" t="str" cm="1">
        <f t="array" ref="X113">_xll.BDH(X$2 &amp; " US Equity","PX_LAST",$B113,$B113)</f>
        <v>#N/A N/A</v>
      </c>
      <c r="Y113" t="str" cm="1">
        <f t="array" ref="Y113">_xll.BDH(Y$2 &amp; " US Equity","PX_LAST",$B113,$B113)</f>
        <v>#N/A N/A</v>
      </c>
      <c r="Z113" t="str" cm="1">
        <f t="array" ref="Z113">_xll.BDH(Z$2 &amp; " US Equity","PX_LAST",$B113,$B113)</f>
        <v>#N/A N/A</v>
      </c>
      <c r="AA113" t="str" cm="1">
        <f t="array" ref="AA113">_xll.BDH(AA$2 &amp; " PE Equity","PX_LAST",$B113,$B113)</f>
        <v>#N/A N/A</v>
      </c>
      <c r="AB113" t="str" cm="1">
        <f t="array" ref="AB113">_xll.BDH(AB$2 &amp; " PE Equity","PX_LAST",$B113,$B113)</f>
        <v>#N/A N/A</v>
      </c>
      <c r="AC113" t="str" cm="1">
        <f t="array" ref="AC113">_xll.BDH(AC$2 &amp; " US Equity","PX_LAST",$B113,$B113)</f>
        <v>#N/A N/A</v>
      </c>
      <c r="AD113" t="str" cm="1">
        <f t="array" ref="AD113">_xll.BDH(AD$2 &amp; " US Equity","PX_LAST",$B113,$B113)</f>
        <v>#N/A N/A</v>
      </c>
      <c r="AE113" t="str" cm="1">
        <f t="array" ref="AE113">_xll.BDH(AE$2 &amp; " PE Equity","PX_LAST",$B113,$B113)</f>
        <v>#N/A Connection</v>
      </c>
      <c r="AF113" t="str" cm="1">
        <f t="array" ref="AF113">_xll.BDH(AF$2 &amp; " US Equity","PX_LAST",$B113,$B113)</f>
        <v>#N/A N/A</v>
      </c>
      <c r="AG113" t="str" cm="1">
        <f t="array" ref="AG113">_xll.BDH(AG$2 &amp; " US Equity","PX_LAST",$B113,$B113)</f>
        <v>#N/A N/A</v>
      </c>
      <c r="AH113" t="str" cm="1">
        <f t="array" ref="AH113">_xll.BDH(AH$2 &amp; " US Equity","PX_LAST",$B113,$B113)</f>
        <v>#N/A N/A</v>
      </c>
      <c r="AI113" t="str" cm="1">
        <f t="array" ref="AI113">_xll.BDH(AI$2 &amp; " US Equity","PX_LAST",$B113,$B113)</f>
        <v>#N/A N/A</v>
      </c>
      <c r="AJ113" t="str" cm="1">
        <f t="array" ref="AJ113">_xll.BDH(AJ$2 &amp; " US Equity","PX_LAST",$B113,$B113)</f>
        <v>#N/A N/A</v>
      </c>
      <c r="AK113" t="str" cm="1">
        <f t="array" ref="AK113">_xll.BDH(AK$2 &amp; " US Equity","PX_LAST",$B113,$B113)</f>
        <v>#N/A N/A</v>
      </c>
      <c r="AL113" t="str" cm="1">
        <f t="array" ref="AL113">_xll.BDH(AL$2 &amp; " US Equity","PX_LAST",$B113,$B113)</f>
        <v>#N/A N/A</v>
      </c>
      <c r="AM113" t="str" cm="1">
        <f t="array" ref="AM113">_xll.BDH(AM$2 &amp; " US Equity","PX_LAST",$B113,$B113)</f>
        <v>#N/A N/A</v>
      </c>
      <c r="AN113" t="str" cm="1">
        <f t="array" ref="AN113">_xll.BDH(AN$2 &amp; " US Equity","PX_LAST",$B113,$B113)</f>
        <v>#N/A N/A</v>
      </c>
      <c r="AO113" t="str" cm="1">
        <f t="array" ref="AO113">_xll.BDH(AO$2 &amp; " US Equity","PX_LAST",$B113,$B113)</f>
        <v>#N/A N/A</v>
      </c>
      <c r="AP113" t="str" cm="1">
        <f t="array" ref="AP113">_xll.BDH(AP$2 &amp; " US Equity","PX_LAST",$B113,$B113)</f>
        <v>#N/A N/A</v>
      </c>
      <c r="AQ113" t="str" cm="1">
        <f t="array" ref="AQ113">_xll.BDH(AQ$2 &amp; " US Equity","PX_LAST",$B113,$B113)</f>
        <v>#N/A N/A</v>
      </c>
      <c r="AR113" t="str" cm="1">
        <f t="array" ref="AR113">_xll.BDH(AR$2 &amp; " US Equity","PX_LAST",$B113,$B113)</f>
        <v>#N/A N/A</v>
      </c>
      <c r="AS113" t="str" cm="1">
        <f t="array" ref="AS113">_xll.BDH(AS$2 &amp; " US Equity","PX_LAST",$B113,$B113)</f>
        <v>#N/A N/A</v>
      </c>
      <c r="AT113" t="str" cm="1">
        <f t="array" ref="AT113">_xll.BDH(AT$2 &amp; " US Equity","PX_LAST",$B113,$B113)</f>
        <v>#N/A N/A</v>
      </c>
      <c r="AU113" t="str" cm="1">
        <f t="array" ref="AU113">_xll.BDH(AU$2 &amp; " US Equity","PX_LAST",$B113,$B113)</f>
        <v>#N/A N/A</v>
      </c>
      <c r="AV113" t="str" cm="1">
        <f t="array" ref="AV113">_xll.BDH(AV$2 &amp; " US Equity","PX_LAST",$B113,$B113)</f>
        <v>#N/A N/A</v>
      </c>
      <c r="AW113" t="str" cm="1">
        <f t="array" ref="AW113">_xll.BDH(AW$2 &amp; " US Equity","PX_LAST",$B113,$B113)</f>
        <v>#N/A N/A</v>
      </c>
    </row>
    <row r="114" spans="2:49">
      <c r="B114" s="13">
        <v>46012</v>
      </c>
      <c r="C114" t="str" cm="1">
        <f t="array" ref="C114">_xll.BDH(C$2 &amp; " US Equity","PX_LAST",$B114,$B114)</f>
        <v>#N/A N/A</v>
      </c>
      <c r="D114" t="str" cm="1">
        <f t="array" ref="D114">_xll.BDH(D$2 &amp; " PE Equity","PX_LAST",$B114,$B114)</f>
        <v>#N/A N/A</v>
      </c>
      <c r="E114" t="str" cm="1">
        <f t="array" ref="E114">_xll.BDH(E$2 &amp; " PE Equity","PX_LAST",$B114,$B114)</f>
        <v>#N/A N/A</v>
      </c>
      <c r="F114" t="str" cm="1">
        <f t="array" ref="F114">_xll.BDH(F$2 &amp; " PE Equity","PX_LAST",$B114,$B114)</f>
        <v>#N/A N/A</v>
      </c>
      <c r="G114" t="str" cm="1">
        <f t="array" ref="G114">_xll.BDH(G$2 &amp; " US Equity","PX_LAST",$B114,$B114)</f>
        <v>#N/A N/A</v>
      </c>
      <c r="H114" t="str" cm="1">
        <f t="array" ref="H114">_xll.BDH(H$2 &amp; " PE Equity","PX_LAST",$B114,$B114)</f>
        <v>#N/A N/A</v>
      </c>
      <c r="I114" t="str" cm="1">
        <f t="array" ref="I114">_xll.BDH(I$2 &amp; " US Equity","PX_LAST",$B114,$B114)</f>
        <v>#N/A N/A</v>
      </c>
      <c r="J114" t="str" cm="1">
        <f t="array" ref="J114">_xll.BDH(J$2 &amp; " US Equity","PX_LAST",$B114,$B114)</f>
        <v>#N/A N/A</v>
      </c>
      <c r="K114" t="str" cm="1">
        <f t="array" ref="K114">_xll.BDH(K$2 &amp; " US Equity","PX_LAST",$B114,$B114)</f>
        <v>#N/A N/A</v>
      </c>
      <c r="L114" t="str" cm="1">
        <f t="array" ref="L114">_xll.BDH(L$2 &amp; " US Equity","PX_LAST",$B114,$B114)</f>
        <v>#N/A N/A</v>
      </c>
      <c r="M114" t="str" cm="1">
        <f t="array" ref="M114">_xll.BDH(M$2 &amp; " US Equity","PX_LAST",$B114,$B114)</f>
        <v>#N/A N/A</v>
      </c>
      <c r="N114" t="str" cm="1">
        <f t="array" ref="N114">_xll.BDH(N$2 &amp; " US Equity","PX_LAST",$B114,$B114)</f>
        <v>#N/A N/A</v>
      </c>
      <c r="O114" t="str" cm="1">
        <f t="array" ref="O114">_xll.BDH(O$2 &amp; " US Equity","PX_LAST",$B114,$B114)</f>
        <v>#N/A N/A</v>
      </c>
      <c r="P114" t="str" cm="1">
        <f t="array" ref="P114">_xll.BDH(P$2 &amp; " US Equity","PX_LAST",$B114,$B114)</f>
        <v>#N/A N/A</v>
      </c>
      <c r="Q114" t="str" cm="1">
        <f t="array" ref="Q114">_xll.BDH(Q$2 &amp; " US Equity","PX_LAST",$B114,$B114)</f>
        <v>#N/A N/A</v>
      </c>
      <c r="R114" t="str" cm="1">
        <f t="array" ref="R114">_xll.BDH(R$2 &amp; " US Equity","PX_LAST",$B114,$B114)</f>
        <v>#N/A N/A</v>
      </c>
      <c r="S114" t="str" cm="1">
        <f t="array" ref="S114">_xll.BDH(S$2 &amp; " US Equity","PX_LAST",$B114,$B114)</f>
        <v>#N/A N/A</v>
      </c>
      <c r="T114" t="str" cm="1">
        <f t="array" ref="T114">_xll.BDH(T$2 &amp; " US Equity","PX_LAST",$B114,$B114)</f>
        <v>#N/A N/A</v>
      </c>
      <c r="U114" t="str" cm="1">
        <f t="array" ref="U114">_xll.BDH(U$2 &amp; " US Equity","PX_LAST",$B114,$B114)</f>
        <v>#N/A N/A</v>
      </c>
      <c r="V114" t="str" cm="1">
        <f t="array" ref="V114">_xll.BDH(V$2 &amp; " US Equity","PX_LAST",$B114,$B114)</f>
        <v>#N/A N/A</v>
      </c>
      <c r="W114" t="str" cm="1">
        <f t="array" ref="W114">_xll.BDH(W$2 &amp; " US Equity","PX_LAST",$B114,$B114)</f>
        <v>#N/A N/A</v>
      </c>
      <c r="X114" t="str" cm="1">
        <f t="array" ref="X114">_xll.BDH(X$2 &amp; " US Equity","PX_LAST",$B114,$B114)</f>
        <v>#N/A N/A</v>
      </c>
      <c r="Y114" t="str" cm="1">
        <f t="array" ref="Y114">_xll.BDH(Y$2 &amp; " US Equity","PX_LAST",$B114,$B114)</f>
        <v>#N/A N/A</v>
      </c>
      <c r="Z114" t="str" cm="1">
        <f t="array" ref="Z114">_xll.BDH(Z$2 &amp; " US Equity","PX_LAST",$B114,$B114)</f>
        <v>#N/A N/A</v>
      </c>
      <c r="AA114" t="str" cm="1">
        <f t="array" ref="AA114">_xll.BDH(AA$2 &amp; " PE Equity","PX_LAST",$B114,$B114)</f>
        <v>#N/A N/A</v>
      </c>
      <c r="AB114" t="str" cm="1">
        <f t="array" ref="AB114">_xll.BDH(AB$2 &amp; " PE Equity","PX_LAST",$B114,$B114)</f>
        <v>#N/A N/A</v>
      </c>
      <c r="AC114" t="str" cm="1">
        <f t="array" ref="AC114">_xll.BDH(AC$2 &amp; " US Equity","PX_LAST",$B114,$B114)</f>
        <v>#N/A N/A</v>
      </c>
      <c r="AD114" t="str" cm="1">
        <f t="array" ref="AD114">_xll.BDH(AD$2 &amp; " US Equity","PX_LAST",$B114,$B114)</f>
        <v>#N/A N/A</v>
      </c>
      <c r="AE114" t="str" cm="1">
        <f t="array" ref="AE114">_xll.BDH(AE$2 &amp; " PE Equity","PX_LAST",$B114,$B114)</f>
        <v>#N/A Connection</v>
      </c>
      <c r="AF114" t="str" cm="1">
        <f t="array" ref="AF114">_xll.BDH(AF$2 &amp; " US Equity","PX_LAST",$B114,$B114)</f>
        <v>#N/A N/A</v>
      </c>
      <c r="AG114" t="str" cm="1">
        <f t="array" ref="AG114">_xll.BDH(AG$2 &amp; " US Equity","PX_LAST",$B114,$B114)</f>
        <v>#N/A N/A</v>
      </c>
      <c r="AH114" t="str" cm="1">
        <f t="array" ref="AH114">_xll.BDH(AH$2 &amp; " US Equity","PX_LAST",$B114,$B114)</f>
        <v>#N/A N/A</v>
      </c>
      <c r="AI114" t="str" cm="1">
        <f t="array" ref="AI114">_xll.BDH(AI$2 &amp; " US Equity","PX_LAST",$B114,$B114)</f>
        <v>#N/A N/A</v>
      </c>
      <c r="AJ114" t="str" cm="1">
        <f t="array" ref="AJ114">_xll.BDH(AJ$2 &amp; " US Equity","PX_LAST",$B114,$B114)</f>
        <v>#N/A N/A</v>
      </c>
      <c r="AK114" t="str" cm="1">
        <f t="array" ref="AK114">_xll.BDH(AK$2 &amp; " US Equity","PX_LAST",$B114,$B114)</f>
        <v>#N/A N/A</v>
      </c>
      <c r="AL114" t="str" cm="1">
        <f t="array" ref="AL114">_xll.BDH(AL$2 &amp; " US Equity","PX_LAST",$B114,$B114)</f>
        <v>#N/A N/A</v>
      </c>
      <c r="AM114" t="str" cm="1">
        <f t="array" ref="AM114">_xll.BDH(AM$2 &amp; " US Equity","PX_LAST",$B114,$B114)</f>
        <v>#N/A N/A</v>
      </c>
      <c r="AN114" t="str" cm="1">
        <f t="array" ref="AN114">_xll.BDH(AN$2 &amp; " US Equity","PX_LAST",$B114,$B114)</f>
        <v>#N/A N/A</v>
      </c>
      <c r="AO114" t="str" cm="1">
        <f t="array" ref="AO114">_xll.BDH(AO$2 &amp; " US Equity","PX_LAST",$B114,$B114)</f>
        <v>#N/A N/A</v>
      </c>
      <c r="AP114" t="str" cm="1">
        <f t="array" ref="AP114">_xll.BDH(AP$2 &amp; " US Equity","PX_LAST",$B114,$B114)</f>
        <v>#N/A N/A</v>
      </c>
      <c r="AQ114" t="str" cm="1">
        <f t="array" ref="AQ114">_xll.BDH(AQ$2 &amp; " US Equity","PX_LAST",$B114,$B114)</f>
        <v>#N/A N/A</v>
      </c>
      <c r="AR114" t="str" cm="1">
        <f t="array" ref="AR114">_xll.BDH(AR$2 &amp; " US Equity","PX_LAST",$B114,$B114)</f>
        <v>#N/A N/A</v>
      </c>
      <c r="AS114" t="str" cm="1">
        <f t="array" ref="AS114">_xll.BDH(AS$2 &amp; " US Equity","PX_LAST",$B114,$B114)</f>
        <v>#N/A N/A</v>
      </c>
      <c r="AT114" t="str" cm="1">
        <f t="array" ref="AT114">_xll.BDH(AT$2 &amp; " US Equity","PX_LAST",$B114,$B114)</f>
        <v>#N/A N/A</v>
      </c>
      <c r="AU114" t="str" cm="1">
        <f t="array" ref="AU114">_xll.BDH(AU$2 &amp; " US Equity","PX_LAST",$B114,$B114)</f>
        <v>#N/A N/A</v>
      </c>
      <c r="AV114" t="str" cm="1">
        <f t="array" ref="AV114">_xll.BDH(AV$2 &amp; " US Equity","PX_LAST",$B114,$B114)</f>
        <v>#N/A N/A</v>
      </c>
      <c r="AW114" t="str" cm="1">
        <f t="array" ref="AW114">_xll.BDH(AW$2 &amp; " US Equity","PX_LAST",$B114,$B114)</f>
        <v>#N/A N/A</v>
      </c>
    </row>
    <row r="115" spans="2:49">
      <c r="B115" s="13">
        <v>46013</v>
      </c>
      <c r="C115" cm="1">
        <f t="array" ref="C115">_xll.BDH(C$2 &amp; " US Equity","PX_LAST",$B115,$B115)</f>
        <v>292.77999999999997</v>
      </c>
      <c r="D115" cm="1">
        <f t="array" ref="D115">_xll.BDH(D$2 &amp; " PE Equity","PX_LAST",$B115,$B115)</f>
        <v>5.0999999999999996</v>
      </c>
      <c r="E115" cm="1">
        <f t="array" ref="E115">_xll.BDH(E$2 &amp; " PE Equity","PX_LAST",$B115,$B115)</f>
        <v>1.96</v>
      </c>
      <c r="F115" cm="1">
        <f t="array" ref="F115">_xll.BDH(F$2 &amp; " PE Equity","PX_LAST",$B115,$B115)</f>
        <v>2.6</v>
      </c>
      <c r="G115" cm="1">
        <f t="array" ref="G115">_xll.BDH(G$2 &amp; " US Equity","PX_LAST",$B115,$B115)</f>
        <v>20.02</v>
      </c>
      <c r="H115" cm="1">
        <f t="array" ref="H115">_xll.BDH(H$2 &amp; " PE Equity","PX_LAST",$B115,$B115)</f>
        <v>3.68</v>
      </c>
      <c r="I115" cm="1">
        <f t="array" ref="I115">_xll.BDH(I$2 &amp; " US Equity","PX_LAST",$B115,$B115)</f>
        <v>51.4</v>
      </c>
      <c r="J115" cm="1">
        <f t="array" ref="J115">_xll.BDH(J$2 &amp; " US Equity","PX_LAST",$B115,$B115)</f>
        <v>6.9028999999999998</v>
      </c>
      <c r="K115" cm="1">
        <f t="array" ref="K115">_xll.BDH(K$2 &amp; " US Equity","PX_LAST",$B115,$B115)</f>
        <v>53.63</v>
      </c>
      <c r="L115" cm="1">
        <f t="array" ref="L115">_xll.BDH(L$2 &amp; " US Equity","PX_LAST",$B115,$B115)</f>
        <v>54.01</v>
      </c>
      <c r="M115" cm="1">
        <f t="array" ref="M115">_xll.BDH(M$2 &amp; " US Equity","PX_LAST",$B115,$B115)</f>
        <v>289.08</v>
      </c>
      <c r="N115" cm="1">
        <f t="array" ref="N115">_xll.BDH(N$2 &amp; " US Equity","PX_LAST",$B115,$B115)</f>
        <v>36.97</v>
      </c>
      <c r="O115" cm="1">
        <f t="array" ref="O115">_xll.BDH(O$2 &amp; " US Equity","PX_LAST",$B115,$B115)</f>
        <v>30.97</v>
      </c>
      <c r="P115" cm="1">
        <f t="array" ref="P115">_xll.BDH(P$2 &amp; " US Equity","PX_LAST",$B115,$B115)</f>
        <v>16.649999999999999</v>
      </c>
      <c r="Q115" cm="1">
        <f t="array" ref="Q115">_xll.BDH(Q$2 &amp; " US Equity","PX_LAST",$B115,$B115)</f>
        <v>25.21</v>
      </c>
      <c r="R115" cm="1">
        <f t="array" ref="R115">_xll.BDH(R$2 &amp; " US Equity","PX_LAST",$B115,$B115)</f>
        <v>29.12</v>
      </c>
      <c r="S115" cm="1">
        <f t="array" ref="S115">_xll.BDH(S$2 &amp; " US Equity","PX_LAST",$B115,$B115)</f>
        <v>157.05000000000001</v>
      </c>
      <c r="T115" cm="1">
        <f t="array" ref="T115">_xll.BDH(T$2 &amp; " US Equity","PX_LAST",$B115,$B115)</f>
        <v>63.97</v>
      </c>
      <c r="U115" cm="1">
        <f t="array" ref="U115">_xll.BDH(U$2 &amp; " US Equity","PX_LAST",$B115,$B115)</f>
        <v>124.41</v>
      </c>
      <c r="V115" cm="1">
        <f t="array" ref="V115">_xll.BDH(V$2 &amp; " US Equity","PX_LAST",$B115,$B115)</f>
        <v>42.47</v>
      </c>
      <c r="W115" cm="1">
        <f t="array" ref="W115">_xll.BDH(W$2 &amp; " US Equity","PX_LAST",$B115,$B115)</f>
        <v>193.98</v>
      </c>
      <c r="X115" cm="1">
        <f t="array" ref="X115">_xll.BDH(X$2 &amp; " US Equity","PX_LAST",$B115,$B115)</f>
        <v>59.93</v>
      </c>
      <c r="Y115" cm="1">
        <f t="array" ref="Y115">_xll.BDH(Y$2 &amp; " US Equity","PX_LAST",$B115,$B115)</f>
        <v>44.96</v>
      </c>
      <c r="Z115" cm="1">
        <f t="array" ref="Z115">_xll.BDH(Z$2 &amp; " US Equity","PX_LAST",$B115,$B115)</f>
        <v>359.7</v>
      </c>
      <c r="AA115" cm="1">
        <f t="array" ref="AA115">_xll.BDH(AA$2 &amp; " PE Equity","PX_LAST",$B115,$B115)</f>
        <v>0.66</v>
      </c>
      <c r="AB115" cm="1">
        <f t="array" ref="AB115">_xll.BDH(AB$2 &amp; " PE Equity","PX_LAST",$B115,$B115)</f>
        <v>24.9</v>
      </c>
      <c r="AC115" cm="1">
        <f t="array" ref="AC115">_xll.BDH(AC$2 &amp; " US Equity","PX_LAST",$B115,$B115)</f>
        <v>72.3</v>
      </c>
      <c r="AD115" cm="1">
        <f t="array" ref="AD115">_xll.BDH(AD$2 &amp; " US Equity","PX_LAST",$B115,$B115)</f>
        <v>684.83</v>
      </c>
      <c r="AE115" t="str" cm="1">
        <f t="array" ref="AE115">_xll.BDH(AE$2 &amp; " PE Equity","PX_LAST",$B115,$B115)</f>
        <v>#N/A Connection</v>
      </c>
      <c r="AF115" cm="1">
        <f t="array" ref="AF115">_xll.BDH(AF$2 &amp; " US Equity","PX_LAST",$B115,$B115)</f>
        <v>57.972200000000001</v>
      </c>
      <c r="AG115" cm="1">
        <f t="array" ref="AG115">_xll.BDH(AG$2 &amp; " US Equity","PX_LAST",$B115,$B115)</f>
        <v>12.5747</v>
      </c>
      <c r="AH115" cm="1">
        <f t="array" ref="AH115">_xll.BDH(AH$2 &amp; " US Equity","PX_LAST",$B115,$B115)</f>
        <v>619.21</v>
      </c>
      <c r="AI115" cm="1">
        <f t="array" ref="AI115">_xll.BDH(AI$2 &amp; " US Equity","PX_LAST",$B115,$B115)</f>
        <v>114.84</v>
      </c>
      <c r="AJ115" cm="1">
        <f t="array" ref="AJ115">_xll.BDH(AJ$2 &amp; " US Equity","PX_LAST",$B115,$B115)</f>
        <v>112.38</v>
      </c>
      <c r="AK115" cm="1">
        <f t="array" ref="AK115">_xll.BDH(AK$2 &amp; " US Equity","PX_LAST",$B115,$B115)</f>
        <v>122.34</v>
      </c>
      <c r="AL115" cm="1">
        <f t="array" ref="AL115">_xll.BDH(AL$2 &amp; " US Equity","PX_LAST",$B115,$B115)</f>
        <v>228.43</v>
      </c>
      <c r="AM115" cm="1">
        <f t="array" ref="AM115">_xll.BDH(AM$2 &amp; " US Equity","PX_LAST",$B115,$B115)</f>
        <v>54.25</v>
      </c>
      <c r="AN115" cm="1">
        <f t="array" ref="AN115">_xll.BDH(AN$2 &amp; " US Equity","PX_LAST",$B115,$B115)</f>
        <v>23.454499999999999</v>
      </c>
      <c r="AO115" cm="1">
        <f t="array" ref="AO115">_xll.BDH(AO$2 &amp; " US Equity","PX_LAST",$B115,$B115)</f>
        <v>51.82</v>
      </c>
      <c r="AP115" cm="1">
        <f t="array" ref="AP115">_xll.BDH(AP$2 &amp; " US Equity","PX_LAST",$B115,$B115)</f>
        <v>4.5599999999999996</v>
      </c>
      <c r="AQ115" cm="1">
        <f t="array" ref="AQ115">_xll.BDH(AQ$2 &amp; " US Equity","PX_LAST",$B115,$B115)</f>
        <v>99.78</v>
      </c>
      <c r="AR115" cm="1">
        <f t="array" ref="AR115">_xll.BDH(AR$2 &amp; " US Equity","PX_LAST",$B115,$B115)</f>
        <v>62.95</v>
      </c>
      <c r="AS115" cm="1">
        <f t="array" ref="AS115">_xll.BDH(AS$2 &amp; " US Equity","PX_LAST",$B115,$B115)</f>
        <v>93.23</v>
      </c>
      <c r="AT115" cm="1">
        <f t="array" ref="AT115">_xll.BDH(AT$2 &amp; " US Equity","PX_LAST",$B115,$B115)</f>
        <v>5</v>
      </c>
      <c r="AU115" cm="1">
        <f t="array" ref="AU115">_xll.BDH(AU$2 &amp; " US Equity","PX_LAST",$B115,$B115)</f>
        <v>325.16000000000003</v>
      </c>
      <c r="AV115" cm="1">
        <f t="array" ref="AV115">_xll.BDH(AV$2 &amp; " US Equity","PX_LAST",$B115,$B115)</f>
        <v>248.58</v>
      </c>
      <c r="AW115" cm="1">
        <f t="array" ref="AW115">_xll.BDH(AW$2 &amp; " US Equity","PX_LAST",$B115,$B115)</f>
        <v>131.41999999999999</v>
      </c>
    </row>
    <row r="116" spans="2:49">
      <c r="B116" s="13">
        <v>46014</v>
      </c>
      <c r="C116" cm="1">
        <f t="array" ref="C116">_xll.BDH(C$2 &amp; " US Equity","PX_LAST",$B116,$B116)</f>
        <v>295.20999999999998</v>
      </c>
      <c r="D116" cm="1">
        <f t="array" ref="D116">_xll.BDH(D$2 &amp; " PE Equity","PX_LAST",$B116,$B116)</f>
        <v>5.0999999999999996</v>
      </c>
      <c r="E116" cm="1">
        <f t="array" ref="E116">_xll.BDH(E$2 &amp; " PE Equity","PX_LAST",$B116,$B116)</f>
        <v>2</v>
      </c>
      <c r="F116" cm="1">
        <f t="array" ref="F116">_xll.BDH(F$2 &amp; " PE Equity","PX_LAST",$B116,$B116)</f>
        <v>2.6</v>
      </c>
      <c r="G116" cm="1">
        <f t="array" ref="G116">_xll.BDH(G$2 &amp; " US Equity","PX_LAST",$B116,$B116)</f>
        <v>19.7</v>
      </c>
      <c r="H116" cm="1">
        <f t="array" ref="H116">_xll.BDH(H$2 &amp; " PE Equity","PX_LAST",$B116,$B116)</f>
        <v>3.71</v>
      </c>
      <c r="I116" cm="1">
        <f t="array" ref="I116">_xll.BDH(I$2 &amp; " US Equity","PX_LAST",$B116,$B116)</f>
        <v>50.4</v>
      </c>
      <c r="J116" cm="1">
        <f t="array" ref="J116">_xll.BDH(J$2 &amp; " US Equity","PX_LAST",$B116,$B116)</f>
        <v>7.0583</v>
      </c>
      <c r="K116" cm="1">
        <f t="array" ref="K116">_xll.BDH(K$2 &amp; " US Equity","PX_LAST",$B116,$B116)</f>
        <v>53.8</v>
      </c>
      <c r="L116" cm="1">
        <f t="array" ref="L116">_xll.BDH(L$2 &amp; " US Equity","PX_LAST",$B116,$B116)</f>
        <v>54.31</v>
      </c>
      <c r="M116" cm="1">
        <f t="array" ref="M116">_xll.BDH(M$2 &amp; " US Equity","PX_LAST",$B116,$B116)</f>
        <v>289</v>
      </c>
      <c r="N116" cm="1">
        <f t="array" ref="N116">_xll.BDH(N$2 &amp; " US Equity","PX_LAST",$B116,$B116)</f>
        <v>37.18</v>
      </c>
      <c r="O116" cm="1">
        <f t="array" ref="O116">_xll.BDH(O$2 &amp; " US Equity","PX_LAST",$B116,$B116)</f>
        <v>31.65</v>
      </c>
      <c r="P116" cm="1">
        <f t="array" ref="P116">_xll.BDH(P$2 &amp; " US Equity","PX_LAST",$B116,$B116)</f>
        <v>16.54</v>
      </c>
      <c r="Q116" cm="1">
        <f t="array" ref="Q116">_xll.BDH(Q$2 &amp; " US Equity","PX_LAST",$B116,$B116)</f>
        <v>24.88</v>
      </c>
      <c r="R116" cm="1">
        <f t="array" ref="R116">_xll.BDH(R$2 &amp; " US Equity","PX_LAST",$B116,$B116)</f>
        <v>29.69</v>
      </c>
      <c r="S116" cm="1">
        <f t="array" ref="S116">_xll.BDH(S$2 &amp; " US Equity","PX_LAST",$B116,$B116)</f>
        <v>156.99</v>
      </c>
      <c r="T116" cm="1">
        <f t="array" ref="T116">_xll.BDH(T$2 &amp; " US Equity","PX_LAST",$B116,$B116)</f>
        <v>64.099999999999994</v>
      </c>
      <c r="U116" cm="1">
        <f t="array" ref="U116">_xll.BDH(U$2 &amp; " US Equity","PX_LAST",$B116,$B116)</f>
        <v>123.83</v>
      </c>
      <c r="V116" cm="1">
        <f t="array" ref="V116">_xll.BDH(V$2 &amp; " US Equity","PX_LAST",$B116,$B116)</f>
        <v>42.62</v>
      </c>
      <c r="W116" cm="1">
        <f t="array" ref="W116">_xll.BDH(W$2 &amp; " US Equity","PX_LAST",$B116,$B116)</f>
        <v>194.13</v>
      </c>
      <c r="X116" cm="1">
        <f t="array" ref="X116">_xll.BDH(X$2 &amp; " US Equity","PX_LAST",$B116,$B116)</f>
        <v>60.4</v>
      </c>
      <c r="Y116" cm="1">
        <f t="array" ref="Y116">_xll.BDH(Y$2 &amp; " US Equity","PX_LAST",$B116,$B116)</f>
        <v>44.9</v>
      </c>
      <c r="Z116" cm="1">
        <f t="array" ref="Z116">_xll.BDH(Z$2 &amp; " US Equity","PX_LAST",$B116,$B116)</f>
        <v>363.16</v>
      </c>
      <c r="AA116" cm="1">
        <f t="array" ref="AA116">_xll.BDH(AA$2 &amp; " PE Equity","PX_LAST",$B116,$B116)</f>
        <v>0.69</v>
      </c>
      <c r="AB116" cm="1">
        <f t="array" ref="AB116">_xll.BDH(AB$2 &amp; " PE Equity","PX_LAST",$B116,$B116)</f>
        <v>24.85</v>
      </c>
      <c r="AC116" cm="1">
        <f t="array" ref="AC116">_xll.BDH(AC$2 &amp; " US Equity","PX_LAST",$B116,$B116)</f>
        <v>72.34</v>
      </c>
      <c r="AD116" cm="1">
        <f t="array" ref="AD116">_xll.BDH(AD$2 &amp; " US Equity","PX_LAST",$B116,$B116)</f>
        <v>687.96</v>
      </c>
      <c r="AE116" t="str" cm="1">
        <f t="array" ref="AE116">_xll.BDH(AE$2 &amp; " PE Equity","PX_LAST",$B116,$B116)</f>
        <v>#N/A Connection</v>
      </c>
      <c r="AF116" cm="1">
        <f t="array" ref="AF116">_xll.BDH(AF$2 &amp; " US Equity","PX_LAST",$B116,$B116)</f>
        <v>58.09</v>
      </c>
      <c r="AG116" cm="1">
        <f t="array" ref="AG116">_xll.BDH(AG$2 &amp; " US Equity","PX_LAST",$B116,$B116)</f>
        <v>12.92</v>
      </c>
      <c r="AH116" cm="1">
        <f t="array" ref="AH116">_xll.BDH(AH$2 &amp; " US Equity","PX_LAST",$B116,$B116)</f>
        <v>622.11</v>
      </c>
      <c r="AI116" cm="1">
        <f t="array" ref="AI116">_xll.BDH(AI$2 &amp; " US Equity","PX_LAST",$B116,$B116)</f>
        <v>114.18</v>
      </c>
      <c r="AJ116" cm="1">
        <f t="array" ref="AJ116">_xll.BDH(AJ$2 &amp; " US Equity","PX_LAST",$B116,$B116)</f>
        <v>113.22</v>
      </c>
      <c r="AK116" cm="1">
        <f t="array" ref="AK116">_xll.BDH(AK$2 &amp; " US Equity","PX_LAST",$B116,$B116)</f>
        <v>122.17</v>
      </c>
      <c r="AL116" cm="1">
        <f t="array" ref="AL116">_xll.BDH(AL$2 &amp; " US Equity","PX_LAST",$B116,$B116)</f>
        <v>232.14</v>
      </c>
      <c r="AM116" cm="1">
        <f t="array" ref="AM116">_xll.BDH(AM$2 &amp; " US Equity","PX_LAST",$B116,$B116)</f>
        <v>55.01</v>
      </c>
      <c r="AN116" cm="1">
        <f t="array" ref="AN116">_xll.BDH(AN$2 &amp; " US Equity","PX_LAST",$B116,$B116)</f>
        <v>23.429099999999998</v>
      </c>
      <c r="AO116" cm="1">
        <f t="array" ref="AO116">_xll.BDH(AO$2 &amp; " US Equity","PX_LAST",$B116,$B116)</f>
        <v>51.56</v>
      </c>
      <c r="AP116" cm="1">
        <f t="array" ref="AP116">_xll.BDH(AP$2 &amp; " US Equity","PX_LAST",$B116,$B116)</f>
        <v>4.6100000000000003</v>
      </c>
      <c r="AQ116" cm="1">
        <f t="array" ref="AQ116">_xll.BDH(AQ$2 &amp; " US Equity","PX_LAST",$B116,$B116)</f>
        <v>100.11</v>
      </c>
      <c r="AR116" cm="1">
        <f t="array" ref="AR116">_xll.BDH(AR$2 &amp; " US Equity","PX_LAST",$B116,$B116)</f>
        <v>63.63</v>
      </c>
      <c r="AS116" cm="1">
        <f t="array" ref="AS116">_xll.BDH(AS$2 &amp; " US Equity","PX_LAST",$B116,$B116)</f>
        <v>93.5</v>
      </c>
      <c r="AT116" cm="1">
        <f t="array" ref="AT116">_xll.BDH(AT$2 &amp; " US Equity","PX_LAST",$B116,$B116)</f>
        <v>4.8899999999999997</v>
      </c>
      <c r="AU116" cm="1">
        <f t="array" ref="AU116">_xll.BDH(AU$2 &amp; " US Equity","PX_LAST",$B116,$B116)</f>
        <v>324.8</v>
      </c>
      <c r="AV116" cm="1">
        <f t="array" ref="AV116">_xll.BDH(AV$2 &amp; " US Equity","PX_LAST",$B116,$B116)</f>
        <v>249.23</v>
      </c>
      <c r="AW116" cm="1">
        <f t="array" ref="AW116">_xll.BDH(AW$2 &amp; " US Equity","PX_LAST",$B116,$B116)</f>
        <v>131</v>
      </c>
    </row>
    <row r="117" spans="2:49">
      <c r="B117" s="13">
        <v>46015</v>
      </c>
      <c r="C117" cm="1">
        <f t="array" ref="C117">_xll.BDH(C$2 &amp; " US Equity","PX_LAST",$B117,$B117)</f>
        <v>295.89999999999998</v>
      </c>
      <c r="D117" cm="1">
        <f t="array" ref="D117">_xll.BDH(D$2 &amp; " PE Equity","PX_LAST",$B117,$B117)</f>
        <v>5.12</v>
      </c>
      <c r="E117" cm="1">
        <f t="array" ref="E117">_xll.BDH(E$2 &amp; " PE Equity","PX_LAST",$B117,$B117)</f>
        <v>2.1</v>
      </c>
      <c r="F117" cm="1">
        <f t="array" ref="F117">_xll.BDH(F$2 &amp; " PE Equity","PX_LAST",$B117,$B117)</f>
        <v>2.6</v>
      </c>
      <c r="G117" cm="1">
        <f t="array" ref="G117">_xll.BDH(G$2 &amp; " US Equity","PX_LAST",$B117,$B117)</f>
        <v>19.57</v>
      </c>
      <c r="H117" cm="1">
        <f t="array" ref="H117">_xll.BDH(H$2 &amp; " PE Equity","PX_LAST",$B117,$B117)</f>
        <v>3.73</v>
      </c>
      <c r="I117" cm="1">
        <f t="array" ref="I117">_xll.BDH(I$2 &amp; " US Equity","PX_LAST",$B117,$B117)</f>
        <v>50.86</v>
      </c>
      <c r="J117" cm="1">
        <f t="array" ref="J117">_xll.BDH(J$2 &amp; " US Equity","PX_LAST",$B117,$B117)</f>
        <v>7.0679999999999996</v>
      </c>
      <c r="K117" cm="1">
        <f t="array" ref="K117">_xll.BDH(K$2 &amp; " US Equity","PX_LAST",$B117,$B117)</f>
        <v>53.92</v>
      </c>
      <c r="L117" cm="1">
        <f t="array" ref="L117">_xll.BDH(L$2 &amp; " US Equity","PX_LAST",$B117,$B117)</f>
        <v>54.42</v>
      </c>
      <c r="M117" cm="1">
        <f t="array" ref="M117">_xll.BDH(M$2 &amp; " US Equity","PX_LAST",$B117,$B117)</f>
        <v>289.45</v>
      </c>
      <c r="N117" cm="1">
        <f t="array" ref="N117">_xll.BDH(N$2 &amp; " US Equity","PX_LAST",$B117,$B117)</f>
        <v>37.299999999999997</v>
      </c>
      <c r="O117" cm="1">
        <f t="array" ref="O117">_xll.BDH(O$2 &amp; " US Equity","PX_LAST",$B117,$B117)</f>
        <v>31.55</v>
      </c>
      <c r="P117" cm="1">
        <f t="array" ref="P117">_xll.BDH(P$2 &amp; " US Equity","PX_LAST",$B117,$B117)</f>
        <v>16.579999999999998</v>
      </c>
      <c r="Q117" cm="1">
        <f t="array" ref="Q117">_xll.BDH(Q$2 &amp; " US Equity","PX_LAST",$B117,$B117)</f>
        <v>25.03</v>
      </c>
      <c r="R117" cm="1">
        <f t="array" ref="R117">_xll.BDH(R$2 &amp; " US Equity","PX_LAST",$B117,$B117)</f>
        <v>29.51</v>
      </c>
      <c r="S117" cm="1">
        <f t="array" ref="S117">_xll.BDH(S$2 &amp; " US Equity","PX_LAST",$B117,$B117)</f>
        <v>157.5</v>
      </c>
      <c r="T117" cm="1">
        <f t="array" ref="T117">_xll.BDH(T$2 &amp; " US Equity","PX_LAST",$B117,$B117)</f>
        <v>64.2</v>
      </c>
      <c r="U117" cm="1">
        <f t="array" ref="U117">_xll.BDH(U$2 &amp; " US Equity","PX_LAST",$B117,$B117)</f>
        <v>123.36</v>
      </c>
      <c r="V117" cm="1">
        <f t="array" ref="V117">_xll.BDH(V$2 &amp; " US Equity","PX_LAST",$B117,$B117)</f>
        <v>42.81</v>
      </c>
      <c r="W117" cm="1">
        <f t="array" ref="W117">_xll.BDH(W$2 &amp; " US Equity","PX_LAST",$B117,$B117)</f>
        <v>194.17</v>
      </c>
      <c r="X117" cm="1">
        <f t="array" ref="X117">_xll.BDH(X$2 &amp; " US Equity","PX_LAST",$B117,$B117)</f>
        <v>60.53</v>
      </c>
      <c r="Y117" cm="1">
        <f t="array" ref="Y117">_xll.BDH(Y$2 &amp; " US Equity","PX_LAST",$B117,$B117)</f>
        <v>44.98</v>
      </c>
      <c r="Z117" cm="1">
        <f t="array" ref="Z117">_xll.BDH(Z$2 &amp; " US Equity","PX_LAST",$B117,$B117)</f>
        <v>364.17</v>
      </c>
      <c r="AA117" cm="1">
        <f t="array" ref="AA117">_xll.BDH(AA$2 &amp; " PE Equity","PX_LAST",$B117,$B117)</f>
        <v>0.71</v>
      </c>
      <c r="AB117" cm="1">
        <f t="array" ref="AB117">_xll.BDH(AB$2 &amp; " PE Equity","PX_LAST",$B117,$B117)</f>
        <v>24.9</v>
      </c>
      <c r="AC117" cm="1">
        <f t="array" ref="AC117">_xll.BDH(AC$2 &amp; " US Equity","PX_LAST",$B117,$B117)</f>
        <v>72.62</v>
      </c>
      <c r="AD117" cm="1">
        <f t="array" ref="AD117">_xll.BDH(AD$2 &amp; " US Equity","PX_LAST",$B117,$B117)</f>
        <v>690.38</v>
      </c>
      <c r="AE117" t="str" cm="1">
        <f t="array" ref="AE117">_xll.BDH(AE$2 &amp; " PE Equity","PX_LAST",$B117,$B117)</f>
        <v>#N/A Connection</v>
      </c>
      <c r="AF117" cm="1">
        <f t="array" ref="AF117">_xll.BDH(AF$2 &amp; " US Equity","PX_LAST",$B117,$B117)</f>
        <v>58.348300000000002</v>
      </c>
      <c r="AG117" cm="1">
        <f t="array" ref="AG117">_xll.BDH(AG$2 &amp; " US Equity","PX_LAST",$B117,$B117)</f>
        <v>12.8363</v>
      </c>
      <c r="AH117" cm="1">
        <f t="array" ref="AH117">_xll.BDH(AH$2 &amp; " US Equity","PX_LAST",$B117,$B117)</f>
        <v>623.92999999999995</v>
      </c>
      <c r="AI117" cm="1">
        <f t="array" ref="AI117">_xll.BDH(AI$2 &amp; " US Equity","PX_LAST",$B117,$B117)</f>
        <v>114.55</v>
      </c>
      <c r="AJ117" cm="1">
        <f t="array" ref="AJ117">_xll.BDH(AJ$2 &amp; " US Equity","PX_LAST",$B117,$B117)</f>
        <v>114.48</v>
      </c>
      <c r="AK117" cm="1">
        <f t="array" ref="AK117">_xll.BDH(AK$2 &amp; " US Equity","PX_LAST",$B117,$B117)</f>
        <v>122.59</v>
      </c>
      <c r="AL117" cm="1">
        <f t="array" ref="AL117">_xll.BDH(AL$2 &amp; " US Equity","PX_LAST",$B117,$B117)</f>
        <v>232.38</v>
      </c>
      <c r="AM117" cm="1">
        <f t="array" ref="AM117">_xll.BDH(AM$2 &amp; " US Equity","PX_LAST",$B117,$B117)</f>
        <v>55.36</v>
      </c>
      <c r="AN117" cm="1">
        <f t="array" ref="AN117">_xll.BDH(AN$2 &amp; " US Equity","PX_LAST",$B117,$B117)</f>
        <v>23.54</v>
      </c>
      <c r="AO117" cm="1">
        <f t="array" ref="AO117">_xll.BDH(AO$2 &amp; " US Equity","PX_LAST",$B117,$B117)</f>
        <v>51.9</v>
      </c>
      <c r="AP117" cm="1">
        <f t="array" ref="AP117">_xll.BDH(AP$2 &amp; " US Equity","PX_LAST",$B117,$B117)</f>
        <v>4.6500000000000004</v>
      </c>
      <c r="AQ117" cm="1">
        <f t="array" ref="AQ117">_xll.BDH(AQ$2 &amp; " US Equity","PX_LAST",$B117,$B117)</f>
        <v>101.08</v>
      </c>
      <c r="AR117" cm="1">
        <f t="array" ref="AR117">_xll.BDH(AR$2 &amp; " US Equity","PX_LAST",$B117,$B117)</f>
        <v>64.349999999999994</v>
      </c>
      <c r="AS117" cm="1">
        <f t="array" ref="AS117">_xll.BDH(AS$2 &amp; " US Equity","PX_LAST",$B117,$B117)</f>
        <v>93.64</v>
      </c>
      <c r="AT117" cm="1">
        <f t="array" ref="AT117">_xll.BDH(AT$2 &amp; " US Equity","PX_LAST",$B117,$B117)</f>
        <v>4.91</v>
      </c>
      <c r="AU117" cm="1">
        <f t="array" ref="AU117">_xll.BDH(AU$2 &amp; " US Equity","PX_LAST",$B117,$B117)</f>
        <v>327.58</v>
      </c>
      <c r="AV117" cm="1">
        <f t="array" ref="AV117">_xll.BDH(AV$2 &amp; " US Equity","PX_LAST",$B117,$B117)</f>
        <v>251.6</v>
      </c>
      <c r="AW117" cm="1">
        <f t="array" ref="AW117">_xll.BDH(AW$2 &amp; " US Equity","PX_LAST",$B117,$B117)</f>
        <v>130.78</v>
      </c>
    </row>
    <row r="118" spans="2:49">
      <c r="B118" s="13">
        <v>46016</v>
      </c>
      <c r="C118" t="str" cm="1">
        <f t="array" ref="C118">_xll.BDH(C$2 &amp; " US Equity","PX_LAST",$B118,$B118)</f>
        <v>#N/A N/A</v>
      </c>
      <c r="D118" t="str" cm="1">
        <f t="array" ref="D118">_xll.BDH(D$2 &amp; " PE Equity","PX_LAST",$B118,$B118)</f>
        <v>#N/A N/A</v>
      </c>
      <c r="E118" t="str" cm="1">
        <f t="array" ref="E118">_xll.BDH(E$2 &amp; " PE Equity","PX_LAST",$B118,$B118)</f>
        <v>#N/A N/A</v>
      </c>
      <c r="F118" t="str" cm="1">
        <f t="array" ref="F118">_xll.BDH(F$2 &amp; " PE Equity","PX_LAST",$B118,$B118)</f>
        <v>#N/A N/A</v>
      </c>
      <c r="G118" t="str" cm="1">
        <f t="array" ref="G118">_xll.BDH(G$2 &amp; " US Equity","PX_LAST",$B118,$B118)</f>
        <v>#N/A N/A</v>
      </c>
      <c r="H118" t="str" cm="1">
        <f t="array" ref="H118">_xll.BDH(H$2 &amp; " PE Equity","PX_LAST",$B118,$B118)</f>
        <v>#N/A N/A</v>
      </c>
      <c r="I118" t="str" cm="1">
        <f t="array" ref="I118">_xll.BDH(I$2 &amp; " US Equity","PX_LAST",$B118,$B118)</f>
        <v>#N/A N/A</v>
      </c>
      <c r="J118" t="str" cm="1">
        <f t="array" ref="J118">_xll.BDH(J$2 &amp; " US Equity","PX_LAST",$B118,$B118)</f>
        <v>#N/A N/A</v>
      </c>
      <c r="K118" t="str" cm="1">
        <f t="array" ref="K118">_xll.BDH(K$2 &amp; " US Equity","PX_LAST",$B118,$B118)</f>
        <v>#N/A N/A</v>
      </c>
      <c r="L118" t="str" cm="1">
        <f t="array" ref="L118">_xll.BDH(L$2 &amp; " US Equity","PX_LAST",$B118,$B118)</f>
        <v>#N/A N/A</v>
      </c>
      <c r="M118" t="str" cm="1">
        <f t="array" ref="M118">_xll.BDH(M$2 &amp; " US Equity","PX_LAST",$B118,$B118)</f>
        <v>#N/A N/A</v>
      </c>
      <c r="N118" t="str" cm="1">
        <f t="array" ref="N118">_xll.BDH(N$2 &amp; " US Equity","PX_LAST",$B118,$B118)</f>
        <v>#N/A N/A</v>
      </c>
      <c r="O118" t="str" cm="1">
        <f t="array" ref="O118">_xll.BDH(O$2 &amp; " US Equity","PX_LAST",$B118,$B118)</f>
        <v>#N/A N/A</v>
      </c>
      <c r="P118" t="str" cm="1">
        <f t="array" ref="P118">_xll.BDH(P$2 &amp; " US Equity","PX_LAST",$B118,$B118)</f>
        <v>#N/A N/A</v>
      </c>
      <c r="Q118" t="str" cm="1">
        <f t="array" ref="Q118">_xll.BDH(Q$2 &amp; " US Equity","PX_LAST",$B118,$B118)</f>
        <v>#N/A N/A</v>
      </c>
      <c r="R118" t="str" cm="1">
        <f t="array" ref="R118">_xll.BDH(R$2 &amp; " US Equity","PX_LAST",$B118,$B118)</f>
        <v>#N/A N/A</v>
      </c>
      <c r="S118" t="str" cm="1">
        <f t="array" ref="S118">_xll.BDH(S$2 &amp; " US Equity","PX_LAST",$B118,$B118)</f>
        <v>#N/A N/A</v>
      </c>
      <c r="T118" t="str" cm="1">
        <f t="array" ref="T118">_xll.BDH(T$2 &amp; " US Equity","PX_LAST",$B118,$B118)</f>
        <v>#N/A N/A</v>
      </c>
      <c r="U118" t="str" cm="1">
        <f t="array" ref="U118">_xll.BDH(U$2 &amp; " US Equity","PX_LAST",$B118,$B118)</f>
        <v>#N/A N/A</v>
      </c>
      <c r="V118" t="str" cm="1">
        <f t="array" ref="V118">_xll.BDH(V$2 &amp; " US Equity","PX_LAST",$B118,$B118)</f>
        <v>#N/A N/A</v>
      </c>
      <c r="W118" t="str" cm="1">
        <f t="array" ref="W118">_xll.BDH(W$2 &amp; " US Equity","PX_LAST",$B118,$B118)</f>
        <v>#N/A N/A</v>
      </c>
      <c r="X118" t="str" cm="1">
        <f t="array" ref="X118">_xll.BDH(X$2 &amp; " US Equity","PX_LAST",$B118,$B118)</f>
        <v>#N/A N/A</v>
      </c>
      <c r="Y118" t="str" cm="1">
        <f t="array" ref="Y118">_xll.BDH(Y$2 &amp; " US Equity","PX_LAST",$B118,$B118)</f>
        <v>#N/A N/A</v>
      </c>
      <c r="Z118" t="str" cm="1">
        <f t="array" ref="Z118">_xll.BDH(Z$2 &amp; " US Equity","PX_LAST",$B118,$B118)</f>
        <v>#N/A N/A</v>
      </c>
      <c r="AA118" t="str" cm="1">
        <f t="array" ref="AA118">_xll.BDH(AA$2 &amp; " PE Equity","PX_LAST",$B118,$B118)</f>
        <v>#N/A N/A</v>
      </c>
      <c r="AB118" t="str" cm="1">
        <f t="array" ref="AB118">_xll.BDH(AB$2 &amp; " PE Equity","PX_LAST",$B118,$B118)</f>
        <v>#N/A N/A</v>
      </c>
      <c r="AC118" t="str" cm="1">
        <f t="array" ref="AC118">_xll.BDH(AC$2 &amp; " US Equity","PX_LAST",$B118,$B118)</f>
        <v>#N/A N/A</v>
      </c>
      <c r="AD118" t="str" cm="1">
        <f t="array" ref="AD118">_xll.BDH(AD$2 &amp; " US Equity","PX_LAST",$B118,$B118)</f>
        <v>#N/A N/A</v>
      </c>
      <c r="AE118" t="str" cm="1">
        <f t="array" ref="AE118">_xll.BDH(AE$2 &amp; " PE Equity","PX_LAST",$B118,$B118)</f>
        <v>#N/A Connection</v>
      </c>
      <c r="AF118" t="str" cm="1">
        <f t="array" ref="AF118">_xll.BDH(AF$2 &amp; " US Equity","PX_LAST",$B118,$B118)</f>
        <v>#N/A N/A</v>
      </c>
      <c r="AG118" t="str" cm="1">
        <f t="array" ref="AG118">_xll.BDH(AG$2 &amp; " US Equity","PX_LAST",$B118,$B118)</f>
        <v>#N/A N/A</v>
      </c>
      <c r="AH118" t="str" cm="1">
        <f t="array" ref="AH118">_xll.BDH(AH$2 &amp; " US Equity","PX_LAST",$B118,$B118)</f>
        <v>#N/A N/A</v>
      </c>
      <c r="AI118" t="str" cm="1">
        <f t="array" ref="AI118">_xll.BDH(AI$2 &amp; " US Equity","PX_LAST",$B118,$B118)</f>
        <v>#N/A N/A</v>
      </c>
      <c r="AJ118" t="str" cm="1">
        <f t="array" ref="AJ118">_xll.BDH(AJ$2 &amp; " US Equity","PX_LAST",$B118,$B118)</f>
        <v>#N/A N/A</v>
      </c>
      <c r="AK118" t="str" cm="1">
        <f t="array" ref="AK118">_xll.BDH(AK$2 &amp; " US Equity","PX_LAST",$B118,$B118)</f>
        <v>#N/A N/A</v>
      </c>
      <c r="AL118" t="str" cm="1">
        <f t="array" ref="AL118">_xll.BDH(AL$2 &amp; " US Equity","PX_LAST",$B118,$B118)</f>
        <v>#N/A N/A</v>
      </c>
      <c r="AM118" t="str" cm="1">
        <f t="array" ref="AM118">_xll.BDH(AM$2 &amp; " US Equity","PX_LAST",$B118,$B118)</f>
        <v>#N/A N/A</v>
      </c>
      <c r="AN118" t="str" cm="1">
        <f t="array" ref="AN118">_xll.BDH(AN$2 &amp; " US Equity","PX_LAST",$B118,$B118)</f>
        <v>#N/A N/A</v>
      </c>
      <c r="AO118" t="str" cm="1">
        <f t="array" ref="AO118">_xll.BDH(AO$2 &amp; " US Equity","PX_LAST",$B118,$B118)</f>
        <v>#N/A N/A</v>
      </c>
      <c r="AP118" t="str" cm="1">
        <f t="array" ref="AP118">_xll.BDH(AP$2 &amp; " US Equity","PX_LAST",$B118,$B118)</f>
        <v>#N/A N/A</v>
      </c>
      <c r="AQ118" t="str" cm="1">
        <f t="array" ref="AQ118">_xll.BDH(AQ$2 &amp; " US Equity","PX_LAST",$B118,$B118)</f>
        <v>#N/A N/A</v>
      </c>
      <c r="AR118" t="str" cm="1">
        <f t="array" ref="AR118">_xll.BDH(AR$2 &amp; " US Equity","PX_LAST",$B118,$B118)</f>
        <v>#N/A N/A</v>
      </c>
      <c r="AS118" t="str" cm="1">
        <f t="array" ref="AS118">_xll.BDH(AS$2 &amp; " US Equity","PX_LAST",$B118,$B118)</f>
        <v>#N/A N/A</v>
      </c>
      <c r="AT118" t="str" cm="1">
        <f t="array" ref="AT118">_xll.BDH(AT$2 &amp; " US Equity","PX_LAST",$B118,$B118)</f>
        <v>#N/A N/A</v>
      </c>
      <c r="AU118" t="str" cm="1">
        <f t="array" ref="AU118">_xll.BDH(AU$2 &amp; " US Equity","PX_LAST",$B118,$B118)</f>
        <v>#N/A N/A</v>
      </c>
      <c r="AV118" t="str" cm="1">
        <f t="array" ref="AV118">_xll.BDH(AV$2 &amp; " US Equity","PX_LAST",$B118,$B118)</f>
        <v>#N/A N/A</v>
      </c>
      <c r="AW118" t="str" cm="1">
        <f t="array" ref="AW118">_xll.BDH(AW$2 &amp; " US Equity","PX_LAST",$B118,$B118)</f>
        <v>#N/A N/A</v>
      </c>
    </row>
    <row r="119" spans="2:49">
      <c r="B119" s="13">
        <v>46017</v>
      </c>
      <c r="C119" cm="1">
        <f t="array" ref="C119">_xll.BDH(C$2 &amp; " US Equity","PX_LAST",$B119,$B119)</f>
        <v>296.33</v>
      </c>
      <c r="D119" cm="1">
        <f t="array" ref="D119">_xll.BDH(D$2 &amp; " PE Equity","PX_LAST",$B119,$B119)</f>
        <v>5.29</v>
      </c>
      <c r="E119" cm="1">
        <f t="array" ref="E119">_xll.BDH(E$2 &amp; " PE Equity","PX_LAST",$B119,$B119)</f>
        <v>2.1</v>
      </c>
      <c r="F119" cm="1">
        <f t="array" ref="F119">_xll.BDH(F$2 &amp; " PE Equity","PX_LAST",$B119,$B119)</f>
        <v>2.62</v>
      </c>
      <c r="G119" cm="1">
        <f t="array" ref="G119">_xll.BDH(G$2 &amp; " US Equity","PX_LAST",$B119,$B119)</f>
        <v>20.78</v>
      </c>
      <c r="H119" cm="1">
        <f t="array" ref="H119">_xll.BDH(H$2 &amp; " PE Equity","PX_LAST",$B119,$B119)</f>
        <v>3.79</v>
      </c>
      <c r="I119" cm="1">
        <f t="array" ref="I119">_xll.BDH(I$2 &amp; " US Equity","PX_LAST",$B119,$B119)</f>
        <v>50.83</v>
      </c>
      <c r="J119" cm="1">
        <f t="array" ref="J119">_xll.BDH(J$2 &amp; " US Equity","PX_LAST",$B119,$B119)</f>
        <v>7.0971000000000002</v>
      </c>
      <c r="K119" cm="1">
        <f t="array" ref="K119">_xll.BDH(K$2 &amp; " US Equity","PX_LAST",$B119,$B119)</f>
        <v>53.89</v>
      </c>
      <c r="L119" cm="1">
        <f t="array" ref="L119">_xll.BDH(L$2 &amp; " US Equity","PX_LAST",$B119,$B119)</f>
        <v>54.8</v>
      </c>
      <c r="M119" cm="1">
        <f t="array" ref="M119">_xll.BDH(M$2 &amp; " US Equity","PX_LAST",$B119,$B119)</f>
        <v>291.5</v>
      </c>
      <c r="N119" cm="1">
        <f t="array" ref="N119">_xll.BDH(N$2 &amp; " US Equity","PX_LAST",$B119,$B119)</f>
        <v>37.39</v>
      </c>
      <c r="O119" cm="1">
        <f t="array" ref="O119">_xll.BDH(O$2 &amp; " US Equity","PX_LAST",$B119,$B119)</f>
        <v>31.73</v>
      </c>
      <c r="P119" cm="1">
        <f t="array" ref="P119">_xll.BDH(P$2 &amp; " US Equity","PX_LAST",$B119,$B119)</f>
        <v>16.62</v>
      </c>
      <c r="Q119" cm="1">
        <f t="array" ref="Q119">_xll.BDH(Q$2 &amp; " US Equity","PX_LAST",$B119,$B119)</f>
        <v>25.09</v>
      </c>
      <c r="R119" cm="1">
        <f t="array" ref="R119">_xll.BDH(R$2 &amp; " US Equity","PX_LAST",$B119,$B119)</f>
        <v>29.55</v>
      </c>
      <c r="S119" cm="1">
        <f t="array" ref="S119">_xll.BDH(S$2 &amp; " US Equity","PX_LAST",$B119,$B119)</f>
        <v>157.21</v>
      </c>
      <c r="T119" cm="1">
        <f t="array" ref="T119">_xll.BDH(T$2 &amp; " US Equity","PX_LAST",$B119,$B119)</f>
        <v>64.33</v>
      </c>
      <c r="U119" cm="1">
        <f t="array" ref="U119">_xll.BDH(U$2 &amp; " US Equity","PX_LAST",$B119,$B119)</f>
        <v>124.8</v>
      </c>
      <c r="V119" cm="1">
        <f t="array" ref="V119">_xll.BDH(V$2 &amp; " US Equity","PX_LAST",$B119,$B119)</f>
        <v>42.78</v>
      </c>
      <c r="W119" cm="1">
        <f t="array" ref="W119">_xll.BDH(W$2 &amp; " US Equity","PX_LAST",$B119,$B119)</f>
        <v>188.71</v>
      </c>
      <c r="X119" cm="1">
        <f t="array" ref="X119">_xll.BDH(X$2 &amp; " US Equity","PX_LAST",$B119,$B119)</f>
        <v>60.54</v>
      </c>
      <c r="Y119" cm="1">
        <f t="array" ref="Y119">_xll.BDH(Y$2 &amp; " US Equity","PX_LAST",$B119,$B119)</f>
        <v>45.18</v>
      </c>
      <c r="Z119" cm="1">
        <f t="array" ref="Z119">_xll.BDH(Z$2 &amp; " US Equity","PX_LAST",$B119,$B119)</f>
        <v>365.86</v>
      </c>
      <c r="AA119" cm="1">
        <f t="array" ref="AA119">_xll.BDH(AA$2 &amp; " PE Equity","PX_LAST",$B119,$B119)</f>
        <v>0.77</v>
      </c>
      <c r="AB119" cm="1">
        <f t="array" ref="AB119">_xll.BDH(AB$2 &amp; " PE Equity","PX_LAST",$B119,$B119)</f>
        <v>24.9</v>
      </c>
      <c r="AC119" cm="1">
        <f t="array" ref="AC119">_xll.BDH(AC$2 &amp; " US Equity","PX_LAST",$B119,$B119)</f>
        <v>72.680000000000007</v>
      </c>
      <c r="AD119" cm="1">
        <f t="array" ref="AD119">_xll.BDH(AD$2 &amp; " US Equity","PX_LAST",$B119,$B119)</f>
        <v>690.31</v>
      </c>
      <c r="AE119" t="str" cm="1">
        <f t="array" ref="AE119">_xll.BDH(AE$2 &amp; " PE Equity","PX_LAST",$B119,$B119)</f>
        <v>#N/A Connection</v>
      </c>
      <c r="AF119" cm="1">
        <f t="array" ref="AF119">_xll.BDH(AF$2 &amp; " US Equity","PX_LAST",$B119,$B119)</f>
        <v>58.328600000000002</v>
      </c>
      <c r="AG119" cm="1">
        <f t="array" ref="AG119">_xll.BDH(AG$2 &amp; " US Equity","PX_LAST",$B119,$B119)</f>
        <v>12.98</v>
      </c>
      <c r="AH119" cm="1">
        <f t="array" ref="AH119">_xll.BDH(AH$2 &amp; " US Equity","PX_LAST",$B119,$B119)</f>
        <v>623.89</v>
      </c>
      <c r="AI119" cm="1">
        <f t="array" ref="AI119">_xll.BDH(AI$2 &amp; " US Equity","PX_LAST",$B119,$B119)</f>
        <v>113.97</v>
      </c>
      <c r="AJ119" cm="1">
        <f t="array" ref="AJ119">_xll.BDH(AJ$2 &amp; " US Equity","PX_LAST",$B119,$B119)</f>
        <v>113.56</v>
      </c>
      <c r="AK119" cm="1">
        <f t="array" ref="AK119">_xll.BDH(AK$2 &amp; " US Equity","PX_LAST",$B119,$B119)</f>
        <v>122.05</v>
      </c>
      <c r="AL119" cm="1">
        <f t="array" ref="AL119">_xll.BDH(AL$2 &amp; " US Equity","PX_LAST",$B119,$B119)</f>
        <v>232.52</v>
      </c>
      <c r="AM119" cm="1">
        <f t="array" ref="AM119">_xll.BDH(AM$2 &amp; " US Equity","PX_LAST",$B119,$B119)</f>
        <v>55.31</v>
      </c>
      <c r="AN119" cm="1">
        <f t="array" ref="AN119">_xll.BDH(AN$2 &amp; " US Equity","PX_LAST",$B119,$B119)</f>
        <v>23.694900000000001</v>
      </c>
      <c r="AO119" cm="1">
        <f t="array" ref="AO119">_xll.BDH(AO$2 &amp; " US Equity","PX_LAST",$B119,$B119)</f>
        <v>52.23</v>
      </c>
      <c r="AP119" cm="1">
        <f t="array" ref="AP119">_xll.BDH(AP$2 &amp; " US Equity","PX_LAST",$B119,$B119)</f>
        <v>4.5999999999999996</v>
      </c>
      <c r="AQ119" cm="1">
        <f t="array" ref="AQ119">_xll.BDH(AQ$2 &amp; " US Equity","PX_LAST",$B119,$B119)</f>
        <v>101</v>
      </c>
      <c r="AR119" cm="1">
        <f t="array" ref="AR119">_xll.BDH(AR$2 &amp; " US Equity","PX_LAST",$B119,$B119)</f>
        <v>65.38</v>
      </c>
      <c r="AS119" cm="1">
        <f t="array" ref="AS119">_xll.BDH(AS$2 &amp; " US Equity","PX_LAST",$B119,$B119)</f>
        <v>94.47</v>
      </c>
      <c r="AT119" cm="1">
        <f t="array" ref="AT119">_xll.BDH(AT$2 &amp; " US Equity","PX_LAST",$B119,$B119)</f>
        <v>5.0999999999999996</v>
      </c>
      <c r="AU119" cm="1">
        <f t="array" ref="AU119">_xll.BDH(AU$2 &amp; " US Equity","PX_LAST",$B119,$B119)</f>
        <v>331.83</v>
      </c>
      <c r="AV119" cm="1">
        <f t="array" ref="AV119">_xll.BDH(AV$2 &amp; " US Equity","PX_LAST",$B119,$B119)</f>
        <v>256.08999999999997</v>
      </c>
      <c r="AW119" cm="1">
        <f t="array" ref="AW119">_xll.BDH(AW$2 &amp; " US Equity","PX_LAST",$B119,$B119)</f>
        <v>130.41</v>
      </c>
    </row>
    <row r="120" spans="2:49">
      <c r="B120" s="13">
        <v>46018</v>
      </c>
      <c r="C120" t="str" cm="1">
        <f t="array" ref="C120">_xll.BDH(C$2 &amp; " US Equity","PX_LAST",$B120,$B120)</f>
        <v>#N/A N/A</v>
      </c>
      <c r="D120" t="str" cm="1">
        <f t="array" ref="D120">_xll.BDH(D$2 &amp; " PE Equity","PX_LAST",$B120,$B120)</f>
        <v>#N/A N/A</v>
      </c>
      <c r="E120" t="str" cm="1">
        <f t="array" ref="E120">_xll.BDH(E$2 &amp; " PE Equity","PX_LAST",$B120,$B120)</f>
        <v>#N/A N/A</v>
      </c>
      <c r="F120" t="str" cm="1">
        <f t="array" ref="F120">_xll.BDH(F$2 &amp; " PE Equity","PX_LAST",$B120,$B120)</f>
        <v>#N/A N/A</v>
      </c>
      <c r="G120" t="str" cm="1">
        <f t="array" ref="G120">_xll.BDH(G$2 &amp; " US Equity","PX_LAST",$B120,$B120)</f>
        <v>#N/A N/A</v>
      </c>
      <c r="H120" t="str" cm="1">
        <f t="array" ref="H120">_xll.BDH(H$2 &amp; " PE Equity","PX_LAST",$B120,$B120)</f>
        <v>#N/A N/A</v>
      </c>
      <c r="I120" t="str" cm="1">
        <f t="array" ref="I120">_xll.BDH(I$2 &amp; " US Equity","PX_LAST",$B120,$B120)</f>
        <v>#N/A N/A</v>
      </c>
      <c r="J120" t="str" cm="1">
        <f t="array" ref="J120">_xll.BDH(J$2 &amp; " US Equity","PX_LAST",$B120,$B120)</f>
        <v>#N/A N/A</v>
      </c>
      <c r="K120" t="str" cm="1">
        <f t="array" ref="K120">_xll.BDH(K$2 &amp; " US Equity","PX_LAST",$B120,$B120)</f>
        <v>#N/A N/A</v>
      </c>
      <c r="L120" t="str" cm="1">
        <f t="array" ref="L120">_xll.BDH(L$2 &amp; " US Equity","PX_LAST",$B120,$B120)</f>
        <v>#N/A N/A</v>
      </c>
      <c r="M120" t="str" cm="1">
        <f t="array" ref="M120">_xll.BDH(M$2 &amp; " US Equity","PX_LAST",$B120,$B120)</f>
        <v>#N/A N/A</v>
      </c>
      <c r="N120" t="str" cm="1">
        <f t="array" ref="N120">_xll.BDH(N$2 &amp; " US Equity","PX_LAST",$B120,$B120)</f>
        <v>#N/A N/A</v>
      </c>
      <c r="O120" t="str" cm="1">
        <f t="array" ref="O120">_xll.BDH(O$2 &amp; " US Equity","PX_LAST",$B120,$B120)</f>
        <v>#N/A N/A</v>
      </c>
      <c r="P120" t="str" cm="1">
        <f t="array" ref="P120">_xll.BDH(P$2 &amp; " US Equity","PX_LAST",$B120,$B120)</f>
        <v>#N/A N/A</v>
      </c>
      <c r="Q120" t="str" cm="1">
        <f t="array" ref="Q120">_xll.BDH(Q$2 &amp; " US Equity","PX_LAST",$B120,$B120)</f>
        <v>#N/A N/A</v>
      </c>
      <c r="R120" t="str" cm="1">
        <f t="array" ref="R120">_xll.BDH(R$2 &amp; " US Equity","PX_LAST",$B120,$B120)</f>
        <v>#N/A N/A</v>
      </c>
      <c r="S120" t="str" cm="1">
        <f t="array" ref="S120">_xll.BDH(S$2 &amp; " US Equity","PX_LAST",$B120,$B120)</f>
        <v>#N/A N/A</v>
      </c>
      <c r="T120" t="str" cm="1">
        <f t="array" ref="T120">_xll.BDH(T$2 &amp; " US Equity","PX_LAST",$B120,$B120)</f>
        <v>#N/A N/A</v>
      </c>
      <c r="U120" t="str" cm="1">
        <f t="array" ref="U120">_xll.BDH(U$2 &amp; " US Equity","PX_LAST",$B120,$B120)</f>
        <v>#N/A N/A</v>
      </c>
      <c r="V120" t="str" cm="1">
        <f t="array" ref="V120">_xll.BDH(V$2 &amp; " US Equity","PX_LAST",$B120,$B120)</f>
        <v>#N/A N/A</v>
      </c>
      <c r="W120" t="str" cm="1">
        <f t="array" ref="W120">_xll.BDH(W$2 &amp; " US Equity","PX_LAST",$B120,$B120)</f>
        <v>#N/A N/A</v>
      </c>
      <c r="X120" t="str" cm="1">
        <f t="array" ref="X120">_xll.BDH(X$2 &amp; " US Equity","PX_LAST",$B120,$B120)</f>
        <v>#N/A N/A</v>
      </c>
      <c r="Y120" t="str" cm="1">
        <f t="array" ref="Y120">_xll.BDH(Y$2 &amp; " US Equity","PX_LAST",$B120,$B120)</f>
        <v>#N/A N/A</v>
      </c>
      <c r="Z120" t="str" cm="1">
        <f t="array" ref="Z120">_xll.BDH(Z$2 &amp; " US Equity","PX_LAST",$B120,$B120)</f>
        <v>#N/A N/A</v>
      </c>
      <c r="AA120" t="str" cm="1">
        <f t="array" ref="AA120">_xll.BDH(AA$2 &amp; " PE Equity","PX_LAST",$B120,$B120)</f>
        <v>#N/A N/A</v>
      </c>
      <c r="AB120" t="str" cm="1">
        <f t="array" ref="AB120">_xll.BDH(AB$2 &amp; " PE Equity","PX_LAST",$B120,$B120)</f>
        <v>#N/A N/A</v>
      </c>
      <c r="AC120" t="str" cm="1">
        <f t="array" ref="AC120">_xll.BDH(AC$2 &amp; " US Equity","PX_LAST",$B120,$B120)</f>
        <v>#N/A N/A</v>
      </c>
      <c r="AD120" t="str" cm="1">
        <f t="array" ref="AD120">_xll.BDH(AD$2 &amp; " US Equity","PX_LAST",$B120,$B120)</f>
        <v>#N/A N/A</v>
      </c>
      <c r="AE120" t="str" cm="1">
        <f t="array" ref="AE120">_xll.BDH(AE$2 &amp; " PE Equity","PX_LAST",$B120,$B120)</f>
        <v>#N/A Connection</v>
      </c>
      <c r="AF120" t="str" cm="1">
        <f t="array" ref="AF120">_xll.BDH(AF$2 &amp; " US Equity","PX_LAST",$B120,$B120)</f>
        <v>#N/A N/A</v>
      </c>
      <c r="AG120" t="str" cm="1">
        <f t="array" ref="AG120">_xll.BDH(AG$2 &amp; " US Equity","PX_LAST",$B120,$B120)</f>
        <v>#N/A N/A</v>
      </c>
      <c r="AH120" t="str" cm="1">
        <f t="array" ref="AH120">_xll.BDH(AH$2 &amp; " US Equity","PX_LAST",$B120,$B120)</f>
        <v>#N/A N/A</v>
      </c>
      <c r="AI120" t="str" cm="1">
        <f t="array" ref="AI120">_xll.BDH(AI$2 &amp; " US Equity","PX_LAST",$B120,$B120)</f>
        <v>#N/A N/A</v>
      </c>
      <c r="AJ120" t="str" cm="1">
        <f t="array" ref="AJ120">_xll.BDH(AJ$2 &amp; " US Equity","PX_LAST",$B120,$B120)</f>
        <v>#N/A N/A</v>
      </c>
      <c r="AK120" t="str" cm="1">
        <f t="array" ref="AK120">_xll.BDH(AK$2 &amp; " US Equity","PX_LAST",$B120,$B120)</f>
        <v>#N/A N/A</v>
      </c>
      <c r="AL120" t="str" cm="1">
        <f t="array" ref="AL120">_xll.BDH(AL$2 &amp; " US Equity","PX_LAST",$B120,$B120)</f>
        <v>#N/A N/A</v>
      </c>
      <c r="AM120" t="str" cm="1">
        <f t="array" ref="AM120">_xll.BDH(AM$2 &amp; " US Equity","PX_LAST",$B120,$B120)</f>
        <v>#N/A N/A</v>
      </c>
      <c r="AN120" t="str" cm="1">
        <f t="array" ref="AN120">_xll.BDH(AN$2 &amp; " US Equity","PX_LAST",$B120,$B120)</f>
        <v>#N/A N/A</v>
      </c>
      <c r="AO120" t="str" cm="1">
        <f t="array" ref="AO120">_xll.BDH(AO$2 &amp; " US Equity","PX_LAST",$B120,$B120)</f>
        <v>#N/A N/A</v>
      </c>
      <c r="AP120" t="str" cm="1">
        <f t="array" ref="AP120">_xll.BDH(AP$2 &amp; " US Equity","PX_LAST",$B120,$B120)</f>
        <v>#N/A N/A</v>
      </c>
      <c r="AQ120" t="str" cm="1">
        <f t="array" ref="AQ120">_xll.BDH(AQ$2 &amp; " US Equity","PX_LAST",$B120,$B120)</f>
        <v>#N/A N/A</v>
      </c>
      <c r="AR120" t="str" cm="1">
        <f t="array" ref="AR120">_xll.BDH(AR$2 &amp; " US Equity","PX_LAST",$B120,$B120)</f>
        <v>#N/A N/A</v>
      </c>
      <c r="AS120" t="str" cm="1">
        <f t="array" ref="AS120">_xll.BDH(AS$2 &amp; " US Equity","PX_LAST",$B120,$B120)</f>
        <v>#N/A N/A</v>
      </c>
      <c r="AT120" t="str" cm="1">
        <f t="array" ref="AT120">_xll.BDH(AT$2 &amp; " US Equity","PX_LAST",$B120,$B120)</f>
        <v>#N/A N/A</v>
      </c>
      <c r="AU120" t="str" cm="1">
        <f t="array" ref="AU120">_xll.BDH(AU$2 &amp; " US Equity","PX_LAST",$B120,$B120)</f>
        <v>#N/A N/A</v>
      </c>
      <c r="AV120" t="str" cm="1">
        <f t="array" ref="AV120">_xll.BDH(AV$2 &amp; " US Equity","PX_LAST",$B120,$B120)</f>
        <v>#N/A N/A</v>
      </c>
      <c r="AW120" t="str" cm="1">
        <f t="array" ref="AW120">_xll.BDH(AW$2 &amp; " US Equity","PX_LAST",$B120,$B120)</f>
        <v>#N/A N/A</v>
      </c>
    </row>
    <row r="121" spans="2:49">
      <c r="B121" s="13">
        <v>46019</v>
      </c>
      <c r="C121" t="str" cm="1">
        <f t="array" ref="C121">_xll.BDH(C$2 &amp; " US Equity","PX_LAST",$B121,$B121)</f>
        <v>#N/A N/A</v>
      </c>
      <c r="D121" t="str" cm="1">
        <f t="array" ref="D121">_xll.BDH(D$2 &amp; " PE Equity","PX_LAST",$B121,$B121)</f>
        <v>#N/A N/A</v>
      </c>
      <c r="E121" t="str" cm="1">
        <f t="array" ref="E121">_xll.BDH(E$2 &amp; " PE Equity","PX_LAST",$B121,$B121)</f>
        <v>#N/A N/A</v>
      </c>
      <c r="F121" t="str" cm="1">
        <f t="array" ref="F121">_xll.BDH(F$2 &amp; " PE Equity","PX_LAST",$B121,$B121)</f>
        <v>#N/A N/A</v>
      </c>
      <c r="G121" t="str" cm="1">
        <f t="array" ref="G121">_xll.BDH(G$2 &amp; " US Equity","PX_LAST",$B121,$B121)</f>
        <v>#N/A N/A</v>
      </c>
      <c r="H121" t="str" cm="1">
        <f t="array" ref="H121">_xll.BDH(H$2 &amp; " PE Equity","PX_LAST",$B121,$B121)</f>
        <v>#N/A N/A</v>
      </c>
      <c r="I121" t="str" cm="1">
        <f t="array" ref="I121">_xll.BDH(I$2 &amp; " US Equity","PX_LAST",$B121,$B121)</f>
        <v>#N/A N/A</v>
      </c>
      <c r="J121" t="str" cm="1">
        <f t="array" ref="J121">_xll.BDH(J$2 &amp; " US Equity","PX_LAST",$B121,$B121)</f>
        <v>#N/A N/A</v>
      </c>
      <c r="K121" t="str" cm="1">
        <f t="array" ref="K121">_xll.BDH(K$2 &amp; " US Equity","PX_LAST",$B121,$B121)</f>
        <v>#N/A N/A</v>
      </c>
      <c r="L121" t="str" cm="1">
        <f t="array" ref="L121">_xll.BDH(L$2 &amp; " US Equity","PX_LAST",$B121,$B121)</f>
        <v>#N/A N/A</v>
      </c>
      <c r="M121" t="str" cm="1">
        <f t="array" ref="M121">_xll.BDH(M$2 &amp; " US Equity","PX_LAST",$B121,$B121)</f>
        <v>#N/A N/A</v>
      </c>
      <c r="N121" t="str" cm="1">
        <f t="array" ref="N121">_xll.BDH(N$2 &amp; " US Equity","PX_LAST",$B121,$B121)</f>
        <v>#N/A N/A</v>
      </c>
      <c r="O121" t="str" cm="1">
        <f t="array" ref="O121">_xll.BDH(O$2 &amp; " US Equity","PX_LAST",$B121,$B121)</f>
        <v>#N/A N/A</v>
      </c>
      <c r="P121" t="str" cm="1">
        <f t="array" ref="P121">_xll.BDH(P$2 &amp; " US Equity","PX_LAST",$B121,$B121)</f>
        <v>#N/A N/A</v>
      </c>
      <c r="Q121" t="str" cm="1">
        <f t="array" ref="Q121">_xll.BDH(Q$2 &amp; " US Equity","PX_LAST",$B121,$B121)</f>
        <v>#N/A N/A</v>
      </c>
      <c r="R121" t="str" cm="1">
        <f t="array" ref="R121">_xll.BDH(R$2 &amp; " US Equity","PX_LAST",$B121,$B121)</f>
        <v>#N/A N/A</v>
      </c>
      <c r="S121" t="str" cm="1">
        <f t="array" ref="S121">_xll.BDH(S$2 &amp; " US Equity","PX_LAST",$B121,$B121)</f>
        <v>#N/A N/A</v>
      </c>
      <c r="T121" t="str" cm="1">
        <f t="array" ref="T121">_xll.BDH(T$2 &amp; " US Equity","PX_LAST",$B121,$B121)</f>
        <v>#N/A N/A</v>
      </c>
      <c r="U121" t="str" cm="1">
        <f t="array" ref="U121">_xll.BDH(U$2 &amp; " US Equity","PX_LAST",$B121,$B121)</f>
        <v>#N/A N/A</v>
      </c>
      <c r="V121" t="str" cm="1">
        <f t="array" ref="V121">_xll.BDH(V$2 &amp; " US Equity","PX_LAST",$B121,$B121)</f>
        <v>#N/A N/A</v>
      </c>
      <c r="W121" t="str" cm="1">
        <f t="array" ref="W121">_xll.BDH(W$2 &amp; " US Equity","PX_LAST",$B121,$B121)</f>
        <v>#N/A N/A</v>
      </c>
      <c r="X121" t="str" cm="1">
        <f t="array" ref="X121">_xll.BDH(X$2 &amp; " US Equity","PX_LAST",$B121,$B121)</f>
        <v>#N/A N/A</v>
      </c>
      <c r="Y121" t="str" cm="1">
        <f t="array" ref="Y121">_xll.BDH(Y$2 &amp; " US Equity","PX_LAST",$B121,$B121)</f>
        <v>#N/A N/A</v>
      </c>
      <c r="Z121" t="str" cm="1">
        <f t="array" ref="Z121">_xll.BDH(Z$2 &amp; " US Equity","PX_LAST",$B121,$B121)</f>
        <v>#N/A N/A</v>
      </c>
      <c r="AA121" t="str" cm="1">
        <f t="array" ref="AA121">_xll.BDH(AA$2 &amp; " PE Equity","PX_LAST",$B121,$B121)</f>
        <v>#N/A N/A</v>
      </c>
      <c r="AB121" t="str" cm="1">
        <f t="array" ref="AB121">_xll.BDH(AB$2 &amp; " PE Equity","PX_LAST",$B121,$B121)</f>
        <v>#N/A N/A</v>
      </c>
      <c r="AC121" t="str" cm="1">
        <f t="array" ref="AC121">_xll.BDH(AC$2 &amp; " US Equity","PX_LAST",$B121,$B121)</f>
        <v>#N/A N/A</v>
      </c>
      <c r="AD121" t="str" cm="1">
        <f t="array" ref="AD121">_xll.BDH(AD$2 &amp; " US Equity","PX_LAST",$B121,$B121)</f>
        <v>#N/A N/A</v>
      </c>
      <c r="AE121" t="str" cm="1">
        <f t="array" ref="AE121">_xll.BDH(AE$2 &amp; " PE Equity","PX_LAST",$B121,$B121)</f>
        <v>#N/A Connection</v>
      </c>
      <c r="AF121" t="str" cm="1">
        <f t="array" ref="AF121">_xll.BDH(AF$2 &amp; " US Equity","PX_LAST",$B121,$B121)</f>
        <v>#N/A N/A</v>
      </c>
      <c r="AG121" t="str" cm="1">
        <f t="array" ref="AG121">_xll.BDH(AG$2 &amp; " US Equity","PX_LAST",$B121,$B121)</f>
        <v>#N/A N/A</v>
      </c>
      <c r="AH121" t="str" cm="1">
        <f t="array" ref="AH121">_xll.BDH(AH$2 &amp; " US Equity","PX_LAST",$B121,$B121)</f>
        <v>#N/A N/A</v>
      </c>
      <c r="AI121" t="str" cm="1">
        <f t="array" ref="AI121">_xll.BDH(AI$2 &amp; " US Equity","PX_LAST",$B121,$B121)</f>
        <v>#N/A N/A</v>
      </c>
      <c r="AJ121" t="str" cm="1">
        <f t="array" ref="AJ121">_xll.BDH(AJ$2 &amp; " US Equity","PX_LAST",$B121,$B121)</f>
        <v>#N/A N/A</v>
      </c>
      <c r="AK121" t="str" cm="1">
        <f t="array" ref="AK121">_xll.BDH(AK$2 &amp; " US Equity","PX_LAST",$B121,$B121)</f>
        <v>#N/A N/A</v>
      </c>
      <c r="AL121" t="str" cm="1">
        <f t="array" ref="AL121">_xll.BDH(AL$2 &amp; " US Equity","PX_LAST",$B121,$B121)</f>
        <v>#N/A N/A</v>
      </c>
      <c r="AM121" t="str" cm="1">
        <f t="array" ref="AM121">_xll.BDH(AM$2 &amp; " US Equity","PX_LAST",$B121,$B121)</f>
        <v>#N/A N/A</v>
      </c>
      <c r="AN121" t="str" cm="1">
        <f t="array" ref="AN121">_xll.BDH(AN$2 &amp; " US Equity","PX_LAST",$B121,$B121)</f>
        <v>#N/A N/A</v>
      </c>
      <c r="AO121" t="str" cm="1">
        <f t="array" ref="AO121">_xll.BDH(AO$2 &amp; " US Equity","PX_LAST",$B121,$B121)</f>
        <v>#N/A N/A</v>
      </c>
      <c r="AP121" t="str" cm="1">
        <f t="array" ref="AP121">_xll.BDH(AP$2 &amp; " US Equity","PX_LAST",$B121,$B121)</f>
        <v>#N/A N/A</v>
      </c>
      <c r="AQ121" t="str" cm="1">
        <f t="array" ref="AQ121">_xll.BDH(AQ$2 &amp; " US Equity","PX_LAST",$B121,$B121)</f>
        <v>#N/A N/A</v>
      </c>
      <c r="AR121" t="str" cm="1">
        <f t="array" ref="AR121">_xll.BDH(AR$2 &amp; " US Equity","PX_LAST",$B121,$B121)</f>
        <v>#N/A N/A</v>
      </c>
      <c r="AS121" t="str" cm="1">
        <f t="array" ref="AS121">_xll.BDH(AS$2 &amp; " US Equity","PX_LAST",$B121,$B121)</f>
        <v>#N/A N/A</v>
      </c>
      <c r="AT121" t="str" cm="1">
        <f t="array" ref="AT121">_xll.BDH(AT$2 &amp; " US Equity","PX_LAST",$B121,$B121)</f>
        <v>#N/A N/A</v>
      </c>
      <c r="AU121" t="str" cm="1">
        <f t="array" ref="AU121">_xll.BDH(AU$2 &amp; " US Equity","PX_LAST",$B121,$B121)</f>
        <v>#N/A N/A</v>
      </c>
      <c r="AV121" t="str" cm="1">
        <f t="array" ref="AV121">_xll.BDH(AV$2 &amp; " US Equity","PX_LAST",$B121,$B121)</f>
        <v>#N/A N/A</v>
      </c>
      <c r="AW121" t="str" cm="1">
        <f t="array" ref="AW121">_xll.BDH(AW$2 &amp; " US Equity","PX_LAST",$B121,$B121)</f>
        <v>#N/A N/A</v>
      </c>
    </row>
    <row r="122" spans="2:49">
      <c r="B122" s="13">
        <v>46020</v>
      </c>
      <c r="C122" cm="1">
        <f t="array" ref="C122">_xll.BDH(C$2 &amp; " US Equity","PX_LAST",$B122,$B122)</f>
        <v>292.89</v>
      </c>
      <c r="D122" cm="1">
        <f t="array" ref="D122">_xll.BDH(D$2 &amp; " PE Equity","PX_LAST",$B122,$B122)</f>
        <v>5.27</v>
      </c>
      <c r="E122" cm="1">
        <f t="array" ref="E122">_xll.BDH(E$2 &amp; " PE Equity","PX_LAST",$B122,$B122)</f>
        <v>2.25</v>
      </c>
      <c r="F122" cm="1">
        <f t="array" ref="F122">_xll.BDH(F$2 &amp; " PE Equity","PX_LAST",$B122,$B122)</f>
        <v>2.61</v>
      </c>
      <c r="G122" cm="1">
        <f t="array" ref="G122">_xll.BDH(G$2 &amp; " US Equity","PX_LAST",$B122,$B122)</f>
        <v>20.5</v>
      </c>
      <c r="H122" cm="1">
        <f t="array" ref="H122">_xll.BDH(H$2 &amp; " PE Equity","PX_LAST",$B122,$B122)</f>
        <v>3.8</v>
      </c>
      <c r="I122" cm="1">
        <f t="array" ref="I122">_xll.BDH(I$2 &amp; " US Equity","PX_LAST",$B122,$B122)</f>
        <v>50.13</v>
      </c>
      <c r="J122" cm="1">
        <f t="array" ref="J122">_xll.BDH(J$2 &amp; " US Equity","PX_LAST",$B122,$B122)</f>
        <v>7.02</v>
      </c>
      <c r="K122" cm="1">
        <f t="array" ref="K122">_xll.BDH(K$2 &amp; " US Equity","PX_LAST",$B122,$B122)</f>
        <v>53.8</v>
      </c>
      <c r="L122" cm="1">
        <f t="array" ref="L122">_xll.BDH(L$2 &amp; " US Equity","PX_LAST",$B122,$B122)</f>
        <v>54.66</v>
      </c>
      <c r="M122" cm="1">
        <f t="array" ref="M122">_xll.BDH(M$2 &amp; " US Equity","PX_LAST",$B122,$B122)</f>
        <v>291.05</v>
      </c>
      <c r="N122" cm="1">
        <f t="array" ref="N122">_xll.BDH(N$2 &amp; " US Equity","PX_LAST",$B122,$B122)</f>
        <v>37.049999999999997</v>
      </c>
      <c r="O122" cm="1">
        <f t="array" ref="O122">_xll.BDH(O$2 &amp; " US Equity","PX_LAST",$B122,$B122)</f>
        <v>31.42</v>
      </c>
      <c r="P122" cm="1">
        <f t="array" ref="P122">_xll.BDH(P$2 &amp; " US Equity","PX_LAST",$B122,$B122)</f>
        <v>16.52</v>
      </c>
      <c r="Q122" cm="1">
        <f t="array" ref="Q122">_xll.BDH(Q$2 &amp; " US Equity","PX_LAST",$B122,$B122)</f>
        <v>25</v>
      </c>
      <c r="R122" cm="1">
        <f t="array" ref="R122">_xll.BDH(R$2 &amp; " US Equity","PX_LAST",$B122,$B122)</f>
        <v>28.1</v>
      </c>
      <c r="S122" cm="1">
        <f t="array" ref="S122">_xll.BDH(S$2 &amp; " US Equity","PX_LAST",$B122,$B122)</f>
        <v>156.87</v>
      </c>
      <c r="T122" cm="1">
        <f t="array" ref="T122">_xll.BDH(T$2 &amp; " US Equity","PX_LAST",$B122,$B122)</f>
        <v>64.099999999999994</v>
      </c>
      <c r="U122" cm="1">
        <f t="array" ref="U122">_xll.BDH(U$2 &amp; " US Equity","PX_LAST",$B122,$B122)</f>
        <v>126.81</v>
      </c>
      <c r="V122" cm="1">
        <f t="array" ref="V122">_xll.BDH(V$2 &amp; " US Equity","PX_LAST",$B122,$B122)</f>
        <v>42.86</v>
      </c>
      <c r="W122" cm="1">
        <f t="array" ref="W122">_xll.BDH(W$2 &amp; " US Equity","PX_LAST",$B122,$B122)</f>
        <v>184.18</v>
      </c>
      <c r="X122" cm="1">
        <f t="array" ref="X122">_xll.BDH(X$2 &amp; " US Equity","PX_LAST",$B122,$B122)</f>
        <v>60.35</v>
      </c>
      <c r="Y122" cm="1">
        <f t="array" ref="Y122">_xll.BDH(Y$2 &amp; " US Equity","PX_LAST",$B122,$B122)</f>
        <v>44.99</v>
      </c>
      <c r="Z122" cm="1">
        <f t="array" ref="Z122">_xll.BDH(Z$2 &amp; " US Equity","PX_LAST",$B122,$B122)</f>
        <v>364.21</v>
      </c>
      <c r="AA122" cm="1">
        <f t="array" ref="AA122">_xll.BDH(AA$2 &amp; " PE Equity","PX_LAST",$B122,$B122)</f>
        <v>0.71</v>
      </c>
      <c r="AB122" cm="1">
        <f t="array" ref="AB122">_xll.BDH(AB$2 &amp; " PE Equity","PX_LAST",$B122,$B122)</f>
        <v>24.8</v>
      </c>
      <c r="AC122" cm="1">
        <f t="array" ref="AC122">_xll.BDH(AC$2 &amp; " US Equity","PX_LAST",$B122,$B122)</f>
        <v>72.45</v>
      </c>
      <c r="AD122" cm="1">
        <f t="array" ref="AD122">_xll.BDH(AD$2 &amp; " US Equity","PX_LAST",$B122,$B122)</f>
        <v>687.85</v>
      </c>
      <c r="AE122" t="str" cm="1">
        <f t="array" ref="AE122">_xll.BDH(AE$2 &amp; " PE Equity","PX_LAST",$B122,$B122)</f>
        <v>#N/A Connection</v>
      </c>
      <c r="AF122" cm="1">
        <f t="array" ref="AF122">_xll.BDH(AF$2 &amp; " US Equity","PX_LAST",$B122,$B122)</f>
        <v>58.0563</v>
      </c>
      <c r="AG122" cm="1">
        <f t="array" ref="AG122">_xll.BDH(AG$2 &amp; " US Equity","PX_LAST",$B122,$B122)</f>
        <v>12.823499999999999</v>
      </c>
      <c r="AH122" cm="1">
        <f t="array" ref="AH122">_xll.BDH(AH$2 &amp; " US Equity","PX_LAST",$B122,$B122)</f>
        <v>620.87</v>
      </c>
      <c r="AI122" cm="1">
        <f t="array" ref="AI122">_xll.BDH(AI$2 &amp; " US Equity","PX_LAST",$B122,$B122)</f>
        <v>113.33</v>
      </c>
      <c r="AJ122" cm="1">
        <f t="array" ref="AJ122">_xll.BDH(AJ$2 &amp; " US Equity","PX_LAST",$B122,$B122)</f>
        <v>114.19</v>
      </c>
      <c r="AK122" cm="1">
        <f t="array" ref="AK122">_xll.BDH(AK$2 &amp; " US Equity","PX_LAST",$B122,$B122)</f>
        <v>120.85</v>
      </c>
      <c r="AL122" cm="1">
        <f t="array" ref="AL122">_xll.BDH(AL$2 &amp; " US Equity","PX_LAST",$B122,$B122)</f>
        <v>232.07</v>
      </c>
      <c r="AM122" cm="1">
        <f t="array" ref="AM122">_xll.BDH(AM$2 &amp; " US Equity","PX_LAST",$B122,$B122)</f>
        <v>54.49</v>
      </c>
      <c r="AN122" cm="1">
        <f t="array" ref="AN122">_xll.BDH(AN$2 &amp; " US Equity","PX_LAST",$B122,$B122)</f>
        <v>23.384599999999999</v>
      </c>
      <c r="AO122" cm="1">
        <f t="array" ref="AO122">_xll.BDH(AO$2 &amp; " US Equity","PX_LAST",$B122,$B122)</f>
        <v>51.87</v>
      </c>
      <c r="AP122" cm="1">
        <f t="array" ref="AP122">_xll.BDH(AP$2 &amp; " US Equity","PX_LAST",$B122,$B122)</f>
        <v>4.6500000000000004</v>
      </c>
      <c r="AQ122" cm="1">
        <f t="array" ref="AQ122">_xll.BDH(AQ$2 &amp; " US Equity","PX_LAST",$B122,$B122)</f>
        <v>101.03</v>
      </c>
      <c r="AR122" cm="1">
        <f t="array" ref="AR122">_xll.BDH(AR$2 &amp; " US Equity","PX_LAST",$B122,$B122)</f>
        <v>64.959999999999994</v>
      </c>
      <c r="AS122" cm="1">
        <f t="array" ref="AS122">_xll.BDH(AS$2 &amp; " US Equity","PX_LAST",$B122,$B122)</f>
        <v>94.15</v>
      </c>
      <c r="AT122" cm="1">
        <f t="array" ref="AT122">_xll.BDH(AT$2 &amp; " US Equity","PX_LAST",$B122,$B122)</f>
        <v>5.34</v>
      </c>
      <c r="AU122" cm="1">
        <f t="array" ref="AU122">_xll.BDH(AU$2 &amp; " US Equity","PX_LAST",$B122,$B122)</f>
        <v>328.94</v>
      </c>
      <c r="AV122" cm="1">
        <f t="array" ref="AV122">_xll.BDH(AV$2 &amp; " US Equity","PX_LAST",$B122,$B122)</f>
        <v>255.7</v>
      </c>
      <c r="AW122" cm="1">
        <f t="array" ref="AW122">_xll.BDH(AW$2 &amp; " US Equity","PX_LAST",$B122,$B122)</f>
        <v>129.41999999999999</v>
      </c>
    </row>
    <row r="123" spans="2:49">
      <c r="B123" s="13">
        <v>46021</v>
      </c>
      <c r="C123" cm="1">
        <f t="array" ref="C123">_xll.BDH(C$2 &amp; " US Equity","PX_LAST",$B123,$B123)</f>
        <v>291.06</v>
      </c>
      <c r="D123" cm="1">
        <f t="array" ref="D123">_xll.BDH(D$2 &amp; " PE Equity","PX_LAST",$B123,$B123)</f>
        <v>5.43</v>
      </c>
      <c r="E123" cm="1">
        <f t="array" ref="E123">_xll.BDH(E$2 &amp; " PE Equity","PX_LAST",$B123,$B123)</f>
        <v>2.25</v>
      </c>
      <c r="F123" cm="1">
        <f t="array" ref="F123">_xll.BDH(F$2 &amp; " PE Equity","PX_LAST",$B123,$B123)</f>
        <v>2.65</v>
      </c>
      <c r="G123" cm="1">
        <f t="array" ref="G123">_xll.BDH(G$2 &amp; " US Equity","PX_LAST",$B123,$B123)</f>
        <v>21.28</v>
      </c>
      <c r="H123" cm="1">
        <f t="array" ref="H123">_xll.BDH(H$2 &amp; " PE Equity","PX_LAST",$B123,$B123)</f>
        <v>3.84</v>
      </c>
      <c r="I123" cm="1">
        <f t="array" ref="I123">_xll.BDH(I$2 &amp; " US Equity","PX_LAST",$B123,$B123)</f>
        <v>49.53</v>
      </c>
      <c r="J123" cm="1">
        <f t="array" ref="J123">_xll.BDH(J$2 &amp; " US Equity","PX_LAST",$B123,$B123)</f>
        <v>7.2</v>
      </c>
      <c r="K123" cm="1">
        <f t="array" ref="K123">_xll.BDH(K$2 &amp; " US Equity","PX_LAST",$B123,$B123)</f>
        <v>54.11</v>
      </c>
      <c r="L123" cm="1">
        <f t="array" ref="L123">_xll.BDH(L$2 &amp; " US Equity","PX_LAST",$B123,$B123)</f>
        <v>54.88</v>
      </c>
      <c r="M123" cm="1">
        <f t="array" ref="M123">_xll.BDH(M$2 &amp; " US Equity","PX_LAST",$B123,$B123)</f>
        <v>290</v>
      </c>
      <c r="N123" cm="1">
        <f t="array" ref="N123">_xll.BDH(N$2 &amp; " US Equity","PX_LAST",$B123,$B123)</f>
        <v>37.28</v>
      </c>
      <c r="O123" cm="1">
        <f t="array" ref="O123">_xll.BDH(O$2 &amp; " US Equity","PX_LAST",$B123,$B123)</f>
        <v>31.99</v>
      </c>
      <c r="P123" cm="1">
        <f t="array" ref="P123">_xll.BDH(P$2 &amp; " US Equity","PX_LAST",$B123,$B123)</f>
        <v>16.45</v>
      </c>
      <c r="Q123" cm="1">
        <f t="array" ref="Q123">_xll.BDH(Q$2 &amp; " US Equity","PX_LAST",$B123,$B123)</f>
        <v>24.99</v>
      </c>
      <c r="R123" cm="1">
        <f t="array" ref="R123">_xll.BDH(R$2 &amp; " US Equity","PX_LAST",$B123,$B123)</f>
        <v>28.5</v>
      </c>
      <c r="S123" cm="1">
        <f t="array" ref="S123">_xll.BDH(S$2 &amp; " US Equity","PX_LAST",$B123,$B123)</f>
        <v>156.41999999999999</v>
      </c>
      <c r="T123" cm="1">
        <f t="array" ref="T123">_xll.BDH(T$2 &amp; " US Equity","PX_LAST",$B123,$B123)</f>
        <v>64.42</v>
      </c>
      <c r="U123" cm="1">
        <f t="array" ref="U123">_xll.BDH(U$2 &amp; " US Equity","PX_LAST",$B123,$B123)</f>
        <v>132.38</v>
      </c>
      <c r="V123" cm="1">
        <f t="array" ref="V123">_xll.BDH(V$2 &amp; " US Equity","PX_LAST",$B123,$B123)</f>
        <v>42.96</v>
      </c>
      <c r="W123" cm="1">
        <f t="array" ref="W123">_xll.BDH(W$2 &amp; " US Equity","PX_LAST",$B123,$B123)</f>
        <v>180.84</v>
      </c>
      <c r="X123" cm="1">
        <f t="array" ref="X123">_xll.BDH(X$2 &amp; " US Equity","PX_LAST",$B123,$B123)</f>
        <v>60.17</v>
      </c>
      <c r="Y123" cm="1">
        <f t="array" ref="Y123">_xll.BDH(Y$2 &amp; " US Equity","PX_LAST",$B123,$B123)</f>
        <v>45.14</v>
      </c>
      <c r="Z123" cm="1">
        <f t="array" ref="Z123">_xll.BDH(Z$2 &amp; " US Equity","PX_LAST",$B123,$B123)</f>
        <v>363.31</v>
      </c>
      <c r="AA123" cm="1">
        <f t="array" ref="AA123">_xll.BDH(AA$2 &amp; " PE Equity","PX_LAST",$B123,$B123)</f>
        <v>0.76</v>
      </c>
      <c r="AB123" cm="1">
        <f t="array" ref="AB123">_xll.BDH(AB$2 &amp; " PE Equity","PX_LAST",$B123,$B123)</f>
        <v>25</v>
      </c>
      <c r="AC123" cm="1">
        <f t="array" ref="AC123">_xll.BDH(AC$2 &amp; " US Equity","PX_LAST",$B123,$B123)</f>
        <v>72.31</v>
      </c>
      <c r="AD123" cm="1">
        <f t="array" ref="AD123">_xll.BDH(AD$2 &amp; " US Equity","PX_LAST",$B123,$B123)</f>
        <v>687.01</v>
      </c>
      <c r="AE123" t="str" cm="1">
        <f t="array" ref="AE123">_xll.BDH(AE$2 &amp; " PE Equity","PX_LAST",$B123,$B123)</f>
        <v>#N/A Connection</v>
      </c>
      <c r="AF123" cm="1">
        <f t="array" ref="AF123">_xll.BDH(AF$2 &amp; " US Equity","PX_LAST",$B123,$B123)</f>
        <v>57.905799999999999</v>
      </c>
      <c r="AG123" cm="1">
        <f t="array" ref="AG123">_xll.BDH(AG$2 &amp; " US Equity","PX_LAST",$B123,$B123)</f>
        <v>13.025</v>
      </c>
      <c r="AH123" cm="1">
        <f t="array" ref="AH123">_xll.BDH(AH$2 &amp; " US Equity","PX_LAST",$B123,$B123)</f>
        <v>619.42999999999995</v>
      </c>
      <c r="AI123" cm="1">
        <f t="array" ref="AI123">_xll.BDH(AI$2 &amp; " US Equity","PX_LAST",$B123,$B123)</f>
        <v>113.69</v>
      </c>
      <c r="AJ123" cm="1">
        <f t="array" ref="AJ123">_xll.BDH(AJ$2 &amp; " US Equity","PX_LAST",$B123,$B123)</f>
        <v>114.79</v>
      </c>
      <c r="AK123" cm="1">
        <f t="array" ref="AK123">_xll.BDH(AK$2 &amp; " US Equity","PX_LAST",$B123,$B123)</f>
        <v>120.36</v>
      </c>
      <c r="AL123" cm="1">
        <f t="array" ref="AL123">_xll.BDH(AL$2 &amp; " US Equity","PX_LAST",$B123,$B123)</f>
        <v>232.53</v>
      </c>
      <c r="AM123" cm="1">
        <f t="array" ref="AM123">_xll.BDH(AM$2 &amp; " US Equity","PX_LAST",$B123,$B123)</f>
        <v>54.1</v>
      </c>
      <c r="AN123" cm="1">
        <f t="array" ref="AN123">_xll.BDH(AN$2 &amp; " US Equity","PX_LAST",$B123,$B123)</f>
        <v>23.61</v>
      </c>
      <c r="AO123" cm="1">
        <f t="array" ref="AO123">_xll.BDH(AO$2 &amp; " US Equity","PX_LAST",$B123,$B123)</f>
        <v>52.33</v>
      </c>
      <c r="AP123" cm="1">
        <f t="array" ref="AP123">_xll.BDH(AP$2 &amp; " US Equity","PX_LAST",$B123,$B123)</f>
        <v>4.88</v>
      </c>
      <c r="AQ123" cm="1">
        <f t="array" ref="AQ123">_xll.BDH(AQ$2 &amp; " US Equity","PX_LAST",$B123,$B123)</f>
        <v>101.57</v>
      </c>
      <c r="AR123" cm="1">
        <f t="array" ref="AR123">_xll.BDH(AR$2 &amp; " US Equity","PX_LAST",$B123,$B123)</f>
        <v>63.99</v>
      </c>
      <c r="AS123" cm="1">
        <f t="array" ref="AS123">_xll.BDH(AS$2 &amp; " US Equity","PX_LAST",$B123,$B123)</f>
        <v>93.78</v>
      </c>
      <c r="AT123" cm="1">
        <f t="array" ref="AT123">_xll.BDH(AT$2 &amp; " US Equity","PX_LAST",$B123,$B123)</f>
        <v>5.5</v>
      </c>
      <c r="AU123" cm="1">
        <f t="array" ref="AU123">_xll.BDH(AU$2 &amp; " US Equity","PX_LAST",$B123,$B123)</f>
        <v>332.16</v>
      </c>
      <c r="AV123" cm="1">
        <f t="array" ref="AV123">_xll.BDH(AV$2 &amp; " US Equity","PX_LAST",$B123,$B123)</f>
        <v>257.91000000000003</v>
      </c>
      <c r="AW123" cm="1">
        <f t="array" ref="AW123">_xll.BDH(AW$2 &amp; " US Equity","PX_LAST",$B123,$B123)</f>
        <v>128.63999999999999</v>
      </c>
    </row>
    <row r="124" spans="2:49">
      <c r="B124" s="13">
        <v>46022</v>
      </c>
      <c r="C124" cm="1">
        <f t="array" ref="C124">_xll.BDH(C$2 &amp; " US Equity","PX_LAST",$B124,$B124)</f>
        <v>288.86</v>
      </c>
      <c r="D124" cm="1">
        <f t="array" ref="D124">_xll.BDH(D$2 &amp; " PE Equity","PX_LAST",$B124,$B124)</f>
        <v>5.44</v>
      </c>
      <c r="E124" cm="1">
        <f t="array" ref="E124">_xll.BDH(E$2 &amp; " PE Equity","PX_LAST",$B124,$B124)</f>
        <v>2.2000000000000002</v>
      </c>
      <c r="F124" cm="1">
        <f t="array" ref="F124">_xll.BDH(F$2 &amp; " PE Equity","PX_LAST",$B124,$B124)</f>
        <v>2.69</v>
      </c>
      <c r="G124" cm="1">
        <f t="array" ref="G124">_xll.BDH(G$2 &amp; " US Equity","PX_LAST",$B124,$B124)</f>
        <v>20.28</v>
      </c>
      <c r="H124" cm="1">
        <f t="array" ref="H124">_xll.BDH(H$2 &amp; " PE Equity","PX_LAST",$B124,$B124)</f>
        <v>3.9</v>
      </c>
      <c r="I124" cm="1">
        <f t="array" ref="I124">_xll.BDH(I$2 &amp; " US Equity","PX_LAST",$B124,$B124)</f>
        <v>49.12</v>
      </c>
      <c r="J124" cm="1">
        <f t="array" ref="J124">_xll.BDH(J$2 &amp; " US Equity","PX_LAST",$B124,$B124)</f>
        <v>7.16</v>
      </c>
      <c r="K124" cm="1">
        <f t="array" ref="K124">_xll.BDH(K$2 &amp; " US Equity","PX_LAST",$B124,$B124)</f>
        <v>53.91</v>
      </c>
      <c r="L124" cm="1">
        <f t="array" ref="L124">_xll.BDH(L$2 &amp; " US Equity","PX_LAST",$B124,$B124)</f>
        <v>54.71</v>
      </c>
      <c r="M124" cm="1">
        <f t="array" ref="M124">_xll.BDH(M$2 &amp; " US Equity","PX_LAST",$B124,$B124)</f>
        <v>287</v>
      </c>
      <c r="N124" cm="1">
        <f t="array" ref="N124">_xll.BDH(N$2 &amp; " US Equity","PX_LAST",$B124,$B124)</f>
        <v>37.090000000000003</v>
      </c>
      <c r="O124" cm="1">
        <f t="array" ref="O124">_xll.BDH(O$2 &amp; " US Equity","PX_LAST",$B124,$B124)</f>
        <v>31.77</v>
      </c>
      <c r="P124" cm="1">
        <f t="array" ref="P124">_xll.BDH(P$2 &amp; " US Equity","PX_LAST",$B124,$B124)</f>
        <v>16.43</v>
      </c>
      <c r="Q124" cm="1">
        <f t="array" ref="Q124">_xll.BDH(Q$2 &amp; " US Equity","PX_LAST",$B124,$B124)</f>
        <v>24.9</v>
      </c>
      <c r="R124" cm="1">
        <f t="array" ref="R124">_xll.BDH(R$2 &amp; " US Equity","PX_LAST",$B124,$B124)</f>
        <v>27.83</v>
      </c>
      <c r="S124" cm="1">
        <f t="array" ref="S124">_xll.BDH(S$2 &amp; " US Equity","PX_LAST",$B124,$B124)</f>
        <v>155.12</v>
      </c>
      <c r="T124" cm="1">
        <f t="array" ref="T124">_xll.BDH(T$2 &amp; " US Equity","PX_LAST",$B124,$B124)</f>
        <v>64.099999999999994</v>
      </c>
      <c r="U124" cm="1">
        <f t="array" ref="U124">_xll.BDH(U$2 &amp; " US Equity","PX_LAST",$B124,$B124)</f>
        <v>130.66</v>
      </c>
      <c r="V124" cm="1">
        <f t="array" ref="V124">_xll.BDH(V$2 &amp; " US Equity","PX_LAST",$B124,$B124)</f>
        <v>42.69</v>
      </c>
      <c r="W124" cm="1">
        <f t="array" ref="W124">_xll.BDH(W$2 &amp; " US Equity","PX_LAST",$B124,$B124)</f>
        <v>177.75</v>
      </c>
      <c r="X124" cm="1">
        <f t="array" ref="X124">_xll.BDH(X$2 &amp; " US Equity","PX_LAST",$B124,$B124)</f>
        <v>59.96</v>
      </c>
      <c r="Y124" cm="1">
        <f t="array" ref="Y124">_xll.BDH(Y$2 &amp; " US Equity","PX_LAST",$B124,$B124)</f>
        <v>44.99</v>
      </c>
      <c r="Z124" cm="1">
        <f t="array" ref="Z124">_xll.BDH(Z$2 &amp; " US Equity","PX_LAST",$B124,$B124)</f>
        <v>360.13</v>
      </c>
      <c r="AA124" cm="1">
        <f t="array" ref="AA124">_xll.BDH(AA$2 &amp; " PE Equity","PX_LAST",$B124,$B124)</f>
        <v>0.74</v>
      </c>
      <c r="AB124" cm="1">
        <f t="array" ref="AB124">_xll.BDH(AB$2 &amp; " PE Equity","PX_LAST",$B124,$B124)</f>
        <v>25.2</v>
      </c>
      <c r="AC124" cm="1">
        <f t="array" ref="AC124">_xll.BDH(AC$2 &amp; " US Equity","PX_LAST",$B124,$B124)</f>
        <v>71.72</v>
      </c>
      <c r="AD124" cm="1">
        <f t="array" ref="AD124">_xll.BDH(AD$2 &amp; " US Equity","PX_LAST",$B124,$B124)</f>
        <v>681.92</v>
      </c>
      <c r="AE124" t="str" cm="1">
        <f t="array" ref="AE124">_xll.BDH(AE$2 &amp; " PE Equity","PX_LAST",$B124,$B124)</f>
        <v>#N/A Connection</v>
      </c>
      <c r="AF124" cm="1">
        <f t="array" ref="AF124">_xll.BDH(AF$2 &amp; " US Equity","PX_LAST",$B124,$B124)</f>
        <v>57.850900000000003</v>
      </c>
      <c r="AG124" cm="1">
        <f t="array" ref="AG124">_xll.BDH(AG$2 &amp; " US Equity","PX_LAST",$B124,$B124)</f>
        <v>12.930400000000001</v>
      </c>
      <c r="AH124" cm="1">
        <f t="array" ref="AH124">_xll.BDH(AH$2 &amp; " US Equity","PX_LAST",$B124,$B124)</f>
        <v>614.30999999999995</v>
      </c>
      <c r="AI124" cm="1">
        <f t="array" ref="AI124">_xll.BDH(AI$2 &amp; " US Equity","PX_LAST",$B124,$B124)</f>
        <v>112.88</v>
      </c>
      <c r="AJ124" cm="1">
        <f t="array" ref="AJ124">_xll.BDH(AJ$2 &amp; " US Equity","PX_LAST",$B124,$B124)</f>
        <v>113.77</v>
      </c>
      <c r="AK124" cm="1">
        <f t="array" ref="AK124">_xll.BDH(AK$2 &amp; " US Equity","PX_LAST",$B124,$B124)</f>
        <v>119.41</v>
      </c>
      <c r="AL124" cm="1">
        <f t="array" ref="AL124">_xll.BDH(AL$2 &amp; " US Equity","PX_LAST",$B124,$B124)</f>
        <v>230.82</v>
      </c>
      <c r="AM124" cm="1">
        <f t="array" ref="AM124">_xll.BDH(AM$2 &amp; " US Equity","PX_LAST",$B124,$B124)</f>
        <v>52.72</v>
      </c>
      <c r="AN124" cm="1">
        <f t="array" ref="AN124">_xll.BDH(AN$2 &amp; " US Equity","PX_LAST",$B124,$B124)</f>
        <v>23.395</v>
      </c>
      <c r="AO124" cm="1">
        <f t="array" ref="AO124">_xll.BDH(AO$2 &amp; " US Equity","PX_LAST",$B124,$B124)</f>
        <v>52</v>
      </c>
      <c r="AP124" cm="1">
        <f t="array" ref="AP124">_xll.BDH(AP$2 &amp; " US Equity","PX_LAST",$B124,$B124)</f>
        <v>4.92</v>
      </c>
      <c r="AQ124" cm="1">
        <f t="array" ref="AQ124">_xll.BDH(AQ$2 &amp; " US Equity","PX_LAST",$B124,$B124)</f>
        <v>100.89</v>
      </c>
      <c r="AR124" cm="1">
        <f t="array" ref="AR124">_xll.BDH(AR$2 &amp; " US Equity","PX_LAST",$B124,$B124)</f>
        <v>63.61</v>
      </c>
      <c r="AS124" cm="1">
        <f t="array" ref="AS124">_xll.BDH(AS$2 &amp; " US Equity","PX_LAST",$B124,$B124)</f>
        <v>93.76</v>
      </c>
      <c r="AT124" cm="1">
        <f t="array" ref="AT124">_xll.BDH(AT$2 &amp; " US Equity","PX_LAST",$B124,$B124)</f>
        <v>5.0999999999999996</v>
      </c>
      <c r="AU124" cm="1">
        <f t="array" ref="AU124">_xll.BDH(AU$2 &amp; " US Equity","PX_LAST",$B124,$B124)</f>
        <v>330.11</v>
      </c>
      <c r="AV124" cm="1">
        <f t="array" ref="AV124">_xll.BDH(AV$2 &amp; " US Equity","PX_LAST",$B124,$B124)</f>
        <v>256.02999999999997</v>
      </c>
      <c r="AW124" cm="1">
        <f t="array" ref="AW124">_xll.BDH(AW$2 &amp; " US Equity","PX_LAST",$B124,$B124)</f>
        <v>127.48</v>
      </c>
    </row>
    <row r="125" spans="2:49">
      <c r="B125" s="13">
        <v>46023</v>
      </c>
      <c r="C125" t="str" cm="1">
        <f t="array" ref="C125">_xll.BDH(C$2 &amp; " US Equity","PX_LAST",$B125,$B125)</f>
        <v>#N/A N/A</v>
      </c>
      <c r="D125" t="str" cm="1">
        <f t="array" ref="D125">_xll.BDH(D$2 &amp; " PE Equity","PX_LAST",$B125,$B125)</f>
        <v>#N/A N/A</v>
      </c>
      <c r="E125" t="str" cm="1">
        <f t="array" ref="E125">_xll.BDH(E$2 &amp; " PE Equity","PX_LAST",$B125,$B125)</f>
        <v>#N/A N/A</v>
      </c>
      <c r="F125" t="str" cm="1">
        <f t="array" ref="F125">_xll.BDH(F$2 &amp; " PE Equity","PX_LAST",$B125,$B125)</f>
        <v>#N/A N/A</v>
      </c>
      <c r="G125" t="str" cm="1">
        <f t="array" ref="G125">_xll.BDH(G$2 &amp; " US Equity","PX_LAST",$B125,$B125)</f>
        <v>#N/A N/A</v>
      </c>
      <c r="H125" t="str" cm="1">
        <f t="array" ref="H125">_xll.BDH(H$2 &amp; " PE Equity","PX_LAST",$B125,$B125)</f>
        <v>#N/A N/A</v>
      </c>
      <c r="I125" t="str" cm="1">
        <f t="array" ref="I125">_xll.BDH(I$2 &amp; " US Equity","PX_LAST",$B125,$B125)</f>
        <v>#N/A N/A</v>
      </c>
      <c r="J125" t="str" cm="1">
        <f t="array" ref="J125">_xll.BDH(J$2 &amp; " US Equity","PX_LAST",$B125,$B125)</f>
        <v>#N/A N/A</v>
      </c>
      <c r="K125" t="str" cm="1">
        <f t="array" ref="K125">_xll.BDH(K$2 &amp; " US Equity","PX_LAST",$B125,$B125)</f>
        <v>#N/A N/A</v>
      </c>
      <c r="L125" t="str" cm="1">
        <f t="array" ref="L125">_xll.BDH(L$2 &amp; " US Equity","PX_LAST",$B125,$B125)</f>
        <v>#N/A N/A</v>
      </c>
      <c r="M125" t="str" cm="1">
        <f t="array" ref="M125">_xll.BDH(M$2 &amp; " US Equity","PX_LAST",$B125,$B125)</f>
        <v>#N/A N/A</v>
      </c>
      <c r="N125" t="str" cm="1">
        <f t="array" ref="N125">_xll.BDH(N$2 &amp; " US Equity","PX_LAST",$B125,$B125)</f>
        <v>#N/A N/A</v>
      </c>
      <c r="O125" t="str" cm="1">
        <f t="array" ref="O125">_xll.BDH(O$2 &amp; " US Equity","PX_LAST",$B125,$B125)</f>
        <v>#N/A N/A</v>
      </c>
      <c r="P125" t="str" cm="1">
        <f t="array" ref="P125">_xll.BDH(P$2 &amp; " US Equity","PX_LAST",$B125,$B125)</f>
        <v>#N/A N/A</v>
      </c>
      <c r="Q125" t="str" cm="1">
        <f t="array" ref="Q125">_xll.BDH(Q$2 &amp; " US Equity","PX_LAST",$B125,$B125)</f>
        <v>#N/A N/A</v>
      </c>
      <c r="R125" t="str" cm="1">
        <f t="array" ref="R125">_xll.BDH(R$2 &amp; " US Equity","PX_LAST",$B125,$B125)</f>
        <v>#N/A N/A</v>
      </c>
      <c r="S125" t="str" cm="1">
        <f t="array" ref="S125">_xll.BDH(S$2 &amp; " US Equity","PX_LAST",$B125,$B125)</f>
        <v>#N/A N/A</v>
      </c>
      <c r="T125" t="str" cm="1">
        <f t="array" ref="T125">_xll.BDH(T$2 &amp; " US Equity","PX_LAST",$B125,$B125)</f>
        <v>#N/A N/A</v>
      </c>
      <c r="U125" t="str" cm="1">
        <f t="array" ref="U125">_xll.BDH(U$2 &amp; " US Equity","PX_LAST",$B125,$B125)</f>
        <v>#N/A N/A</v>
      </c>
      <c r="V125" t="str" cm="1">
        <f t="array" ref="V125">_xll.BDH(V$2 &amp; " US Equity","PX_LAST",$B125,$B125)</f>
        <v>#N/A N/A</v>
      </c>
      <c r="W125" t="str" cm="1">
        <f t="array" ref="W125">_xll.BDH(W$2 &amp; " US Equity","PX_LAST",$B125,$B125)</f>
        <v>#N/A N/A</v>
      </c>
      <c r="X125" t="str" cm="1">
        <f t="array" ref="X125">_xll.BDH(X$2 &amp; " US Equity","PX_LAST",$B125,$B125)</f>
        <v>#N/A N/A</v>
      </c>
      <c r="Y125" t="str" cm="1">
        <f t="array" ref="Y125">_xll.BDH(Y$2 &amp; " US Equity","PX_LAST",$B125,$B125)</f>
        <v>#N/A N/A</v>
      </c>
      <c r="Z125" t="str" cm="1">
        <f t="array" ref="Z125">_xll.BDH(Z$2 &amp; " US Equity","PX_LAST",$B125,$B125)</f>
        <v>#N/A N/A</v>
      </c>
      <c r="AA125" t="str" cm="1">
        <f t="array" ref="AA125">_xll.BDH(AA$2 &amp; " PE Equity","PX_LAST",$B125,$B125)</f>
        <v>#N/A N/A</v>
      </c>
      <c r="AB125" t="str" cm="1">
        <f t="array" ref="AB125">_xll.BDH(AB$2 &amp; " PE Equity","PX_LAST",$B125,$B125)</f>
        <v>#N/A N/A</v>
      </c>
      <c r="AC125" t="str" cm="1">
        <f t="array" ref="AC125">_xll.BDH(AC$2 &amp; " US Equity","PX_LAST",$B125,$B125)</f>
        <v>#N/A N/A</v>
      </c>
      <c r="AD125" t="str" cm="1">
        <f t="array" ref="AD125">_xll.BDH(AD$2 &amp; " US Equity","PX_LAST",$B125,$B125)</f>
        <v>#N/A N/A</v>
      </c>
      <c r="AE125" t="str" cm="1">
        <f t="array" ref="AE125">_xll.BDH(AE$2 &amp; " PE Equity","PX_LAST",$B125,$B125)</f>
        <v>#N/A Connection</v>
      </c>
      <c r="AF125" t="str" cm="1">
        <f t="array" ref="AF125">_xll.BDH(AF$2 &amp; " US Equity","PX_LAST",$B125,$B125)</f>
        <v>#N/A N/A</v>
      </c>
      <c r="AG125" t="str" cm="1">
        <f t="array" ref="AG125">_xll.BDH(AG$2 &amp; " US Equity","PX_LAST",$B125,$B125)</f>
        <v>#N/A N/A</v>
      </c>
      <c r="AH125" t="str" cm="1">
        <f t="array" ref="AH125">_xll.BDH(AH$2 &amp; " US Equity","PX_LAST",$B125,$B125)</f>
        <v>#N/A N/A</v>
      </c>
      <c r="AI125" t="str" cm="1">
        <f t="array" ref="AI125">_xll.BDH(AI$2 &amp; " US Equity","PX_LAST",$B125,$B125)</f>
        <v>#N/A N/A</v>
      </c>
      <c r="AJ125" t="str" cm="1">
        <f t="array" ref="AJ125">_xll.BDH(AJ$2 &amp; " US Equity","PX_LAST",$B125,$B125)</f>
        <v>#N/A N/A</v>
      </c>
      <c r="AK125" t="str" cm="1">
        <f t="array" ref="AK125">_xll.BDH(AK$2 &amp; " US Equity","PX_LAST",$B125,$B125)</f>
        <v>#N/A N/A</v>
      </c>
      <c r="AL125" t="str" cm="1">
        <f t="array" ref="AL125">_xll.BDH(AL$2 &amp; " US Equity","PX_LAST",$B125,$B125)</f>
        <v>#N/A N/A</v>
      </c>
      <c r="AM125" t="str" cm="1">
        <f t="array" ref="AM125">_xll.BDH(AM$2 &amp; " US Equity","PX_LAST",$B125,$B125)</f>
        <v>#N/A N/A</v>
      </c>
      <c r="AN125" t="str" cm="1">
        <f t="array" ref="AN125">_xll.BDH(AN$2 &amp; " US Equity","PX_LAST",$B125,$B125)</f>
        <v>#N/A N/A</v>
      </c>
      <c r="AO125" t="str" cm="1">
        <f t="array" ref="AO125">_xll.BDH(AO$2 &amp; " US Equity","PX_LAST",$B125,$B125)</f>
        <v>#N/A N/A</v>
      </c>
      <c r="AP125" t="str" cm="1">
        <f t="array" ref="AP125">_xll.BDH(AP$2 &amp; " US Equity","PX_LAST",$B125,$B125)</f>
        <v>#N/A N/A</v>
      </c>
      <c r="AQ125" t="str" cm="1">
        <f t="array" ref="AQ125">_xll.BDH(AQ$2 &amp; " US Equity","PX_LAST",$B125,$B125)</f>
        <v>#N/A N/A</v>
      </c>
      <c r="AR125" t="str" cm="1">
        <f t="array" ref="AR125">_xll.BDH(AR$2 &amp; " US Equity","PX_LAST",$B125,$B125)</f>
        <v>#N/A N/A</v>
      </c>
      <c r="AS125" t="str" cm="1">
        <f t="array" ref="AS125">_xll.BDH(AS$2 &amp; " US Equity","PX_LAST",$B125,$B125)</f>
        <v>#N/A N/A</v>
      </c>
      <c r="AT125" t="str" cm="1">
        <f t="array" ref="AT125">_xll.BDH(AT$2 &amp; " US Equity","PX_LAST",$B125,$B125)</f>
        <v>#N/A N/A</v>
      </c>
      <c r="AU125" t="str" cm="1">
        <f t="array" ref="AU125">_xll.BDH(AU$2 &amp; " US Equity","PX_LAST",$B125,$B125)</f>
        <v>#N/A N/A</v>
      </c>
      <c r="AV125" t="str" cm="1">
        <f t="array" ref="AV125">_xll.BDH(AV$2 &amp; " US Equity","PX_LAST",$B125,$B125)</f>
        <v>#N/A N/A</v>
      </c>
      <c r="AW125" t="str" cm="1">
        <f t="array" ref="AW125">_xll.BDH(AW$2 &amp; " US Equity","PX_LAST",$B125,$B125)</f>
        <v>#N/A N/A</v>
      </c>
    </row>
    <row r="126" spans="2:49">
      <c r="B126" s="13">
        <v>46024</v>
      </c>
      <c r="C126" cm="1">
        <f t="array" ref="C126">_xll.BDH(C$2 &amp; " US Equity","PX_LAST",$B126,$B126)</f>
        <v>293.13</v>
      </c>
      <c r="D126" cm="1">
        <f t="array" ref="D126">_xll.BDH(D$2 &amp; " PE Equity","PX_LAST",$B126,$B126)</f>
        <v>5.6</v>
      </c>
      <c r="E126" cm="1">
        <f t="array" ref="E126">_xll.BDH(E$2 &amp; " PE Equity","PX_LAST",$B126,$B126)</f>
        <v>2.2400000000000002</v>
      </c>
      <c r="F126" cm="1">
        <f t="array" ref="F126">_xll.BDH(F$2 &amp; " PE Equity","PX_LAST",$B126,$B126)</f>
        <v>2.8</v>
      </c>
      <c r="G126" cm="1">
        <f t="array" ref="G126">_xll.BDH(G$2 &amp; " US Equity","PX_LAST",$B126,$B126)</f>
        <v>20.43</v>
      </c>
      <c r="H126" cm="1">
        <f t="array" ref="H126">_xll.BDH(H$2 &amp; " PE Equity","PX_LAST",$B126,$B126)</f>
        <v>4</v>
      </c>
      <c r="I126" cm="1">
        <f t="array" ref="I126">_xll.BDH(I$2 &amp; " US Equity","PX_LAST",$B126,$B126)</f>
        <v>51.6</v>
      </c>
      <c r="J126" cm="1">
        <f t="array" ref="J126">_xll.BDH(J$2 &amp; " US Equity","PX_LAST",$B126,$B126)</f>
        <v>7.23</v>
      </c>
      <c r="K126" cm="1">
        <f t="array" ref="K126">_xll.BDH(K$2 &amp; " US Equity","PX_LAST",$B126,$B126)</f>
        <v>54.7</v>
      </c>
      <c r="L126" cm="1">
        <f t="array" ref="L126">_xll.BDH(L$2 &amp; " US Equity","PX_LAST",$B126,$B126)</f>
        <v>56.24</v>
      </c>
      <c r="M126" cm="1">
        <f t="array" ref="M126">_xll.BDH(M$2 &amp; " US Equity","PX_LAST",$B126,$B126)</f>
        <v>286.41000000000003</v>
      </c>
      <c r="N126" cm="1">
        <f t="array" ref="N126">_xll.BDH(N$2 &amp; " US Equity","PX_LAST",$B126,$B126)</f>
        <v>37.53</v>
      </c>
      <c r="O126" cm="1">
        <f t="array" ref="O126">_xll.BDH(O$2 &amp; " US Equity","PX_LAST",$B126,$B126)</f>
        <v>32.200000000000003</v>
      </c>
      <c r="P126" cm="1">
        <f t="array" ref="P126">_xll.BDH(P$2 &amp; " US Equity","PX_LAST",$B126,$B126)</f>
        <v>17.100000000000001</v>
      </c>
      <c r="Q126" cm="1">
        <f t="array" ref="Q126">_xll.BDH(Q$2 &amp; " US Equity","PX_LAST",$B126,$B126)</f>
        <v>25.18</v>
      </c>
      <c r="R126" cm="1">
        <f t="array" ref="R126">_xll.BDH(R$2 &amp; " US Equity","PX_LAST",$B126,$B126)</f>
        <v>28.59</v>
      </c>
      <c r="S126" cm="1">
        <f t="array" ref="S126">_xll.BDH(S$2 &amp; " US Equity","PX_LAST",$B126,$B126)</f>
        <v>157.97999999999999</v>
      </c>
      <c r="T126" cm="1">
        <f t="array" ref="T126">_xll.BDH(T$2 &amp; " US Equity","PX_LAST",$B126,$B126)</f>
        <v>65.010000000000005</v>
      </c>
      <c r="U126" cm="1">
        <f t="array" ref="U126">_xll.BDH(U$2 &amp; " US Equity","PX_LAST",$B126,$B126)</f>
        <v>150.30000000000001</v>
      </c>
      <c r="V126" cm="1">
        <f t="array" ref="V126">_xll.BDH(V$2 &amp; " US Equity","PX_LAST",$B126,$B126)</f>
        <v>43.18</v>
      </c>
      <c r="W126" cm="1">
        <f t="array" ref="W126">_xll.BDH(W$2 &amp; " US Equity","PX_LAST",$B126,$B126)</f>
        <v>167.86</v>
      </c>
      <c r="X126" cm="1">
        <f t="array" ref="X126">_xll.BDH(X$2 &amp; " US Equity","PX_LAST",$B126,$B126)</f>
        <v>60.34</v>
      </c>
      <c r="Y126" cm="1">
        <f t="array" ref="Y126">_xll.BDH(Y$2 &amp; " US Equity","PX_LAST",$B126,$B126)</f>
        <v>45.31</v>
      </c>
      <c r="Z126" cm="1">
        <f t="array" ref="Z126">_xll.BDH(Z$2 &amp; " US Equity","PX_LAST",$B126,$B126)</f>
        <v>373.3</v>
      </c>
      <c r="AA126" cm="1">
        <f t="array" ref="AA126">_xll.BDH(AA$2 &amp; " PE Equity","PX_LAST",$B126,$B126)</f>
        <v>0.74</v>
      </c>
      <c r="AB126" cm="1">
        <f t="array" ref="AB126">_xll.BDH(AB$2 &amp; " PE Equity","PX_LAST",$B126,$B126)</f>
        <v>25.55</v>
      </c>
      <c r="AC126" cm="1">
        <f t="array" ref="AC126">_xll.BDH(AC$2 &amp; " US Equity","PX_LAST",$B126,$B126)</f>
        <v>72.58</v>
      </c>
      <c r="AD126" cm="1">
        <f t="array" ref="AD126">_xll.BDH(AD$2 &amp; " US Equity","PX_LAST",$B126,$B126)</f>
        <v>683.17</v>
      </c>
      <c r="AE126" t="str" cm="1">
        <f t="array" ref="AE126">_xll.BDH(AE$2 &amp; " PE Equity","PX_LAST",$B126,$B126)</f>
        <v>#N/A Connection</v>
      </c>
      <c r="AF126" cm="1">
        <f t="array" ref="AF126">_xll.BDH(AF$2 &amp; " US Equity","PX_LAST",$B126,$B126)</f>
        <v>57.887</v>
      </c>
      <c r="AG126" cm="1">
        <f t="array" ref="AG126">_xll.BDH(AG$2 &amp; " US Equity","PX_LAST",$B126,$B126)</f>
        <v>13.0097</v>
      </c>
      <c r="AH126" cm="1">
        <f t="array" ref="AH126">_xll.BDH(AH$2 &amp; " US Equity","PX_LAST",$B126,$B126)</f>
        <v>613.12</v>
      </c>
      <c r="AI126" cm="1">
        <f t="array" ref="AI126">_xll.BDH(AI$2 &amp; " US Equity","PX_LAST",$B126,$B126)</f>
        <v>113.87</v>
      </c>
      <c r="AJ126" cm="1">
        <f t="array" ref="AJ126">_xll.BDH(AJ$2 &amp; " US Equity","PX_LAST",$B126,$B126)</f>
        <v>111.85</v>
      </c>
      <c r="AK126" cm="1">
        <f t="array" ref="AK126">_xll.BDH(AK$2 &amp; " US Equity","PX_LAST",$B126,$B126)</f>
        <v>118.35</v>
      </c>
      <c r="AL126" cm="1">
        <f t="array" ref="AL126">_xll.BDH(AL$2 &amp; " US Equity","PX_LAST",$B126,$B126)</f>
        <v>226.5</v>
      </c>
      <c r="AM126" cm="1">
        <f t="array" ref="AM126">_xll.BDH(AM$2 &amp; " US Equity","PX_LAST",$B126,$B126)</f>
        <v>52.35</v>
      </c>
      <c r="AN126" cm="1">
        <f t="array" ref="AN126">_xll.BDH(AN$2 &amp; " US Equity","PX_LAST",$B126,$B126)</f>
        <v>24.34</v>
      </c>
      <c r="AO126" cm="1">
        <f t="array" ref="AO126">_xll.BDH(AO$2 &amp; " US Equity","PX_LAST",$B126,$B126)</f>
        <v>54.33</v>
      </c>
      <c r="AP126" cm="1">
        <f t="array" ref="AP126">_xll.BDH(AP$2 &amp; " US Equity","PX_LAST",$B126,$B126)</f>
        <v>4.76</v>
      </c>
      <c r="AQ126" cm="1">
        <f t="array" ref="AQ126">_xll.BDH(AQ$2 &amp; " US Equity","PX_LAST",$B126,$B126)</f>
        <v>101.4</v>
      </c>
      <c r="AR126" cm="1">
        <f t="array" ref="AR126">_xll.BDH(AR$2 &amp; " US Equity","PX_LAST",$B126,$B126)</f>
        <v>63.2</v>
      </c>
      <c r="AS126" cm="1">
        <f t="array" ref="AS126">_xll.BDH(AS$2 &amp; " US Equity","PX_LAST",$B126,$B126)</f>
        <v>90.99</v>
      </c>
      <c r="AT126" cm="1">
        <f t="array" ref="AT126">_xll.BDH(AT$2 &amp; " US Equity","PX_LAST",$B126,$B126)</f>
        <v>5.14</v>
      </c>
      <c r="AU126" cm="1">
        <f t="array" ref="AU126">_xll.BDH(AU$2 &amp; " US Equity","PX_LAST",$B126,$B126)</f>
        <v>336.4</v>
      </c>
      <c r="AV126" cm="1">
        <f t="array" ref="AV126">_xll.BDH(AV$2 &amp; " US Equity","PX_LAST",$B126,$B126)</f>
        <v>251.6</v>
      </c>
      <c r="AW126" cm="1">
        <f t="array" ref="AW126">_xll.BDH(AW$2 &amp; " US Equity","PX_LAST",$B126,$B126)</f>
        <v>128.9</v>
      </c>
    </row>
    <row r="127" spans="2:49">
      <c r="B127" s="13">
        <v>46025</v>
      </c>
      <c r="C127" t="str" cm="1">
        <f t="array" ref="C127">_xll.BDH(C$2 &amp; " US Equity","PX_LAST",$B127,$B127)</f>
        <v>#N/A N/A</v>
      </c>
      <c r="D127" t="str" cm="1">
        <f t="array" ref="D127">_xll.BDH(D$2 &amp; " PE Equity","PX_LAST",$B127,$B127)</f>
        <v>#N/A N/A</v>
      </c>
      <c r="E127" t="str" cm="1">
        <f t="array" ref="E127">_xll.BDH(E$2 &amp; " PE Equity","PX_LAST",$B127,$B127)</f>
        <v>#N/A N/A</v>
      </c>
      <c r="F127" t="str" cm="1">
        <f t="array" ref="F127">_xll.BDH(F$2 &amp; " PE Equity","PX_LAST",$B127,$B127)</f>
        <v>#N/A N/A</v>
      </c>
      <c r="G127" t="str" cm="1">
        <f t="array" ref="G127">_xll.BDH(G$2 &amp; " US Equity","PX_LAST",$B127,$B127)</f>
        <v>#N/A N/A</v>
      </c>
      <c r="H127" t="str" cm="1">
        <f t="array" ref="H127">_xll.BDH(H$2 &amp; " PE Equity","PX_LAST",$B127,$B127)</f>
        <v>#N/A N/A</v>
      </c>
      <c r="I127" t="str" cm="1">
        <f t="array" ref="I127">_xll.BDH(I$2 &amp; " US Equity","PX_LAST",$B127,$B127)</f>
        <v>#N/A N/A</v>
      </c>
      <c r="J127" t="str" cm="1">
        <f t="array" ref="J127">_xll.BDH(J$2 &amp; " US Equity","PX_LAST",$B127,$B127)</f>
        <v>#N/A N/A</v>
      </c>
      <c r="K127" t="str" cm="1">
        <f t="array" ref="K127">_xll.BDH(K$2 &amp; " US Equity","PX_LAST",$B127,$B127)</f>
        <v>#N/A N/A</v>
      </c>
      <c r="L127" t="str" cm="1">
        <f t="array" ref="L127">_xll.BDH(L$2 &amp; " US Equity","PX_LAST",$B127,$B127)</f>
        <v>#N/A N/A</v>
      </c>
      <c r="M127" t="str" cm="1">
        <f t="array" ref="M127">_xll.BDH(M$2 &amp; " US Equity","PX_LAST",$B127,$B127)</f>
        <v>#N/A N/A</v>
      </c>
      <c r="N127" t="str" cm="1">
        <f t="array" ref="N127">_xll.BDH(N$2 &amp; " US Equity","PX_LAST",$B127,$B127)</f>
        <v>#N/A N/A</v>
      </c>
      <c r="O127" t="str" cm="1">
        <f t="array" ref="O127">_xll.BDH(O$2 &amp; " US Equity","PX_LAST",$B127,$B127)</f>
        <v>#N/A N/A</v>
      </c>
      <c r="P127" t="str" cm="1">
        <f t="array" ref="P127">_xll.BDH(P$2 &amp; " US Equity","PX_LAST",$B127,$B127)</f>
        <v>#N/A N/A</v>
      </c>
      <c r="Q127" t="str" cm="1">
        <f t="array" ref="Q127">_xll.BDH(Q$2 &amp; " US Equity","PX_LAST",$B127,$B127)</f>
        <v>#N/A N/A</v>
      </c>
      <c r="R127" t="str" cm="1">
        <f t="array" ref="R127">_xll.BDH(R$2 &amp; " US Equity","PX_LAST",$B127,$B127)</f>
        <v>#N/A N/A</v>
      </c>
      <c r="S127" t="str" cm="1">
        <f t="array" ref="S127">_xll.BDH(S$2 &amp; " US Equity","PX_LAST",$B127,$B127)</f>
        <v>#N/A N/A</v>
      </c>
      <c r="T127" t="str" cm="1">
        <f t="array" ref="T127">_xll.BDH(T$2 &amp; " US Equity","PX_LAST",$B127,$B127)</f>
        <v>#N/A N/A</v>
      </c>
      <c r="U127" t="str" cm="1">
        <f t="array" ref="U127">_xll.BDH(U$2 &amp; " US Equity","PX_LAST",$B127,$B127)</f>
        <v>#N/A N/A</v>
      </c>
      <c r="V127" t="str" cm="1">
        <f t="array" ref="V127">_xll.BDH(V$2 &amp; " US Equity","PX_LAST",$B127,$B127)</f>
        <v>#N/A N/A</v>
      </c>
      <c r="W127" t="str" cm="1">
        <f t="array" ref="W127">_xll.BDH(W$2 &amp; " US Equity","PX_LAST",$B127,$B127)</f>
        <v>#N/A N/A</v>
      </c>
      <c r="X127" t="str" cm="1">
        <f t="array" ref="X127">_xll.BDH(X$2 &amp; " US Equity","PX_LAST",$B127,$B127)</f>
        <v>#N/A N/A</v>
      </c>
      <c r="Y127" t="str" cm="1">
        <f t="array" ref="Y127">_xll.BDH(Y$2 &amp; " US Equity","PX_LAST",$B127,$B127)</f>
        <v>#N/A N/A</v>
      </c>
      <c r="Z127" t="str" cm="1">
        <f t="array" ref="Z127">_xll.BDH(Z$2 &amp; " US Equity","PX_LAST",$B127,$B127)</f>
        <v>#N/A N/A</v>
      </c>
      <c r="AA127" t="str" cm="1">
        <f t="array" ref="AA127">_xll.BDH(AA$2 &amp; " PE Equity","PX_LAST",$B127,$B127)</f>
        <v>#N/A N/A</v>
      </c>
      <c r="AB127" t="str" cm="1">
        <f t="array" ref="AB127">_xll.BDH(AB$2 &amp; " PE Equity","PX_LAST",$B127,$B127)</f>
        <v>#N/A N/A</v>
      </c>
      <c r="AC127" t="str" cm="1">
        <f t="array" ref="AC127">_xll.BDH(AC$2 &amp; " US Equity","PX_LAST",$B127,$B127)</f>
        <v>#N/A N/A</v>
      </c>
      <c r="AD127" t="str" cm="1">
        <f t="array" ref="AD127">_xll.BDH(AD$2 &amp; " US Equity","PX_LAST",$B127,$B127)</f>
        <v>#N/A N/A</v>
      </c>
      <c r="AE127" t="str" cm="1">
        <f t="array" ref="AE127">_xll.BDH(AE$2 &amp; " PE Equity","PX_LAST",$B127,$B127)</f>
        <v>#N/A Connection</v>
      </c>
      <c r="AF127" t="str" cm="1">
        <f t="array" ref="AF127">_xll.BDH(AF$2 &amp; " US Equity","PX_LAST",$B127,$B127)</f>
        <v>#N/A N/A</v>
      </c>
      <c r="AG127" t="str" cm="1">
        <f t="array" ref="AG127">_xll.BDH(AG$2 &amp; " US Equity","PX_LAST",$B127,$B127)</f>
        <v>#N/A N/A</v>
      </c>
      <c r="AH127" t="str" cm="1">
        <f t="array" ref="AH127">_xll.BDH(AH$2 &amp; " US Equity","PX_LAST",$B127,$B127)</f>
        <v>#N/A N/A</v>
      </c>
      <c r="AI127" t="str" cm="1">
        <f t="array" ref="AI127">_xll.BDH(AI$2 &amp; " US Equity","PX_LAST",$B127,$B127)</f>
        <v>#N/A N/A</v>
      </c>
      <c r="AJ127" t="str" cm="1">
        <f t="array" ref="AJ127">_xll.BDH(AJ$2 &amp; " US Equity","PX_LAST",$B127,$B127)</f>
        <v>#N/A N/A</v>
      </c>
      <c r="AK127" t="str" cm="1">
        <f t="array" ref="AK127">_xll.BDH(AK$2 &amp; " US Equity","PX_LAST",$B127,$B127)</f>
        <v>#N/A N/A</v>
      </c>
      <c r="AL127" t="str" cm="1">
        <f t="array" ref="AL127">_xll.BDH(AL$2 &amp; " US Equity","PX_LAST",$B127,$B127)</f>
        <v>#N/A N/A</v>
      </c>
      <c r="AM127" t="str" cm="1">
        <f t="array" ref="AM127">_xll.BDH(AM$2 &amp; " US Equity","PX_LAST",$B127,$B127)</f>
        <v>#N/A N/A</v>
      </c>
      <c r="AN127" t="str" cm="1">
        <f t="array" ref="AN127">_xll.BDH(AN$2 &amp; " US Equity","PX_LAST",$B127,$B127)</f>
        <v>#N/A N/A</v>
      </c>
      <c r="AO127" t="str" cm="1">
        <f t="array" ref="AO127">_xll.BDH(AO$2 &amp; " US Equity","PX_LAST",$B127,$B127)</f>
        <v>#N/A N/A</v>
      </c>
      <c r="AP127" t="str" cm="1">
        <f t="array" ref="AP127">_xll.BDH(AP$2 &amp; " US Equity","PX_LAST",$B127,$B127)</f>
        <v>#N/A N/A</v>
      </c>
      <c r="AQ127" t="str" cm="1">
        <f t="array" ref="AQ127">_xll.BDH(AQ$2 &amp; " US Equity","PX_LAST",$B127,$B127)</f>
        <v>#N/A N/A</v>
      </c>
      <c r="AR127" t="str" cm="1">
        <f t="array" ref="AR127">_xll.BDH(AR$2 &amp; " US Equity","PX_LAST",$B127,$B127)</f>
        <v>#N/A N/A</v>
      </c>
      <c r="AS127" t="str" cm="1">
        <f t="array" ref="AS127">_xll.BDH(AS$2 &amp; " US Equity","PX_LAST",$B127,$B127)</f>
        <v>#N/A N/A</v>
      </c>
      <c r="AT127" t="str" cm="1">
        <f t="array" ref="AT127">_xll.BDH(AT$2 &amp; " US Equity","PX_LAST",$B127,$B127)</f>
        <v>#N/A N/A</v>
      </c>
      <c r="AU127" t="str" cm="1">
        <f t="array" ref="AU127">_xll.BDH(AU$2 &amp; " US Equity","PX_LAST",$B127,$B127)</f>
        <v>#N/A N/A</v>
      </c>
      <c r="AV127" t="str" cm="1">
        <f t="array" ref="AV127">_xll.BDH(AV$2 &amp; " US Equity","PX_LAST",$B127,$B127)</f>
        <v>#N/A N/A</v>
      </c>
      <c r="AW127" t="str" cm="1">
        <f t="array" ref="AW127">_xll.BDH(AW$2 &amp; " US Equity","PX_LAST",$B127,$B127)</f>
        <v>#N/A N/A</v>
      </c>
    </row>
    <row r="128" spans="2:49">
      <c r="B128" s="13">
        <v>46026</v>
      </c>
      <c r="C128" t="str" cm="1">
        <f t="array" ref="C128">_xll.BDH(C$2 &amp; " US Equity","PX_LAST",$B128,$B128)</f>
        <v>#N/A N/A</v>
      </c>
      <c r="D128" t="str" cm="1">
        <f t="array" ref="D128">_xll.BDH(D$2 &amp; " PE Equity","PX_LAST",$B128,$B128)</f>
        <v>#N/A N/A</v>
      </c>
      <c r="E128" t="str" cm="1">
        <f t="array" ref="E128">_xll.BDH(E$2 &amp; " PE Equity","PX_LAST",$B128,$B128)</f>
        <v>#N/A N/A</v>
      </c>
      <c r="F128" t="str" cm="1">
        <f t="array" ref="F128">_xll.BDH(F$2 &amp; " PE Equity","PX_LAST",$B128,$B128)</f>
        <v>#N/A N/A</v>
      </c>
      <c r="G128" t="str" cm="1">
        <f t="array" ref="G128">_xll.BDH(G$2 &amp; " US Equity","PX_LAST",$B128,$B128)</f>
        <v>#N/A N/A</v>
      </c>
      <c r="H128" t="str" cm="1">
        <f t="array" ref="H128">_xll.BDH(H$2 &amp; " PE Equity","PX_LAST",$B128,$B128)</f>
        <v>#N/A N/A</v>
      </c>
      <c r="I128" t="str" cm="1">
        <f t="array" ref="I128">_xll.BDH(I$2 &amp; " US Equity","PX_LAST",$B128,$B128)</f>
        <v>#N/A N/A</v>
      </c>
      <c r="J128" t="str" cm="1">
        <f t="array" ref="J128">_xll.BDH(J$2 &amp; " US Equity","PX_LAST",$B128,$B128)</f>
        <v>#N/A N/A</v>
      </c>
      <c r="K128" t="str" cm="1">
        <f t="array" ref="K128">_xll.BDH(K$2 &amp; " US Equity","PX_LAST",$B128,$B128)</f>
        <v>#N/A N/A</v>
      </c>
      <c r="L128" t="str" cm="1">
        <f t="array" ref="L128">_xll.BDH(L$2 &amp; " US Equity","PX_LAST",$B128,$B128)</f>
        <v>#N/A N/A</v>
      </c>
      <c r="M128" t="str" cm="1">
        <f t="array" ref="M128">_xll.BDH(M$2 &amp; " US Equity","PX_LAST",$B128,$B128)</f>
        <v>#N/A N/A</v>
      </c>
      <c r="N128" t="str" cm="1">
        <f t="array" ref="N128">_xll.BDH(N$2 &amp; " US Equity","PX_LAST",$B128,$B128)</f>
        <v>#N/A N/A</v>
      </c>
      <c r="O128" t="str" cm="1">
        <f t="array" ref="O128">_xll.BDH(O$2 &amp; " US Equity","PX_LAST",$B128,$B128)</f>
        <v>#N/A N/A</v>
      </c>
      <c r="P128" t="str" cm="1">
        <f t="array" ref="P128">_xll.BDH(P$2 &amp; " US Equity","PX_LAST",$B128,$B128)</f>
        <v>#N/A N/A</v>
      </c>
      <c r="Q128" t="str" cm="1">
        <f t="array" ref="Q128">_xll.BDH(Q$2 &amp; " US Equity","PX_LAST",$B128,$B128)</f>
        <v>#N/A N/A</v>
      </c>
      <c r="R128" t="str" cm="1">
        <f t="array" ref="R128">_xll.BDH(R$2 &amp; " US Equity","PX_LAST",$B128,$B128)</f>
        <v>#N/A N/A</v>
      </c>
      <c r="S128" t="str" cm="1">
        <f t="array" ref="S128">_xll.BDH(S$2 &amp; " US Equity","PX_LAST",$B128,$B128)</f>
        <v>#N/A N/A</v>
      </c>
      <c r="T128" t="str" cm="1">
        <f t="array" ref="T128">_xll.BDH(T$2 &amp; " US Equity","PX_LAST",$B128,$B128)</f>
        <v>#N/A N/A</v>
      </c>
      <c r="U128" t="str" cm="1">
        <f t="array" ref="U128">_xll.BDH(U$2 &amp; " US Equity","PX_LAST",$B128,$B128)</f>
        <v>#N/A N/A</v>
      </c>
      <c r="V128" t="str" cm="1">
        <f t="array" ref="V128">_xll.BDH(V$2 &amp; " US Equity","PX_LAST",$B128,$B128)</f>
        <v>#N/A N/A</v>
      </c>
      <c r="W128" t="str" cm="1">
        <f t="array" ref="W128">_xll.BDH(W$2 &amp; " US Equity","PX_LAST",$B128,$B128)</f>
        <v>#N/A N/A</v>
      </c>
      <c r="X128" t="str" cm="1">
        <f t="array" ref="X128">_xll.BDH(X$2 &amp; " US Equity","PX_LAST",$B128,$B128)</f>
        <v>#N/A N/A</v>
      </c>
      <c r="Y128" t="str" cm="1">
        <f t="array" ref="Y128">_xll.BDH(Y$2 &amp; " US Equity","PX_LAST",$B128,$B128)</f>
        <v>#N/A N/A</v>
      </c>
      <c r="Z128" t="str" cm="1">
        <f t="array" ref="Z128">_xll.BDH(Z$2 &amp; " US Equity","PX_LAST",$B128,$B128)</f>
        <v>#N/A N/A</v>
      </c>
      <c r="AA128" t="str" cm="1">
        <f t="array" ref="AA128">_xll.BDH(AA$2 &amp; " PE Equity","PX_LAST",$B128,$B128)</f>
        <v>#N/A N/A</v>
      </c>
      <c r="AB128" t="str" cm="1">
        <f t="array" ref="AB128">_xll.BDH(AB$2 &amp; " PE Equity","PX_LAST",$B128,$B128)</f>
        <v>#N/A N/A</v>
      </c>
      <c r="AC128" t="str" cm="1">
        <f t="array" ref="AC128">_xll.BDH(AC$2 &amp; " US Equity","PX_LAST",$B128,$B128)</f>
        <v>#N/A N/A</v>
      </c>
      <c r="AD128" t="str" cm="1">
        <f t="array" ref="AD128">_xll.BDH(AD$2 &amp; " US Equity","PX_LAST",$B128,$B128)</f>
        <v>#N/A N/A</v>
      </c>
      <c r="AE128" t="str" cm="1">
        <f t="array" ref="AE128">_xll.BDH(AE$2 &amp; " PE Equity","PX_LAST",$B128,$B128)</f>
        <v>#N/A Connection</v>
      </c>
      <c r="AF128" t="str" cm="1">
        <f t="array" ref="AF128">_xll.BDH(AF$2 &amp; " US Equity","PX_LAST",$B128,$B128)</f>
        <v>#N/A N/A</v>
      </c>
      <c r="AG128" t="str" cm="1">
        <f t="array" ref="AG128">_xll.BDH(AG$2 &amp; " US Equity","PX_LAST",$B128,$B128)</f>
        <v>#N/A N/A</v>
      </c>
      <c r="AH128" t="str" cm="1">
        <f t="array" ref="AH128">_xll.BDH(AH$2 &amp; " US Equity","PX_LAST",$B128,$B128)</f>
        <v>#N/A N/A</v>
      </c>
      <c r="AI128" t="str" cm="1">
        <f t="array" ref="AI128">_xll.BDH(AI$2 &amp; " US Equity","PX_LAST",$B128,$B128)</f>
        <v>#N/A N/A</v>
      </c>
      <c r="AJ128" t="str" cm="1">
        <f t="array" ref="AJ128">_xll.BDH(AJ$2 &amp; " US Equity","PX_LAST",$B128,$B128)</f>
        <v>#N/A N/A</v>
      </c>
      <c r="AK128" t="str" cm="1">
        <f t="array" ref="AK128">_xll.BDH(AK$2 &amp; " US Equity","PX_LAST",$B128,$B128)</f>
        <v>#N/A N/A</v>
      </c>
      <c r="AL128" t="str" cm="1">
        <f t="array" ref="AL128">_xll.BDH(AL$2 &amp; " US Equity","PX_LAST",$B128,$B128)</f>
        <v>#N/A N/A</v>
      </c>
      <c r="AM128" t="str" cm="1">
        <f t="array" ref="AM128">_xll.BDH(AM$2 &amp; " US Equity","PX_LAST",$B128,$B128)</f>
        <v>#N/A N/A</v>
      </c>
      <c r="AN128" t="str" cm="1">
        <f t="array" ref="AN128">_xll.BDH(AN$2 &amp; " US Equity","PX_LAST",$B128,$B128)</f>
        <v>#N/A N/A</v>
      </c>
      <c r="AO128" t="str" cm="1">
        <f t="array" ref="AO128">_xll.BDH(AO$2 &amp; " US Equity","PX_LAST",$B128,$B128)</f>
        <v>#N/A N/A</v>
      </c>
      <c r="AP128" t="str" cm="1">
        <f t="array" ref="AP128">_xll.BDH(AP$2 &amp; " US Equity","PX_LAST",$B128,$B128)</f>
        <v>#N/A N/A</v>
      </c>
      <c r="AQ128" t="str" cm="1">
        <f t="array" ref="AQ128">_xll.BDH(AQ$2 &amp; " US Equity","PX_LAST",$B128,$B128)</f>
        <v>#N/A N/A</v>
      </c>
      <c r="AR128" t="str" cm="1">
        <f t="array" ref="AR128">_xll.BDH(AR$2 &amp; " US Equity","PX_LAST",$B128,$B128)</f>
        <v>#N/A N/A</v>
      </c>
      <c r="AS128" t="str" cm="1">
        <f t="array" ref="AS128">_xll.BDH(AS$2 &amp; " US Equity","PX_LAST",$B128,$B128)</f>
        <v>#N/A N/A</v>
      </c>
      <c r="AT128" t="str" cm="1">
        <f t="array" ref="AT128">_xll.BDH(AT$2 &amp; " US Equity","PX_LAST",$B128,$B128)</f>
        <v>#N/A N/A</v>
      </c>
      <c r="AU128" t="str" cm="1">
        <f t="array" ref="AU128">_xll.BDH(AU$2 &amp; " US Equity","PX_LAST",$B128,$B128)</f>
        <v>#N/A N/A</v>
      </c>
      <c r="AV128" t="str" cm="1">
        <f t="array" ref="AV128">_xll.BDH(AV$2 &amp; " US Equity","PX_LAST",$B128,$B128)</f>
        <v>#N/A N/A</v>
      </c>
      <c r="AW128" t="str" cm="1">
        <f t="array" ref="AW128">_xll.BDH(AW$2 &amp; " US Equity","PX_LAST",$B128,$B128)</f>
        <v>#N/A N/A</v>
      </c>
    </row>
    <row r="129" spans="2:49">
      <c r="B129" s="13">
        <v>46027</v>
      </c>
      <c r="C129" cm="1">
        <f t="array" ref="C129">_xll.BDH(C$2 &amp; " US Equity","PX_LAST",$B129,$B129)</f>
        <v>297.45999999999998</v>
      </c>
      <c r="D129" cm="1">
        <f t="array" ref="D129">_xll.BDH(D$2 &amp; " PE Equity","PX_LAST",$B129,$B129)</f>
        <v>5.87</v>
      </c>
      <c r="E129" cm="1">
        <f t="array" ref="E129">_xll.BDH(E$2 &amp; " PE Equity","PX_LAST",$B129,$B129)</f>
        <v>2.29</v>
      </c>
      <c r="F129" cm="1">
        <f t="array" ref="F129">_xll.BDH(F$2 &amp; " PE Equity","PX_LAST",$B129,$B129)</f>
        <v>2.75</v>
      </c>
      <c r="G129" cm="1">
        <f t="array" ref="G129">_xll.BDH(G$2 &amp; " US Equity","PX_LAST",$B129,$B129)</f>
        <v>20.149999999999999</v>
      </c>
      <c r="H129" cm="1">
        <f t="array" ref="H129">_xll.BDH(H$2 &amp; " PE Equity","PX_LAST",$B129,$B129)</f>
        <v>3.99</v>
      </c>
      <c r="I129" cm="1">
        <f t="array" ref="I129">_xll.BDH(I$2 &amp; " US Equity","PX_LAST",$B129,$B129)</f>
        <v>51.12</v>
      </c>
      <c r="J129" cm="1">
        <f t="array" ref="J129">_xll.BDH(J$2 &amp; " US Equity","PX_LAST",$B129,$B129)</f>
        <v>7.37</v>
      </c>
      <c r="K129" cm="1">
        <f t="array" ref="K129">_xll.BDH(K$2 &amp; " US Equity","PX_LAST",$B129,$B129)</f>
        <v>55</v>
      </c>
      <c r="L129" cm="1">
        <f t="array" ref="L129">_xll.BDH(L$2 &amp; " US Equity","PX_LAST",$B129,$B129)</f>
        <v>56.86</v>
      </c>
      <c r="M129" cm="1">
        <f t="array" ref="M129">_xll.BDH(M$2 &amp; " US Equity","PX_LAST",$B129,$B129)</f>
        <v>292.5</v>
      </c>
      <c r="N129" cm="1">
        <f t="array" ref="N129">_xll.BDH(N$2 &amp; " US Equity","PX_LAST",$B129,$B129)</f>
        <v>37.81</v>
      </c>
      <c r="O129" cm="1">
        <f t="array" ref="O129">_xll.BDH(O$2 &amp; " US Equity","PX_LAST",$B129,$B129)</f>
        <v>32.79</v>
      </c>
      <c r="P129" cm="1">
        <f t="array" ref="P129">_xll.BDH(P$2 &amp; " US Equity","PX_LAST",$B129,$B129)</f>
        <v>17.13</v>
      </c>
      <c r="Q129" cm="1">
        <f t="array" ref="Q129">_xll.BDH(Q$2 &amp; " US Equity","PX_LAST",$B129,$B129)</f>
        <v>25.17</v>
      </c>
      <c r="R129" cm="1">
        <f t="array" ref="R129">_xll.BDH(R$2 &amp; " US Equity","PX_LAST",$B129,$B129)</f>
        <v>29.53</v>
      </c>
      <c r="S129" cm="1">
        <f t="array" ref="S129">_xll.BDH(S$2 &amp; " US Equity","PX_LAST",$B129,$B129)</f>
        <v>159.85</v>
      </c>
      <c r="T129" cm="1">
        <f t="array" ref="T129">_xll.BDH(T$2 &amp; " US Equity","PX_LAST",$B129,$B129)</f>
        <v>65.55</v>
      </c>
      <c r="U129" cm="1">
        <f t="array" ref="U129">_xll.BDH(U$2 &amp; " US Equity","PX_LAST",$B129,$B129)</f>
        <v>149.68</v>
      </c>
      <c r="V129" cm="1">
        <f t="array" ref="V129">_xll.BDH(V$2 &amp; " US Equity","PX_LAST",$B129,$B129)</f>
        <v>42.7</v>
      </c>
      <c r="W129" cm="1">
        <f t="array" ref="W129">_xll.BDH(W$2 &amp; " US Equity","PX_LAST",$B129,$B129)</f>
        <v>174.04</v>
      </c>
      <c r="X129" cm="1">
        <f t="array" ref="X129">_xll.BDH(X$2 &amp; " US Equity","PX_LAST",$B129,$B129)</f>
        <v>60.43</v>
      </c>
      <c r="Y129" cm="1">
        <f t="array" ref="Y129">_xll.BDH(Y$2 &amp; " US Equity","PX_LAST",$B129,$B129)</f>
        <v>45.42</v>
      </c>
      <c r="Z129" cm="1">
        <f t="array" ref="Z129">_xll.BDH(Z$2 &amp; " US Equity","PX_LAST",$B129,$B129)</f>
        <v>377.59</v>
      </c>
      <c r="AA129" cm="1">
        <f t="array" ref="AA129">_xll.BDH(AA$2 &amp; " PE Equity","PX_LAST",$B129,$B129)</f>
        <v>0.77</v>
      </c>
      <c r="AB129" cm="1">
        <f t="array" ref="AB129">_xll.BDH(AB$2 &amp; " PE Equity","PX_LAST",$B129,$B129)</f>
        <v>25.85</v>
      </c>
      <c r="AC129" cm="1">
        <f t="array" ref="AC129">_xll.BDH(AC$2 &amp; " US Equity","PX_LAST",$B129,$B129)</f>
        <v>73.31</v>
      </c>
      <c r="AD129" cm="1">
        <f t="array" ref="AD129">_xll.BDH(AD$2 &amp; " US Equity","PX_LAST",$B129,$B129)</f>
        <v>687.72</v>
      </c>
      <c r="AE129" t="str" cm="1">
        <f t="array" ref="AE129">_xll.BDH(AE$2 &amp; " PE Equity","PX_LAST",$B129,$B129)</f>
        <v>#N/A Connection</v>
      </c>
      <c r="AF129" cm="1">
        <f t="array" ref="AF129">_xll.BDH(AF$2 &amp; " US Equity","PX_LAST",$B129,$B129)</f>
        <v>57.748899999999999</v>
      </c>
      <c r="AG129" cm="1">
        <f t="array" ref="AG129">_xll.BDH(AG$2 &amp; " US Equity","PX_LAST",$B129,$B129)</f>
        <v>13.275</v>
      </c>
      <c r="AH129" cm="1">
        <f t="array" ref="AH129">_xll.BDH(AH$2 &amp; " US Equity","PX_LAST",$B129,$B129)</f>
        <v>617.99</v>
      </c>
      <c r="AI129" cm="1">
        <f t="array" ref="AI129">_xll.BDH(AI$2 &amp; " US Equity","PX_LAST",$B129,$B129)</f>
        <v>117.36</v>
      </c>
      <c r="AJ129" cm="1">
        <f t="array" ref="AJ129">_xll.BDH(AJ$2 &amp; " US Equity","PX_LAST",$B129,$B129)</f>
        <v>114.07</v>
      </c>
      <c r="AK129" cm="1">
        <f t="array" ref="AK129">_xll.BDH(AK$2 &amp; " US Equity","PX_LAST",$B129,$B129)</f>
        <v>120.3</v>
      </c>
      <c r="AL129" cm="1">
        <f t="array" ref="AL129">_xll.BDH(AL$2 &amp; " US Equity","PX_LAST",$B129,$B129)</f>
        <v>233.06</v>
      </c>
      <c r="AM129" cm="1">
        <f t="array" ref="AM129">_xll.BDH(AM$2 &amp; " US Equity","PX_LAST",$B129,$B129)</f>
        <v>53.6</v>
      </c>
      <c r="AN129" cm="1">
        <f t="array" ref="AN129">_xll.BDH(AN$2 &amp; " US Equity","PX_LAST",$B129,$B129)</f>
        <v>24.605</v>
      </c>
      <c r="AO129" cm="1">
        <f t="array" ref="AO129">_xll.BDH(AO$2 &amp; " US Equity","PX_LAST",$B129,$B129)</f>
        <v>55.67</v>
      </c>
      <c r="AP129" cm="1">
        <f t="array" ref="AP129">_xll.BDH(AP$2 &amp; " US Equity","PX_LAST",$B129,$B129)</f>
        <v>4.87</v>
      </c>
      <c r="AQ129" cm="1">
        <f t="array" ref="AQ129">_xll.BDH(AQ$2 &amp; " US Equity","PX_LAST",$B129,$B129)</f>
        <v>98.07</v>
      </c>
      <c r="AR129" cm="1">
        <f t="array" ref="AR129">_xll.BDH(AR$2 &amp; " US Equity","PX_LAST",$B129,$B129)</f>
        <v>66.53</v>
      </c>
      <c r="AS129" cm="1">
        <f t="array" ref="AS129">_xll.BDH(AS$2 &amp; " US Equity","PX_LAST",$B129,$B129)</f>
        <v>91.46</v>
      </c>
      <c r="AT129" cm="1">
        <f t="array" ref="AT129">_xll.BDH(AT$2 &amp; " US Equity","PX_LAST",$B129,$B129)</f>
        <v>4.8600000000000003</v>
      </c>
      <c r="AU129" cm="1">
        <f t="array" ref="AU129">_xll.BDH(AU$2 &amp; " US Equity","PX_LAST",$B129,$B129)</f>
        <v>342.02</v>
      </c>
      <c r="AV129" cm="1">
        <f t="array" ref="AV129">_xll.BDH(AV$2 &amp; " US Equity","PX_LAST",$B129,$B129)</f>
        <v>257.31</v>
      </c>
      <c r="AW129" cm="1">
        <f t="array" ref="AW129">_xll.BDH(AW$2 &amp; " US Equity","PX_LAST",$B129,$B129)</f>
        <v>134.57</v>
      </c>
    </row>
    <row r="130" spans="2:49">
      <c r="B130" s="13">
        <v>46028</v>
      </c>
      <c r="C130" cm="1">
        <f t="array" ref="C130">_xll.BDH(C$2 &amp; " US Equity","PX_LAST",$B130,$B130)</f>
        <v>307.93</v>
      </c>
      <c r="D130" cm="1">
        <f t="array" ref="D130">_xll.BDH(D$2 &amp; " PE Equity","PX_LAST",$B130,$B130)</f>
        <v>6.15</v>
      </c>
      <c r="E130" cm="1">
        <f t="array" ref="E130">_xll.BDH(E$2 &amp; " PE Equity","PX_LAST",$B130,$B130)</f>
        <v>2.2400000000000002</v>
      </c>
      <c r="F130" cm="1">
        <f t="array" ref="F130">_xll.BDH(F$2 &amp; " PE Equity","PX_LAST",$B130,$B130)</f>
        <v>2.72</v>
      </c>
      <c r="G130" cm="1">
        <f t="array" ref="G130">_xll.BDH(G$2 &amp; " US Equity","PX_LAST",$B130,$B130)</f>
        <v>20.11</v>
      </c>
      <c r="H130" cm="1">
        <f t="array" ref="H130">_xll.BDH(H$2 &amp; " PE Equity","PX_LAST",$B130,$B130)</f>
        <v>3.9</v>
      </c>
      <c r="I130" cm="1">
        <f t="array" ref="I130">_xll.BDH(I$2 &amp; " US Equity","PX_LAST",$B130,$B130)</f>
        <v>51.51</v>
      </c>
      <c r="J130" cm="1">
        <f t="array" ref="J130">_xll.BDH(J$2 &amp; " US Equity","PX_LAST",$B130,$B130)</f>
        <v>7.45</v>
      </c>
      <c r="K130" cm="1">
        <f t="array" ref="K130">_xll.BDH(K$2 &amp; " US Equity","PX_LAST",$B130,$B130)</f>
        <v>54.55</v>
      </c>
      <c r="L130" cm="1">
        <f t="array" ref="L130">_xll.BDH(L$2 &amp; " US Equity","PX_LAST",$B130,$B130)</f>
        <v>57.28</v>
      </c>
      <c r="M130" cm="1">
        <f t="array" ref="M130">_xll.BDH(M$2 &amp; " US Equity","PX_LAST",$B130,$B130)</f>
        <v>295.70999999999998</v>
      </c>
      <c r="N130" cm="1">
        <f t="array" ref="N130">_xll.BDH(N$2 &amp; " US Equity","PX_LAST",$B130,$B130)</f>
        <v>37.520000000000003</v>
      </c>
      <c r="O130" cm="1">
        <f t="array" ref="O130">_xll.BDH(O$2 &amp; " US Equity","PX_LAST",$B130,$B130)</f>
        <v>33.11</v>
      </c>
      <c r="P130" cm="1">
        <f t="array" ref="P130">_xll.BDH(P$2 &amp; " US Equity","PX_LAST",$B130,$B130)</f>
        <v>17.2</v>
      </c>
      <c r="Q130" cm="1">
        <f t="array" ref="Q130">_xll.BDH(Q$2 &amp; " US Equity","PX_LAST",$B130,$B130)</f>
        <v>25.43</v>
      </c>
      <c r="R130" cm="1">
        <f t="array" ref="R130">_xll.BDH(R$2 &amp; " US Equity","PX_LAST",$B130,$B130)</f>
        <v>30.14</v>
      </c>
      <c r="S130" cm="1">
        <f t="array" ref="S130">_xll.BDH(S$2 &amp; " US Equity","PX_LAST",$B130,$B130)</f>
        <v>162.02000000000001</v>
      </c>
      <c r="T130" cm="1">
        <f t="array" ref="T130">_xll.BDH(T$2 &amp; " US Equity","PX_LAST",$B130,$B130)</f>
        <v>65.64</v>
      </c>
      <c r="U130" cm="1">
        <f t="array" ref="U130">_xll.BDH(U$2 &amp; " US Equity","PX_LAST",$B130,$B130)</f>
        <v>146.41999999999999</v>
      </c>
      <c r="V130" cm="1">
        <f t="array" ref="V130">_xll.BDH(V$2 &amp; " US Equity","PX_LAST",$B130,$B130)</f>
        <v>42.91</v>
      </c>
      <c r="W130" cm="1">
        <f t="array" ref="W130">_xll.BDH(W$2 &amp; " US Equity","PX_LAST",$B130,$B130)</f>
        <v>179.71</v>
      </c>
      <c r="X130" cm="1">
        <f t="array" ref="X130">_xll.BDH(X$2 &amp; " US Equity","PX_LAST",$B130,$B130)</f>
        <v>60.55</v>
      </c>
      <c r="Y130" cm="1">
        <f t="array" ref="Y130">_xll.BDH(Y$2 &amp; " US Equity","PX_LAST",$B130,$B130)</f>
        <v>45.6</v>
      </c>
      <c r="Z130" cm="1">
        <f t="array" ref="Z130">_xll.BDH(Z$2 &amp; " US Equity","PX_LAST",$B130,$B130)</f>
        <v>387.62</v>
      </c>
      <c r="AA130" cm="1">
        <f t="array" ref="AA130">_xll.BDH(AA$2 &amp; " PE Equity","PX_LAST",$B130,$B130)</f>
        <v>0.81</v>
      </c>
      <c r="AB130" cm="1">
        <f t="array" ref="AB130">_xll.BDH(AB$2 &amp; " PE Equity","PX_LAST",$B130,$B130)</f>
        <v>27</v>
      </c>
      <c r="AC130" cm="1">
        <f t="array" ref="AC130">_xll.BDH(AC$2 &amp; " US Equity","PX_LAST",$B130,$B130)</f>
        <v>74.42</v>
      </c>
      <c r="AD130" cm="1">
        <f t="array" ref="AD130">_xll.BDH(AD$2 &amp; " US Equity","PX_LAST",$B130,$B130)</f>
        <v>691.81</v>
      </c>
      <c r="AE130" t="str" cm="1">
        <f t="array" ref="AE130">_xll.BDH(AE$2 &amp; " PE Equity","PX_LAST",$B130,$B130)</f>
        <v>#N/A Connection</v>
      </c>
      <c r="AF130" cm="1">
        <f t="array" ref="AF130">_xll.BDH(AF$2 &amp; " US Equity","PX_LAST",$B130,$B130)</f>
        <v>58.793799999999997</v>
      </c>
      <c r="AG130" cm="1">
        <f t="array" ref="AG130">_xll.BDH(AG$2 &amp; " US Equity","PX_LAST",$B130,$B130)</f>
        <v>13.49</v>
      </c>
      <c r="AH130" cm="1">
        <f t="array" ref="AH130">_xll.BDH(AH$2 &amp; " US Equity","PX_LAST",$B130,$B130)</f>
        <v>623.41999999999996</v>
      </c>
      <c r="AI130" cm="1">
        <f t="array" ref="AI130">_xll.BDH(AI$2 &amp; " US Equity","PX_LAST",$B130,$B130)</f>
        <v>117.67</v>
      </c>
      <c r="AJ130" cm="1">
        <f t="array" ref="AJ130">_xll.BDH(AJ$2 &amp; " US Equity","PX_LAST",$B130,$B130)</f>
        <v>114.57</v>
      </c>
      <c r="AK130" cm="1">
        <f t="array" ref="AK130">_xll.BDH(AK$2 &amp; " US Equity","PX_LAST",$B130,$B130)</f>
        <v>121.07</v>
      </c>
      <c r="AL130" cm="1">
        <f t="array" ref="AL130">_xll.BDH(AL$2 &amp; " US Equity","PX_LAST",$B130,$B130)</f>
        <v>240.93</v>
      </c>
      <c r="AM130" cm="1">
        <f t="array" ref="AM130">_xll.BDH(AM$2 &amp; " US Equity","PX_LAST",$B130,$B130)</f>
        <v>55.01</v>
      </c>
      <c r="AN130" cm="1">
        <f t="array" ref="AN130">_xll.BDH(AN$2 &amp; " US Equity","PX_LAST",$B130,$B130)</f>
        <v>24.5825</v>
      </c>
      <c r="AO130" cm="1">
        <f t="array" ref="AO130">_xll.BDH(AO$2 &amp; " US Equity","PX_LAST",$B130,$B130)</f>
        <v>55.84</v>
      </c>
      <c r="AP130" cm="1">
        <f t="array" ref="AP130">_xll.BDH(AP$2 &amp; " US Equity","PX_LAST",$B130,$B130)</f>
        <v>5.0199999999999996</v>
      </c>
      <c r="AQ130" cm="1">
        <f t="array" ref="AQ130">_xll.BDH(AQ$2 &amp; " US Equity","PX_LAST",$B130,$B130)</f>
        <v>97.64</v>
      </c>
      <c r="AR130" cm="1">
        <f t="array" ref="AR130">_xll.BDH(AR$2 &amp; " US Equity","PX_LAST",$B130,$B130)</f>
        <v>67.14</v>
      </c>
      <c r="AS130" cm="1">
        <f t="array" ref="AS130">_xll.BDH(AS$2 &amp; " US Equity","PX_LAST",$B130,$B130)</f>
        <v>90.65</v>
      </c>
      <c r="AT130" cm="1">
        <f t="array" ref="AT130">_xll.BDH(AT$2 &amp; " US Equity","PX_LAST",$B130,$B130)</f>
        <v>4.78</v>
      </c>
      <c r="AU130" cm="1">
        <f t="array" ref="AU130">_xll.BDH(AU$2 &amp; " US Equity","PX_LAST",$B130,$B130)</f>
        <v>348.97</v>
      </c>
      <c r="AV130" cm="1">
        <f t="array" ref="AV130">_xll.BDH(AV$2 &amp; " US Equity","PX_LAST",$B130,$B130)</f>
        <v>254.35</v>
      </c>
      <c r="AW130" cm="1">
        <f t="array" ref="AW130">_xll.BDH(AW$2 &amp; " US Equity","PX_LAST",$B130,$B130)</f>
        <v>135.82</v>
      </c>
    </row>
    <row r="131" spans="2:49">
      <c r="B131" s="13">
        <v>46029</v>
      </c>
      <c r="C131" cm="1">
        <f t="array" ref="C131">_xll.BDH(C$2 &amp; " US Equity","PX_LAST",$B131,$B131)</f>
        <v>307.33</v>
      </c>
      <c r="D131" cm="1">
        <f t="array" ref="D131">_xll.BDH(D$2 &amp; " PE Equity","PX_LAST",$B131,$B131)</f>
        <v>6.06</v>
      </c>
      <c r="E131" cm="1">
        <f t="array" ref="E131">_xll.BDH(E$2 &amp; " PE Equity","PX_LAST",$B131,$B131)</f>
        <v>2.2200000000000002</v>
      </c>
      <c r="F131" cm="1">
        <f t="array" ref="F131">_xll.BDH(F$2 &amp; " PE Equity","PX_LAST",$B131,$B131)</f>
        <v>2.8</v>
      </c>
      <c r="G131" cm="1">
        <f t="array" ref="G131">_xll.BDH(G$2 &amp; " US Equity","PX_LAST",$B131,$B131)</f>
        <v>19.88</v>
      </c>
      <c r="H131" cm="1">
        <f t="array" ref="H131">_xll.BDH(H$2 &amp; " PE Equity","PX_LAST",$B131,$B131)</f>
        <v>3.83</v>
      </c>
      <c r="I131" cm="1">
        <f t="array" ref="I131">_xll.BDH(I$2 &amp; " US Equity","PX_LAST",$B131,$B131)</f>
        <v>50.47</v>
      </c>
      <c r="J131" cm="1">
        <f t="array" ref="J131">_xll.BDH(J$2 &amp; " US Equity","PX_LAST",$B131,$B131)</f>
        <v>7.3</v>
      </c>
      <c r="K131" cm="1">
        <f t="array" ref="K131">_xll.BDH(K$2 &amp; " US Equity","PX_LAST",$B131,$B131)</f>
        <v>54.47</v>
      </c>
      <c r="L131" cm="1">
        <f t="array" ref="L131">_xll.BDH(L$2 &amp; " US Equity","PX_LAST",$B131,$B131)</f>
        <v>56.85</v>
      </c>
      <c r="M131" cm="1">
        <f t="array" ref="M131">_xll.BDH(M$2 &amp; " US Equity","PX_LAST",$B131,$B131)</f>
        <v>293.7</v>
      </c>
      <c r="N131" cm="1">
        <f t="array" ref="N131">_xll.BDH(N$2 &amp; " US Equity","PX_LAST",$B131,$B131)</f>
        <v>36.9</v>
      </c>
      <c r="O131" cm="1">
        <f t="array" ref="O131">_xll.BDH(O$2 &amp; " US Equity","PX_LAST",$B131,$B131)</f>
        <v>32.700000000000003</v>
      </c>
      <c r="P131" cm="1">
        <f t="array" ref="P131">_xll.BDH(P$2 &amp; " US Equity","PX_LAST",$B131,$B131)</f>
        <v>16.98</v>
      </c>
      <c r="Q131" cm="1">
        <f t="array" ref="Q131">_xll.BDH(Q$2 &amp; " US Equity","PX_LAST",$B131,$B131)</f>
        <v>25.28</v>
      </c>
      <c r="R131" cm="1">
        <f t="array" ref="R131">_xll.BDH(R$2 &amp; " US Equity","PX_LAST",$B131,$B131)</f>
        <v>30.74</v>
      </c>
      <c r="S131" cm="1">
        <f t="array" ref="S131">_xll.BDH(S$2 &amp; " US Equity","PX_LAST",$B131,$B131)</f>
        <v>158.97</v>
      </c>
      <c r="T131" cm="1">
        <f t="array" ref="T131">_xll.BDH(T$2 &amp; " US Equity","PX_LAST",$B131,$B131)</f>
        <v>65.47</v>
      </c>
      <c r="U131" cm="1">
        <f t="array" ref="U131">_xll.BDH(U$2 &amp; " US Equity","PX_LAST",$B131,$B131)</f>
        <v>146.81</v>
      </c>
      <c r="V131" cm="1">
        <f t="array" ref="V131">_xll.BDH(V$2 &amp; " US Equity","PX_LAST",$B131,$B131)</f>
        <v>41.87</v>
      </c>
      <c r="W131" cm="1">
        <f t="array" ref="W131">_xll.BDH(W$2 &amp; " US Equity","PX_LAST",$B131,$B131)</f>
        <v>181.68</v>
      </c>
      <c r="X131" cm="1">
        <f t="array" ref="X131">_xll.BDH(X$2 &amp; " US Equity","PX_LAST",$B131,$B131)</f>
        <v>60.31</v>
      </c>
      <c r="Y131" cm="1">
        <f t="array" ref="Y131">_xll.BDH(Y$2 &amp; " US Equity","PX_LAST",$B131,$B131)</f>
        <v>45.4</v>
      </c>
      <c r="Z131" cm="1">
        <f t="array" ref="Z131">_xll.BDH(Z$2 &amp; " US Equity","PX_LAST",$B131,$B131)</f>
        <v>385.02</v>
      </c>
      <c r="AA131" cm="1">
        <f t="array" ref="AA131">_xll.BDH(AA$2 &amp; " PE Equity","PX_LAST",$B131,$B131)</f>
        <v>0.78</v>
      </c>
      <c r="AB131" cm="1">
        <f t="array" ref="AB131">_xll.BDH(AB$2 &amp; " PE Equity","PX_LAST",$B131,$B131)</f>
        <v>28.3</v>
      </c>
      <c r="AC131" cm="1">
        <f t="array" ref="AC131">_xll.BDH(AC$2 &amp; " US Equity","PX_LAST",$B131,$B131)</f>
        <v>73.5</v>
      </c>
      <c r="AD131" cm="1">
        <f t="array" ref="AD131">_xll.BDH(AD$2 &amp; " US Equity","PX_LAST",$B131,$B131)</f>
        <v>689.58</v>
      </c>
      <c r="AE131" t="str" cm="1">
        <f t="array" ref="AE131">_xll.BDH(AE$2 &amp; " PE Equity","PX_LAST",$B131,$B131)</f>
        <v>#N/A Connection</v>
      </c>
      <c r="AF131" cm="1">
        <f t="array" ref="AF131">_xll.BDH(AF$2 &amp; " US Equity","PX_LAST",$B131,$B131)</f>
        <v>59.6571</v>
      </c>
      <c r="AG131" cm="1">
        <f t="array" ref="AG131">_xll.BDH(AG$2 &amp; " US Equity","PX_LAST",$B131,$B131)</f>
        <v>13.3309</v>
      </c>
      <c r="AH131" cm="1">
        <f t="array" ref="AH131">_xll.BDH(AH$2 &amp; " US Equity","PX_LAST",$B131,$B131)</f>
        <v>624.02</v>
      </c>
      <c r="AI131" cm="1">
        <f t="array" ref="AI131">_xll.BDH(AI$2 &amp; " US Equity","PX_LAST",$B131,$B131)</f>
        <v>116.85</v>
      </c>
      <c r="AJ131" cm="1">
        <f t="array" ref="AJ131">_xll.BDH(AJ$2 &amp; " US Equity","PX_LAST",$B131,$B131)</f>
        <v>112.91</v>
      </c>
      <c r="AK131" cm="1">
        <f t="array" ref="AK131">_xll.BDH(AK$2 &amp; " US Equity","PX_LAST",$B131,$B131)</f>
        <v>120.9</v>
      </c>
      <c r="AL131" cm="1">
        <f t="array" ref="AL131">_xll.BDH(AL$2 &amp; " US Equity","PX_LAST",$B131,$B131)</f>
        <v>241.56</v>
      </c>
      <c r="AM131" cm="1">
        <f t="array" ref="AM131">_xll.BDH(AM$2 &amp; " US Equity","PX_LAST",$B131,$B131)</f>
        <v>55.17</v>
      </c>
      <c r="AN131" cm="1">
        <f t="array" ref="AN131">_xll.BDH(AN$2 &amp; " US Equity","PX_LAST",$B131,$B131)</f>
        <v>24.404299999999999</v>
      </c>
      <c r="AO131" cm="1">
        <f t="array" ref="AO131">_xll.BDH(AO$2 &amp; " US Equity","PX_LAST",$B131,$B131)</f>
        <v>55.42</v>
      </c>
      <c r="AP131" cm="1">
        <f t="array" ref="AP131">_xll.BDH(AP$2 &amp; " US Equity","PX_LAST",$B131,$B131)</f>
        <v>4.97</v>
      </c>
      <c r="AQ131" cm="1">
        <f t="array" ref="AQ131">_xll.BDH(AQ$2 &amp; " US Equity","PX_LAST",$B131,$B131)</f>
        <v>97.56</v>
      </c>
      <c r="AR131" cm="1">
        <f t="array" ref="AR131">_xll.BDH(AR$2 &amp; " US Equity","PX_LAST",$B131,$B131)</f>
        <v>67.84</v>
      </c>
      <c r="AS131" cm="1">
        <f t="array" ref="AS131">_xll.BDH(AS$2 &amp; " US Equity","PX_LAST",$B131,$B131)</f>
        <v>90.73</v>
      </c>
      <c r="AT131" cm="1">
        <f t="array" ref="AT131">_xll.BDH(AT$2 &amp; " US Equity","PX_LAST",$B131,$B131)</f>
        <v>4.79</v>
      </c>
      <c r="AU131" cm="1">
        <f t="array" ref="AU131">_xll.BDH(AU$2 &amp; " US Equity","PX_LAST",$B131,$B131)</f>
        <v>341.7</v>
      </c>
      <c r="AV131" cm="1">
        <f t="array" ref="AV131">_xll.BDH(AV$2 &amp; " US Equity","PX_LAST",$B131,$B131)</f>
        <v>256.67</v>
      </c>
      <c r="AW131" cm="1">
        <f t="array" ref="AW131">_xll.BDH(AW$2 &amp; " US Equity","PX_LAST",$B131,$B131)</f>
        <v>130.83000000000001</v>
      </c>
    </row>
    <row r="132" spans="2:49">
      <c r="B132" s="13">
        <v>46030</v>
      </c>
      <c r="C132" cm="1">
        <f t="array" ref="C132">_xll.BDH(C$2 &amp; " US Equity","PX_LAST",$B132,$B132)</f>
        <v>309.01</v>
      </c>
      <c r="D132" cm="1">
        <f t="array" ref="D132">_xll.BDH(D$2 &amp; " PE Equity","PX_LAST",$B132,$B132)</f>
        <v>5.95</v>
      </c>
      <c r="E132" cm="1">
        <f t="array" ref="E132">_xll.BDH(E$2 &amp; " PE Equity","PX_LAST",$B132,$B132)</f>
        <v>2.2200000000000002</v>
      </c>
      <c r="F132" cm="1">
        <f t="array" ref="F132">_xll.BDH(F$2 &amp; " PE Equity","PX_LAST",$B132,$B132)</f>
        <v>2.77</v>
      </c>
      <c r="G132" cm="1">
        <f t="array" ref="G132">_xll.BDH(G$2 &amp; " US Equity","PX_LAST",$B132,$B132)</f>
        <v>20.52</v>
      </c>
      <c r="H132" cm="1">
        <f t="array" ref="H132">_xll.BDH(H$2 &amp; " PE Equity","PX_LAST",$B132,$B132)</f>
        <v>3.83</v>
      </c>
      <c r="I132" cm="1">
        <f t="array" ref="I132">_xll.BDH(I$2 &amp; " US Equity","PX_LAST",$B132,$B132)</f>
        <v>50.4</v>
      </c>
      <c r="J132" cm="1">
        <f t="array" ref="J132">_xll.BDH(J$2 &amp; " US Equity","PX_LAST",$B132,$B132)</f>
        <v>7.41</v>
      </c>
      <c r="K132" cm="1">
        <f t="array" ref="K132">_xll.BDH(K$2 &amp; " US Equity","PX_LAST",$B132,$B132)</f>
        <v>54.8</v>
      </c>
      <c r="L132" cm="1">
        <f t="array" ref="L132">_xll.BDH(L$2 &amp; " US Equity","PX_LAST",$B132,$B132)</f>
        <v>56.87</v>
      </c>
      <c r="M132" cm="1">
        <f t="array" ref="M132">_xll.BDH(M$2 &amp; " US Equity","PX_LAST",$B132,$B132)</f>
        <v>303.83999999999997</v>
      </c>
      <c r="N132" cm="1">
        <f t="array" ref="N132">_xll.BDH(N$2 &amp; " US Equity","PX_LAST",$B132,$B132)</f>
        <v>37.18</v>
      </c>
      <c r="O132" cm="1">
        <f t="array" ref="O132">_xll.BDH(O$2 &amp; " US Equity","PX_LAST",$B132,$B132)</f>
        <v>32.880000000000003</v>
      </c>
      <c r="P132" cm="1">
        <f t="array" ref="P132">_xll.BDH(P$2 &amp; " US Equity","PX_LAST",$B132,$B132)</f>
        <v>17.12</v>
      </c>
      <c r="Q132" cm="1">
        <f t="array" ref="Q132">_xll.BDH(Q$2 &amp; " US Equity","PX_LAST",$B132,$B132)</f>
        <v>25.29</v>
      </c>
      <c r="R132" cm="1">
        <f t="array" ref="R132">_xll.BDH(R$2 &amp; " US Equity","PX_LAST",$B132,$B132)</f>
        <v>31.21</v>
      </c>
      <c r="S132" cm="1">
        <f t="array" ref="S132">_xll.BDH(S$2 &amp; " US Equity","PX_LAST",$B132,$B132)</f>
        <v>160.16999999999999</v>
      </c>
      <c r="T132" cm="1">
        <f t="array" ref="T132">_xll.BDH(T$2 &amp; " US Equity","PX_LAST",$B132,$B132)</f>
        <v>65.459999999999994</v>
      </c>
      <c r="U132" cm="1">
        <f t="array" ref="U132">_xll.BDH(U$2 &amp; " US Equity","PX_LAST",$B132,$B132)</f>
        <v>141.26</v>
      </c>
      <c r="V132" cm="1">
        <f t="array" ref="V132">_xll.BDH(V$2 &amp; " US Equity","PX_LAST",$B132,$B132)</f>
        <v>41.99</v>
      </c>
      <c r="W132" cm="1">
        <f t="array" ref="W132">_xll.BDH(W$2 &amp; " US Equity","PX_LAST",$B132,$B132)</f>
        <v>176.86</v>
      </c>
      <c r="X132" cm="1">
        <f t="array" ref="X132">_xll.BDH(X$2 &amp; " US Equity","PX_LAST",$B132,$B132)</f>
        <v>60.21</v>
      </c>
      <c r="Y132" cm="1">
        <f t="array" ref="Y132">_xll.BDH(Y$2 &amp; " US Equity","PX_LAST",$B132,$B132)</f>
        <v>45.46</v>
      </c>
      <c r="Z132" cm="1">
        <f t="array" ref="Z132">_xll.BDH(Z$2 &amp; " US Equity","PX_LAST",$B132,$B132)</f>
        <v>378.98</v>
      </c>
      <c r="AA132" cm="1">
        <f t="array" ref="AA132">_xll.BDH(AA$2 &amp; " PE Equity","PX_LAST",$B132,$B132)</f>
        <v>0.74</v>
      </c>
      <c r="AB132" cm="1">
        <f t="array" ref="AB132">_xll.BDH(AB$2 &amp; " PE Equity","PX_LAST",$B132,$B132)</f>
        <v>29</v>
      </c>
      <c r="AC132" cm="1">
        <f t="array" ref="AC132">_xll.BDH(AC$2 &amp; " US Equity","PX_LAST",$B132,$B132)</f>
        <v>73.989999999999995</v>
      </c>
      <c r="AD132" cm="1">
        <f t="array" ref="AD132">_xll.BDH(AD$2 &amp; " US Equity","PX_LAST",$B132,$B132)</f>
        <v>689.51</v>
      </c>
      <c r="AE132" t="str" cm="1">
        <f t="array" ref="AE132">_xll.BDH(AE$2 &amp; " PE Equity","PX_LAST",$B132,$B132)</f>
        <v>#N/A Connection</v>
      </c>
      <c r="AF132" cm="1">
        <f t="array" ref="AF132">_xll.BDH(AF$2 &amp; " US Equity","PX_LAST",$B132,$B132)</f>
        <v>59.152500000000003</v>
      </c>
      <c r="AG132" cm="1">
        <f t="array" ref="AG132">_xll.BDH(AG$2 &amp; " US Equity","PX_LAST",$B132,$B132)</f>
        <v>13.42</v>
      </c>
      <c r="AH132" cm="1">
        <f t="array" ref="AH132">_xll.BDH(AH$2 &amp; " US Equity","PX_LAST",$B132,$B132)</f>
        <v>620.47</v>
      </c>
      <c r="AI132" cm="1">
        <f t="array" ref="AI132">_xll.BDH(AI$2 &amp; " US Equity","PX_LAST",$B132,$B132)</f>
        <v>118.72</v>
      </c>
      <c r="AJ132" cm="1">
        <f t="array" ref="AJ132">_xll.BDH(AJ$2 &amp; " US Equity","PX_LAST",$B132,$B132)</f>
        <v>114.17</v>
      </c>
      <c r="AK132" cm="1">
        <f t="array" ref="AK132">_xll.BDH(AK$2 &amp; " US Equity","PX_LAST",$B132,$B132)</f>
        <v>122.92</v>
      </c>
      <c r="AL132" cm="1">
        <f t="array" ref="AL132">_xll.BDH(AL$2 &amp; " US Equity","PX_LAST",$B132,$B132)</f>
        <v>246.29</v>
      </c>
      <c r="AM132" cm="1">
        <f t="array" ref="AM132">_xll.BDH(AM$2 &amp; " US Equity","PX_LAST",$B132,$B132)</f>
        <v>54.19</v>
      </c>
      <c r="AN132" cm="1">
        <f t="array" ref="AN132">_xll.BDH(AN$2 &amp; " US Equity","PX_LAST",$B132,$B132)</f>
        <v>24.54</v>
      </c>
      <c r="AO132" cm="1">
        <f t="array" ref="AO132">_xll.BDH(AO$2 &amp; " US Equity","PX_LAST",$B132,$B132)</f>
        <v>55.79</v>
      </c>
      <c r="AP132" cm="1">
        <f t="array" ref="AP132">_xll.BDH(AP$2 &amp; " US Equity","PX_LAST",$B132,$B132)</f>
        <v>4.99</v>
      </c>
      <c r="AQ132" cm="1">
        <f t="array" ref="AQ132">_xll.BDH(AQ$2 &amp; " US Equity","PX_LAST",$B132,$B132)</f>
        <v>98.87</v>
      </c>
      <c r="AR132" cm="1">
        <f t="array" ref="AR132">_xll.BDH(AR$2 &amp; " US Equity","PX_LAST",$B132,$B132)</f>
        <v>70.150000000000006</v>
      </c>
      <c r="AS132" cm="1">
        <f t="array" ref="AS132">_xll.BDH(AS$2 &amp; " US Equity","PX_LAST",$B132,$B132)</f>
        <v>90.53</v>
      </c>
      <c r="AT132" cm="1">
        <f t="array" ref="AT132">_xll.BDH(AT$2 &amp; " US Equity","PX_LAST",$B132,$B132)</f>
        <v>4.7300000000000004</v>
      </c>
      <c r="AU132" cm="1">
        <f t="array" ref="AU132">_xll.BDH(AU$2 &amp; " US Equity","PX_LAST",$B132,$B132)</f>
        <v>346.85</v>
      </c>
      <c r="AV132" cm="1">
        <f t="array" ref="AV132">_xll.BDH(AV$2 &amp; " US Equity","PX_LAST",$B132,$B132)</f>
        <v>252.38</v>
      </c>
      <c r="AW132" cm="1">
        <f t="array" ref="AW132">_xll.BDH(AW$2 &amp; " US Equity","PX_LAST",$B132,$B132)</f>
        <v>133.63999999999999</v>
      </c>
    </row>
    <row r="133" spans="2:49">
      <c r="B133" s="13">
        <v>46031</v>
      </c>
      <c r="C133" cm="1">
        <f t="array" ref="C133">_xll.BDH(C$2 &amp; " US Equity","PX_LAST",$B133,$B133)</f>
        <v>312.36</v>
      </c>
      <c r="D133" cm="1">
        <f t="array" ref="D133">_xll.BDH(D$2 &amp; " PE Equity","PX_LAST",$B133,$B133)</f>
        <v>6</v>
      </c>
      <c r="E133" cm="1">
        <f t="array" ref="E133">_xll.BDH(E$2 &amp; " PE Equity","PX_LAST",$B133,$B133)</f>
        <v>2.21</v>
      </c>
      <c r="F133" cm="1">
        <f t="array" ref="F133">_xll.BDH(F$2 &amp; " PE Equity","PX_LAST",$B133,$B133)</f>
        <v>2.77</v>
      </c>
      <c r="G133" cm="1">
        <f t="array" ref="G133">_xll.BDH(G$2 &amp; " US Equity","PX_LAST",$B133,$B133)</f>
        <v>20.02</v>
      </c>
      <c r="H133" cm="1">
        <f t="array" ref="H133">_xll.BDH(H$2 &amp; " PE Equity","PX_LAST",$B133,$B133)</f>
        <v>3.86</v>
      </c>
      <c r="I133" cm="1">
        <f t="array" ref="I133">_xll.BDH(I$2 &amp; " US Equity","PX_LAST",$B133,$B133)</f>
        <v>50.3</v>
      </c>
      <c r="J133" cm="1">
        <f t="array" ref="J133">_xll.BDH(J$2 &amp; " US Equity","PX_LAST",$B133,$B133)</f>
        <v>7.47</v>
      </c>
      <c r="K133" cm="1">
        <f t="array" ref="K133">_xll.BDH(K$2 &amp; " US Equity","PX_LAST",$B133,$B133)</f>
        <v>54.5</v>
      </c>
      <c r="L133" cm="1">
        <f t="array" ref="L133">_xll.BDH(L$2 &amp; " US Equity","PX_LAST",$B133,$B133)</f>
        <v>57.14</v>
      </c>
      <c r="M133" cm="1">
        <f t="array" ref="M133">_xll.BDH(M$2 &amp; " US Equity","PX_LAST",$B133,$B133)</f>
        <v>302.14999999999998</v>
      </c>
      <c r="N133" cm="1">
        <f t="array" ref="N133">_xll.BDH(N$2 &amp; " US Equity","PX_LAST",$B133,$B133)</f>
        <v>37.06</v>
      </c>
      <c r="O133" cm="1">
        <f t="array" ref="O133">_xll.BDH(O$2 &amp; " US Equity","PX_LAST",$B133,$B133)</f>
        <v>33.06</v>
      </c>
      <c r="P133" cm="1">
        <f t="array" ref="P133">_xll.BDH(P$2 &amp; " US Equity","PX_LAST",$B133,$B133)</f>
        <v>17.32</v>
      </c>
      <c r="Q133" cm="1">
        <f t="array" ref="Q133">_xll.BDH(Q$2 &amp; " US Equity","PX_LAST",$B133,$B133)</f>
        <v>25.48</v>
      </c>
      <c r="R133" cm="1">
        <f t="array" ref="R133">_xll.BDH(R$2 &amp; " US Equity","PX_LAST",$B133,$B133)</f>
        <v>32.200000000000003</v>
      </c>
      <c r="S133" cm="1">
        <f t="array" ref="S133">_xll.BDH(S$2 &amp; " US Equity","PX_LAST",$B133,$B133)</f>
        <v>161.93</v>
      </c>
      <c r="T133" cm="1">
        <f t="array" ref="T133">_xll.BDH(T$2 &amp; " US Equity","PX_LAST",$B133,$B133)</f>
        <v>65.930000000000007</v>
      </c>
      <c r="U133" cm="1">
        <f t="array" ref="U133">_xll.BDH(U$2 &amp; " US Equity","PX_LAST",$B133,$B133)</f>
        <v>143.54</v>
      </c>
      <c r="V133" cm="1">
        <f t="array" ref="V133">_xll.BDH(V$2 &amp; " US Equity","PX_LAST",$B133,$B133)</f>
        <v>42.51</v>
      </c>
      <c r="W133" cm="1">
        <f t="array" ref="W133">_xll.BDH(W$2 &amp; " US Equity","PX_LAST",$B133,$B133)</f>
        <v>177.49</v>
      </c>
      <c r="X133" cm="1">
        <f t="array" ref="X133">_xll.BDH(X$2 &amp; " US Equity","PX_LAST",$B133,$B133)</f>
        <v>60.58</v>
      </c>
      <c r="Y133" cm="1">
        <f t="array" ref="Y133">_xll.BDH(Y$2 &amp; " US Equity","PX_LAST",$B133,$B133)</f>
        <v>45.88</v>
      </c>
      <c r="Z133" cm="1">
        <f t="array" ref="Z133">_xll.BDH(Z$2 &amp; " US Equity","PX_LAST",$B133,$B133)</f>
        <v>389.22</v>
      </c>
      <c r="AA133" cm="1">
        <f t="array" ref="AA133">_xll.BDH(AA$2 &amp; " PE Equity","PX_LAST",$B133,$B133)</f>
        <v>0.76</v>
      </c>
      <c r="AB133" cm="1">
        <f t="array" ref="AB133">_xll.BDH(AB$2 &amp; " PE Equity","PX_LAST",$B133,$B133)</f>
        <v>29.45</v>
      </c>
      <c r="AC133" cm="1">
        <f t="array" ref="AC133">_xll.BDH(AC$2 &amp; " US Equity","PX_LAST",$B133,$B133)</f>
        <v>74.44</v>
      </c>
      <c r="AD133" cm="1">
        <f t="array" ref="AD133">_xll.BDH(AD$2 &amp; " US Equity","PX_LAST",$B133,$B133)</f>
        <v>694.07</v>
      </c>
      <c r="AE133" t="str" cm="1">
        <f t="array" ref="AE133">_xll.BDH(AE$2 &amp; " PE Equity","PX_LAST",$B133,$B133)</f>
        <v>#N/A Connection</v>
      </c>
      <c r="AF133" cm="1">
        <f t="array" ref="AF133">_xll.BDH(AF$2 &amp; " US Equity","PX_LAST",$B133,$B133)</f>
        <v>59.240099999999998</v>
      </c>
      <c r="AG133" cm="1">
        <f t="array" ref="AG133">_xll.BDH(AG$2 &amp; " US Equity","PX_LAST",$B133,$B133)</f>
        <v>13.510300000000001</v>
      </c>
      <c r="AH133" cm="1">
        <f t="array" ref="AH133">_xll.BDH(AH$2 &amp; " US Equity","PX_LAST",$B133,$B133)</f>
        <v>626.65</v>
      </c>
      <c r="AI133" cm="1">
        <f t="array" ref="AI133">_xll.BDH(AI$2 &amp; " US Equity","PX_LAST",$B133,$B133)</f>
        <v>118.08</v>
      </c>
      <c r="AJ133" cm="1">
        <f t="array" ref="AJ133">_xll.BDH(AJ$2 &amp; " US Equity","PX_LAST",$B133,$B133)</f>
        <v>115.88</v>
      </c>
      <c r="AK133" cm="1">
        <f t="array" ref="AK133">_xll.BDH(AK$2 &amp; " US Equity","PX_LAST",$B133,$B133)</f>
        <v>124.41</v>
      </c>
      <c r="AL133" cm="1">
        <f t="array" ref="AL133">_xll.BDH(AL$2 &amp; " US Equity","PX_LAST",$B133,$B133)</f>
        <v>247.38</v>
      </c>
      <c r="AM133" cm="1">
        <f t="array" ref="AM133">_xll.BDH(AM$2 &amp; " US Equity","PX_LAST",$B133,$B133)</f>
        <v>55.76</v>
      </c>
      <c r="AN133" cm="1">
        <f t="array" ref="AN133">_xll.BDH(AN$2 &amp; " US Equity","PX_LAST",$B133,$B133)</f>
        <v>24.6478</v>
      </c>
      <c r="AO133" cm="1">
        <f t="array" ref="AO133">_xll.BDH(AO$2 &amp; " US Equity","PX_LAST",$B133,$B133)</f>
        <v>56.35</v>
      </c>
      <c r="AP133" cm="1">
        <f t="array" ref="AP133">_xll.BDH(AP$2 &amp; " US Equity","PX_LAST",$B133,$B133)</f>
        <v>4.88</v>
      </c>
      <c r="AQ133" cm="1">
        <f t="array" ref="AQ133">_xll.BDH(AQ$2 &amp; " US Equity","PX_LAST",$B133,$B133)</f>
        <v>97.92</v>
      </c>
      <c r="AR133" cm="1">
        <f t="array" ref="AR133">_xll.BDH(AR$2 &amp; " US Equity","PX_LAST",$B133,$B133)</f>
        <v>70.739999999999995</v>
      </c>
      <c r="AS133" cm="1">
        <f t="array" ref="AS133">_xll.BDH(AS$2 &amp; " US Equity","PX_LAST",$B133,$B133)</f>
        <v>89.46</v>
      </c>
      <c r="AT133" cm="1">
        <f t="array" ref="AT133">_xll.BDH(AT$2 &amp; " US Equity","PX_LAST",$B133,$B133)</f>
        <v>4.6399999999999997</v>
      </c>
      <c r="AU133" cm="1">
        <f t="array" ref="AU133">_xll.BDH(AU$2 &amp; " US Equity","PX_LAST",$B133,$B133)</f>
        <v>343.98</v>
      </c>
      <c r="AV133" cm="1">
        <f t="array" ref="AV133">_xll.BDH(AV$2 &amp; " US Equity","PX_LAST",$B133,$B133)</f>
        <v>250.71</v>
      </c>
      <c r="AW133" cm="1">
        <f t="array" ref="AW133">_xll.BDH(AW$2 &amp; " US Equity","PX_LAST",$B133,$B133)</f>
        <v>134.65</v>
      </c>
    </row>
    <row r="134" spans="2:49">
      <c r="B134" s="13">
        <v>46032</v>
      </c>
      <c r="C134" t="str" cm="1">
        <f t="array" ref="C134">_xll.BDH(C$2 &amp; " US Equity","PX_LAST",$B134,$B134)</f>
        <v>#N/A N/A</v>
      </c>
      <c r="D134" t="str" cm="1">
        <f t="array" ref="D134">_xll.BDH(D$2 &amp; " PE Equity","PX_LAST",$B134,$B134)</f>
        <v>#N/A N/A</v>
      </c>
      <c r="E134" t="str" cm="1">
        <f t="array" ref="E134">_xll.BDH(E$2 &amp; " PE Equity","PX_LAST",$B134,$B134)</f>
        <v>#N/A N/A</v>
      </c>
      <c r="F134" t="str" cm="1">
        <f t="array" ref="F134">_xll.BDH(F$2 &amp; " PE Equity","PX_LAST",$B134,$B134)</f>
        <v>#N/A N/A</v>
      </c>
      <c r="G134" t="str" cm="1">
        <f t="array" ref="G134">_xll.BDH(G$2 &amp; " US Equity","PX_LAST",$B134,$B134)</f>
        <v>#N/A N/A</v>
      </c>
      <c r="H134" t="str" cm="1">
        <f t="array" ref="H134">_xll.BDH(H$2 &amp; " PE Equity","PX_LAST",$B134,$B134)</f>
        <v>#N/A N/A</v>
      </c>
      <c r="I134" t="str" cm="1">
        <f t="array" ref="I134">_xll.BDH(I$2 &amp; " US Equity","PX_LAST",$B134,$B134)</f>
        <v>#N/A N/A</v>
      </c>
      <c r="J134" t="str" cm="1">
        <f t="array" ref="J134">_xll.BDH(J$2 &amp; " US Equity","PX_LAST",$B134,$B134)</f>
        <v>#N/A N/A</v>
      </c>
      <c r="K134" t="str" cm="1">
        <f t="array" ref="K134">_xll.BDH(K$2 &amp; " US Equity","PX_LAST",$B134,$B134)</f>
        <v>#N/A N/A</v>
      </c>
      <c r="L134" t="str" cm="1">
        <f t="array" ref="L134">_xll.BDH(L$2 &amp; " US Equity","PX_LAST",$B134,$B134)</f>
        <v>#N/A N/A</v>
      </c>
      <c r="M134" t="str" cm="1">
        <f t="array" ref="M134">_xll.BDH(M$2 &amp; " US Equity","PX_LAST",$B134,$B134)</f>
        <v>#N/A N/A</v>
      </c>
      <c r="N134" t="str" cm="1">
        <f t="array" ref="N134">_xll.BDH(N$2 &amp; " US Equity","PX_LAST",$B134,$B134)</f>
        <v>#N/A N/A</v>
      </c>
      <c r="O134" t="str" cm="1">
        <f t="array" ref="O134">_xll.BDH(O$2 &amp; " US Equity","PX_LAST",$B134,$B134)</f>
        <v>#N/A N/A</v>
      </c>
      <c r="P134" t="str" cm="1">
        <f t="array" ref="P134">_xll.BDH(P$2 &amp; " US Equity","PX_LAST",$B134,$B134)</f>
        <v>#N/A N/A</v>
      </c>
      <c r="Q134" t="str" cm="1">
        <f t="array" ref="Q134">_xll.BDH(Q$2 &amp; " US Equity","PX_LAST",$B134,$B134)</f>
        <v>#N/A N/A</v>
      </c>
      <c r="R134" t="str" cm="1">
        <f t="array" ref="R134">_xll.BDH(R$2 &amp; " US Equity","PX_LAST",$B134,$B134)</f>
        <v>#N/A N/A</v>
      </c>
      <c r="S134" t="str" cm="1">
        <f t="array" ref="S134">_xll.BDH(S$2 &amp; " US Equity","PX_LAST",$B134,$B134)</f>
        <v>#N/A N/A</v>
      </c>
      <c r="T134" t="str" cm="1">
        <f t="array" ref="T134">_xll.BDH(T$2 &amp; " US Equity","PX_LAST",$B134,$B134)</f>
        <v>#N/A N/A</v>
      </c>
      <c r="U134" t="str" cm="1">
        <f t="array" ref="U134">_xll.BDH(U$2 &amp; " US Equity","PX_LAST",$B134,$B134)</f>
        <v>#N/A N/A</v>
      </c>
      <c r="V134" t="str" cm="1">
        <f t="array" ref="V134">_xll.BDH(V$2 &amp; " US Equity","PX_LAST",$B134,$B134)</f>
        <v>#N/A N/A</v>
      </c>
      <c r="W134" t="str" cm="1">
        <f t="array" ref="W134">_xll.BDH(W$2 &amp; " US Equity","PX_LAST",$B134,$B134)</f>
        <v>#N/A N/A</v>
      </c>
      <c r="X134" t="str" cm="1">
        <f t="array" ref="X134">_xll.BDH(X$2 &amp; " US Equity","PX_LAST",$B134,$B134)</f>
        <v>#N/A N/A</v>
      </c>
      <c r="Y134" t="str" cm="1">
        <f t="array" ref="Y134">_xll.BDH(Y$2 &amp; " US Equity","PX_LAST",$B134,$B134)</f>
        <v>#N/A N/A</v>
      </c>
      <c r="Z134" t="str" cm="1">
        <f t="array" ref="Z134">_xll.BDH(Z$2 &amp; " US Equity","PX_LAST",$B134,$B134)</f>
        <v>#N/A N/A</v>
      </c>
      <c r="AA134" t="str" cm="1">
        <f t="array" ref="AA134">_xll.BDH(AA$2 &amp; " PE Equity","PX_LAST",$B134,$B134)</f>
        <v>#N/A N/A</v>
      </c>
      <c r="AB134" t="str" cm="1">
        <f t="array" ref="AB134">_xll.BDH(AB$2 &amp; " PE Equity","PX_LAST",$B134,$B134)</f>
        <v>#N/A N/A</v>
      </c>
      <c r="AC134" t="str" cm="1">
        <f t="array" ref="AC134">_xll.BDH(AC$2 &amp; " US Equity","PX_LAST",$B134,$B134)</f>
        <v>#N/A N/A</v>
      </c>
      <c r="AD134" t="str" cm="1">
        <f t="array" ref="AD134">_xll.BDH(AD$2 &amp; " US Equity","PX_LAST",$B134,$B134)</f>
        <v>#N/A N/A</v>
      </c>
      <c r="AE134" t="str" cm="1">
        <f t="array" ref="AE134">_xll.BDH(AE$2 &amp; " PE Equity","PX_LAST",$B134,$B134)</f>
        <v>#N/A Connection</v>
      </c>
      <c r="AF134" t="str" cm="1">
        <f t="array" ref="AF134">_xll.BDH(AF$2 &amp; " US Equity","PX_LAST",$B134,$B134)</f>
        <v>#N/A N/A</v>
      </c>
      <c r="AG134" t="str" cm="1">
        <f t="array" ref="AG134">_xll.BDH(AG$2 &amp; " US Equity","PX_LAST",$B134,$B134)</f>
        <v>#N/A N/A</v>
      </c>
      <c r="AH134" t="str" cm="1">
        <f t="array" ref="AH134">_xll.BDH(AH$2 &amp; " US Equity","PX_LAST",$B134,$B134)</f>
        <v>#N/A N/A</v>
      </c>
      <c r="AI134" t="str" cm="1">
        <f t="array" ref="AI134">_xll.BDH(AI$2 &amp; " US Equity","PX_LAST",$B134,$B134)</f>
        <v>#N/A N/A</v>
      </c>
      <c r="AJ134" t="str" cm="1">
        <f t="array" ref="AJ134">_xll.BDH(AJ$2 &amp; " US Equity","PX_LAST",$B134,$B134)</f>
        <v>#N/A N/A</v>
      </c>
      <c r="AK134" t="str" cm="1">
        <f t="array" ref="AK134">_xll.BDH(AK$2 &amp; " US Equity","PX_LAST",$B134,$B134)</f>
        <v>#N/A N/A</v>
      </c>
      <c r="AL134" t="str" cm="1">
        <f t="array" ref="AL134">_xll.BDH(AL$2 &amp; " US Equity","PX_LAST",$B134,$B134)</f>
        <v>#N/A N/A</v>
      </c>
      <c r="AM134" t="str" cm="1">
        <f t="array" ref="AM134">_xll.BDH(AM$2 &amp; " US Equity","PX_LAST",$B134,$B134)</f>
        <v>#N/A N/A</v>
      </c>
      <c r="AN134" t="str" cm="1">
        <f t="array" ref="AN134">_xll.BDH(AN$2 &amp; " US Equity","PX_LAST",$B134,$B134)</f>
        <v>#N/A N/A</v>
      </c>
      <c r="AO134" t="str" cm="1">
        <f t="array" ref="AO134">_xll.BDH(AO$2 &amp; " US Equity","PX_LAST",$B134,$B134)</f>
        <v>#N/A N/A</v>
      </c>
      <c r="AP134" t="str" cm="1">
        <f t="array" ref="AP134">_xll.BDH(AP$2 &amp; " US Equity","PX_LAST",$B134,$B134)</f>
        <v>#N/A N/A</v>
      </c>
      <c r="AQ134" t="str" cm="1">
        <f t="array" ref="AQ134">_xll.BDH(AQ$2 &amp; " US Equity","PX_LAST",$B134,$B134)</f>
        <v>#N/A N/A</v>
      </c>
      <c r="AR134" t="str" cm="1">
        <f t="array" ref="AR134">_xll.BDH(AR$2 &amp; " US Equity","PX_LAST",$B134,$B134)</f>
        <v>#N/A N/A</v>
      </c>
      <c r="AS134" t="str" cm="1">
        <f t="array" ref="AS134">_xll.BDH(AS$2 &amp; " US Equity","PX_LAST",$B134,$B134)</f>
        <v>#N/A N/A</v>
      </c>
      <c r="AT134" t="str" cm="1">
        <f t="array" ref="AT134">_xll.BDH(AT$2 &amp; " US Equity","PX_LAST",$B134,$B134)</f>
        <v>#N/A N/A</v>
      </c>
      <c r="AU134" t="str" cm="1">
        <f t="array" ref="AU134">_xll.BDH(AU$2 &amp; " US Equity","PX_LAST",$B134,$B134)</f>
        <v>#N/A N/A</v>
      </c>
      <c r="AV134" t="str" cm="1">
        <f t="array" ref="AV134">_xll.BDH(AV$2 &amp; " US Equity","PX_LAST",$B134,$B134)</f>
        <v>#N/A N/A</v>
      </c>
      <c r="AW134" t="str" cm="1">
        <f t="array" ref="AW134">_xll.BDH(AW$2 &amp; " US Equity","PX_LAST",$B134,$B134)</f>
        <v>#N/A N/A</v>
      </c>
    </row>
    <row r="135" spans="2:49">
      <c r="B135" s="13">
        <v>46033</v>
      </c>
      <c r="C135" t="str" cm="1">
        <f t="array" ref="C135">_xll.BDH(C$2 &amp; " US Equity","PX_LAST",$B135,$B135)</f>
        <v>#N/A N/A</v>
      </c>
      <c r="D135" t="str" cm="1">
        <f t="array" ref="D135">_xll.BDH(D$2 &amp; " PE Equity","PX_LAST",$B135,$B135)</f>
        <v>#N/A N/A</v>
      </c>
      <c r="E135" t="str" cm="1">
        <f t="array" ref="E135">_xll.BDH(E$2 &amp; " PE Equity","PX_LAST",$B135,$B135)</f>
        <v>#N/A N/A</v>
      </c>
      <c r="F135" t="str" cm="1">
        <f t="array" ref="F135">_xll.BDH(F$2 &amp; " PE Equity","PX_LAST",$B135,$B135)</f>
        <v>#N/A N/A</v>
      </c>
      <c r="G135" t="str" cm="1">
        <f t="array" ref="G135">_xll.BDH(G$2 &amp; " US Equity","PX_LAST",$B135,$B135)</f>
        <v>#N/A N/A</v>
      </c>
      <c r="H135" t="str" cm="1">
        <f t="array" ref="H135">_xll.BDH(H$2 &amp; " PE Equity","PX_LAST",$B135,$B135)</f>
        <v>#N/A N/A</v>
      </c>
      <c r="I135" t="str" cm="1">
        <f t="array" ref="I135">_xll.BDH(I$2 &amp; " US Equity","PX_LAST",$B135,$B135)</f>
        <v>#N/A N/A</v>
      </c>
      <c r="J135" t="str" cm="1">
        <f t="array" ref="J135">_xll.BDH(J$2 &amp; " US Equity","PX_LAST",$B135,$B135)</f>
        <v>#N/A N/A</v>
      </c>
      <c r="K135" t="str" cm="1">
        <f t="array" ref="K135">_xll.BDH(K$2 &amp; " US Equity","PX_LAST",$B135,$B135)</f>
        <v>#N/A N/A</v>
      </c>
      <c r="L135" t="str" cm="1">
        <f t="array" ref="L135">_xll.BDH(L$2 &amp; " US Equity","PX_LAST",$B135,$B135)</f>
        <v>#N/A N/A</v>
      </c>
      <c r="M135" t="str" cm="1">
        <f t="array" ref="M135">_xll.BDH(M$2 &amp; " US Equity","PX_LAST",$B135,$B135)</f>
        <v>#N/A N/A</v>
      </c>
      <c r="N135" t="str" cm="1">
        <f t="array" ref="N135">_xll.BDH(N$2 &amp; " US Equity","PX_LAST",$B135,$B135)</f>
        <v>#N/A N/A</v>
      </c>
      <c r="O135" t="str" cm="1">
        <f t="array" ref="O135">_xll.BDH(O$2 &amp; " US Equity","PX_LAST",$B135,$B135)</f>
        <v>#N/A N/A</v>
      </c>
      <c r="P135" t="str" cm="1">
        <f t="array" ref="P135">_xll.BDH(P$2 &amp; " US Equity","PX_LAST",$B135,$B135)</f>
        <v>#N/A N/A</v>
      </c>
      <c r="Q135" t="str" cm="1">
        <f t="array" ref="Q135">_xll.BDH(Q$2 &amp; " US Equity","PX_LAST",$B135,$B135)</f>
        <v>#N/A N/A</v>
      </c>
      <c r="R135" t="str" cm="1">
        <f t="array" ref="R135">_xll.BDH(R$2 &amp; " US Equity","PX_LAST",$B135,$B135)</f>
        <v>#N/A N/A</v>
      </c>
      <c r="S135" t="str" cm="1">
        <f t="array" ref="S135">_xll.BDH(S$2 &amp; " US Equity","PX_LAST",$B135,$B135)</f>
        <v>#N/A N/A</v>
      </c>
      <c r="T135" t="str" cm="1">
        <f t="array" ref="T135">_xll.BDH(T$2 &amp; " US Equity","PX_LAST",$B135,$B135)</f>
        <v>#N/A N/A</v>
      </c>
      <c r="U135" t="str" cm="1">
        <f t="array" ref="U135">_xll.BDH(U$2 &amp; " US Equity","PX_LAST",$B135,$B135)</f>
        <v>#N/A N/A</v>
      </c>
      <c r="V135" t="str" cm="1">
        <f t="array" ref="V135">_xll.BDH(V$2 &amp; " US Equity","PX_LAST",$B135,$B135)</f>
        <v>#N/A N/A</v>
      </c>
      <c r="W135" t="str" cm="1">
        <f t="array" ref="W135">_xll.BDH(W$2 &amp; " US Equity","PX_LAST",$B135,$B135)</f>
        <v>#N/A N/A</v>
      </c>
      <c r="X135" t="str" cm="1">
        <f t="array" ref="X135">_xll.BDH(X$2 &amp; " US Equity","PX_LAST",$B135,$B135)</f>
        <v>#N/A N/A</v>
      </c>
      <c r="Y135" t="str" cm="1">
        <f t="array" ref="Y135">_xll.BDH(Y$2 &amp; " US Equity","PX_LAST",$B135,$B135)</f>
        <v>#N/A N/A</v>
      </c>
      <c r="Z135" t="str" cm="1">
        <f t="array" ref="Z135">_xll.BDH(Z$2 &amp; " US Equity","PX_LAST",$B135,$B135)</f>
        <v>#N/A N/A</v>
      </c>
      <c r="AA135" t="str" cm="1">
        <f t="array" ref="AA135">_xll.BDH(AA$2 &amp; " PE Equity","PX_LAST",$B135,$B135)</f>
        <v>#N/A N/A</v>
      </c>
      <c r="AB135" t="str" cm="1">
        <f t="array" ref="AB135">_xll.BDH(AB$2 &amp; " PE Equity","PX_LAST",$B135,$B135)</f>
        <v>#N/A N/A</v>
      </c>
      <c r="AC135" t="str" cm="1">
        <f t="array" ref="AC135">_xll.BDH(AC$2 &amp; " US Equity","PX_LAST",$B135,$B135)</f>
        <v>#N/A N/A</v>
      </c>
      <c r="AD135" t="str" cm="1">
        <f t="array" ref="AD135">_xll.BDH(AD$2 &amp; " US Equity","PX_LAST",$B135,$B135)</f>
        <v>#N/A N/A</v>
      </c>
      <c r="AE135" t="str" cm="1">
        <f t="array" ref="AE135">_xll.BDH(AE$2 &amp; " PE Equity","PX_LAST",$B135,$B135)</f>
        <v>#N/A Connection</v>
      </c>
      <c r="AF135" t="str" cm="1">
        <f t="array" ref="AF135">_xll.BDH(AF$2 &amp; " US Equity","PX_LAST",$B135,$B135)</f>
        <v>#N/A N/A</v>
      </c>
      <c r="AG135" t="str" cm="1">
        <f t="array" ref="AG135">_xll.BDH(AG$2 &amp; " US Equity","PX_LAST",$B135,$B135)</f>
        <v>#N/A N/A</v>
      </c>
      <c r="AH135" t="str" cm="1">
        <f t="array" ref="AH135">_xll.BDH(AH$2 &amp; " US Equity","PX_LAST",$B135,$B135)</f>
        <v>#N/A N/A</v>
      </c>
      <c r="AI135" t="str" cm="1">
        <f t="array" ref="AI135">_xll.BDH(AI$2 &amp; " US Equity","PX_LAST",$B135,$B135)</f>
        <v>#N/A N/A</v>
      </c>
      <c r="AJ135" t="str" cm="1">
        <f t="array" ref="AJ135">_xll.BDH(AJ$2 &amp; " US Equity","PX_LAST",$B135,$B135)</f>
        <v>#N/A N/A</v>
      </c>
      <c r="AK135" t="str" cm="1">
        <f t="array" ref="AK135">_xll.BDH(AK$2 &amp; " US Equity","PX_LAST",$B135,$B135)</f>
        <v>#N/A N/A</v>
      </c>
      <c r="AL135" t="str" cm="1">
        <f t="array" ref="AL135">_xll.BDH(AL$2 &amp; " US Equity","PX_LAST",$B135,$B135)</f>
        <v>#N/A N/A</v>
      </c>
      <c r="AM135" t="str" cm="1">
        <f t="array" ref="AM135">_xll.BDH(AM$2 &amp; " US Equity","PX_LAST",$B135,$B135)</f>
        <v>#N/A N/A</v>
      </c>
      <c r="AN135" t="str" cm="1">
        <f t="array" ref="AN135">_xll.BDH(AN$2 &amp; " US Equity","PX_LAST",$B135,$B135)</f>
        <v>#N/A N/A</v>
      </c>
      <c r="AO135" t="str" cm="1">
        <f t="array" ref="AO135">_xll.BDH(AO$2 &amp; " US Equity","PX_LAST",$B135,$B135)</f>
        <v>#N/A N/A</v>
      </c>
      <c r="AP135" t="str" cm="1">
        <f t="array" ref="AP135">_xll.BDH(AP$2 &amp; " US Equity","PX_LAST",$B135,$B135)</f>
        <v>#N/A N/A</v>
      </c>
      <c r="AQ135" t="str" cm="1">
        <f t="array" ref="AQ135">_xll.BDH(AQ$2 &amp; " US Equity","PX_LAST",$B135,$B135)</f>
        <v>#N/A N/A</v>
      </c>
      <c r="AR135" t="str" cm="1">
        <f t="array" ref="AR135">_xll.BDH(AR$2 &amp; " US Equity","PX_LAST",$B135,$B135)</f>
        <v>#N/A N/A</v>
      </c>
      <c r="AS135" t="str" cm="1">
        <f t="array" ref="AS135">_xll.BDH(AS$2 &amp; " US Equity","PX_LAST",$B135,$B135)</f>
        <v>#N/A N/A</v>
      </c>
      <c r="AT135" t="str" cm="1">
        <f t="array" ref="AT135">_xll.BDH(AT$2 &amp; " US Equity","PX_LAST",$B135,$B135)</f>
        <v>#N/A N/A</v>
      </c>
      <c r="AU135" t="str" cm="1">
        <f t="array" ref="AU135">_xll.BDH(AU$2 &amp; " US Equity","PX_LAST",$B135,$B135)</f>
        <v>#N/A N/A</v>
      </c>
      <c r="AV135" t="str" cm="1">
        <f t="array" ref="AV135">_xll.BDH(AV$2 &amp; " US Equity","PX_LAST",$B135,$B135)</f>
        <v>#N/A N/A</v>
      </c>
      <c r="AW135" t="str" cm="1">
        <f t="array" ref="AW135">_xll.BDH(AW$2 &amp; " US Equity","PX_LAST",$B135,$B135)</f>
        <v>#N/A N/A</v>
      </c>
    </row>
    <row r="136" spans="2:49">
      <c r="B136" s="13">
        <v>46034</v>
      </c>
      <c r="C136" cm="1">
        <f t="array" ref="C136">_xll.BDH(C$2 &amp; " US Equity","PX_LAST",$B136,$B136)</f>
        <v>311.92</v>
      </c>
      <c r="D136" cm="1">
        <f t="array" ref="D136">_xll.BDH(D$2 &amp; " PE Equity","PX_LAST",$B136,$B136)</f>
        <v>6.08</v>
      </c>
      <c r="E136" cm="1">
        <f t="array" ref="E136">_xll.BDH(E$2 &amp; " PE Equity","PX_LAST",$B136,$B136)</f>
        <v>2.2400000000000002</v>
      </c>
      <c r="F136" cm="1">
        <f t="array" ref="F136">_xll.BDH(F$2 &amp; " PE Equity","PX_LAST",$B136,$B136)</f>
        <v>2.77</v>
      </c>
      <c r="G136" cm="1">
        <f t="array" ref="G136">_xll.BDH(G$2 &amp; " US Equity","PX_LAST",$B136,$B136)</f>
        <v>21.71</v>
      </c>
      <c r="H136" cm="1">
        <f t="array" ref="H136">_xll.BDH(H$2 &amp; " PE Equity","PX_LAST",$B136,$B136)</f>
        <v>3.86</v>
      </c>
      <c r="I136" cm="1">
        <f t="array" ref="I136">_xll.BDH(I$2 &amp; " US Equity","PX_LAST",$B136,$B136)</f>
        <v>52.14</v>
      </c>
      <c r="J136" cm="1">
        <f t="array" ref="J136">_xll.BDH(J$2 &amp; " US Equity","PX_LAST",$B136,$B136)</f>
        <v>7.39</v>
      </c>
      <c r="K136" cm="1">
        <f t="array" ref="K136">_xll.BDH(K$2 &amp; " US Equity","PX_LAST",$B136,$B136)</f>
        <v>54.96</v>
      </c>
      <c r="L136" cm="1">
        <f t="array" ref="L136">_xll.BDH(L$2 &amp; " US Equity","PX_LAST",$B136,$B136)</f>
        <v>57.94</v>
      </c>
      <c r="M136" cm="1">
        <f t="array" ref="M136">_xll.BDH(M$2 &amp; " US Equity","PX_LAST",$B136,$B136)</f>
        <v>307.14999999999998</v>
      </c>
      <c r="N136" cm="1">
        <f t="array" ref="N136">_xll.BDH(N$2 &amp; " US Equity","PX_LAST",$B136,$B136)</f>
        <v>37.33</v>
      </c>
      <c r="O136" cm="1">
        <f t="array" ref="O136">_xll.BDH(O$2 &amp; " US Equity","PX_LAST",$B136,$B136)</f>
        <v>32.93</v>
      </c>
      <c r="P136" cm="1">
        <f t="array" ref="P136">_xll.BDH(P$2 &amp; " US Equity","PX_LAST",$B136,$B136)</f>
        <v>17.559999999999999</v>
      </c>
      <c r="Q136" cm="1">
        <f t="array" ref="Q136">_xll.BDH(Q$2 &amp; " US Equity","PX_LAST",$B136,$B136)</f>
        <v>25.27</v>
      </c>
      <c r="R136" cm="1">
        <f t="array" ref="R136">_xll.BDH(R$2 &amp; " US Equity","PX_LAST",$B136,$B136)</f>
        <v>34.409999999999997</v>
      </c>
      <c r="S136" cm="1">
        <f t="array" ref="S136">_xll.BDH(S$2 &amp; " US Equity","PX_LAST",$B136,$B136)</f>
        <v>163.16999999999999</v>
      </c>
      <c r="T136" cm="1">
        <f t="array" ref="T136">_xll.BDH(T$2 &amp; " US Equity","PX_LAST",$B136,$B136)</f>
        <v>66.34</v>
      </c>
      <c r="U136" cm="1">
        <f t="array" ref="U136">_xll.BDH(U$2 &amp; " US Equity","PX_LAST",$B136,$B136)</f>
        <v>152.26</v>
      </c>
      <c r="V136" cm="1">
        <f t="array" ref="V136">_xll.BDH(V$2 &amp; " US Equity","PX_LAST",$B136,$B136)</f>
        <v>42.58</v>
      </c>
      <c r="W136" cm="1">
        <f t="array" ref="W136">_xll.BDH(W$2 &amp; " US Equity","PX_LAST",$B136,$B136)</f>
        <v>179.41</v>
      </c>
      <c r="X136" cm="1">
        <f t="array" ref="X136">_xll.BDH(X$2 &amp; " US Equity","PX_LAST",$B136,$B136)</f>
        <v>60.63</v>
      </c>
      <c r="Y136" cm="1">
        <f t="array" ref="Y136">_xll.BDH(Y$2 &amp; " US Equity","PX_LAST",$B136,$B136)</f>
        <v>46.1</v>
      </c>
      <c r="Z136" cm="1">
        <f t="array" ref="Z136">_xll.BDH(Z$2 &amp; " US Equity","PX_LAST",$B136,$B136)</f>
        <v>390.66</v>
      </c>
      <c r="AA136" cm="1">
        <f t="array" ref="AA136">_xll.BDH(AA$2 &amp; " PE Equity","PX_LAST",$B136,$B136)</f>
        <v>0.78</v>
      </c>
      <c r="AB136" cm="1">
        <f t="array" ref="AB136">_xll.BDH(AB$2 &amp; " PE Equity","PX_LAST",$B136,$B136)</f>
        <v>29.9</v>
      </c>
      <c r="AC136" cm="1">
        <f t="array" ref="AC136">_xll.BDH(AC$2 &amp; " US Equity","PX_LAST",$B136,$B136)</f>
        <v>74.45</v>
      </c>
      <c r="AD136" cm="1">
        <f t="array" ref="AD136">_xll.BDH(AD$2 &amp; " US Equity","PX_LAST",$B136,$B136)</f>
        <v>695.16</v>
      </c>
      <c r="AE136" t="str" cm="1">
        <f t="array" ref="AE136">_xll.BDH(AE$2 &amp; " PE Equity","PX_LAST",$B136,$B136)</f>
        <v>#N/A Connection</v>
      </c>
      <c r="AF136" cm="1">
        <f t="array" ref="AF136">_xll.BDH(AF$2 &amp; " US Equity","PX_LAST",$B136,$B136)</f>
        <v>59.249099999999999</v>
      </c>
      <c r="AG136" cm="1">
        <f t="array" ref="AG136">_xll.BDH(AG$2 &amp; " US Equity","PX_LAST",$B136,$B136)</f>
        <v>13.6165</v>
      </c>
      <c r="AH136" cm="1">
        <f t="array" ref="AH136">_xll.BDH(AH$2 &amp; " US Equity","PX_LAST",$B136,$B136)</f>
        <v>627.16999999999996</v>
      </c>
      <c r="AI136" cm="1">
        <f t="array" ref="AI136">_xll.BDH(AI$2 &amp; " US Equity","PX_LAST",$B136,$B136)</f>
        <v>117.74</v>
      </c>
      <c r="AJ136" cm="1">
        <f t="array" ref="AJ136">_xll.BDH(AJ$2 &amp; " US Equity","PX_LAST",$B136,$B136)</f>
        <v>112.82</v>
      </c>
      <c r="AK136" cm="1">
        <f t="array" ref="AK136">_xll.BDH(AK$2 &amp; " US Equity","PX_LAST",$B136,$B136)</f>
        <v>124.52</v>
      </c>
      <c r="AL136" cm="1">
        <f t="array" ref="AL136">_xll.BDH(AL$2 &amp; " US Equity","PX_LAST",$B136,$B136)</f>
        <v>246.47</v>
      </c>
      <c r="AM136" cm="1">
        <f t="array" ref="AM136">_xll.BDH(AM$2 &amp; " US Equity","PX_LAST",$B136,$B136)</f>
        <v>55.89</v>
      </c>
      <c r="AN136" cm="1">
        <f t="array" ref="AN136">_xll.BDH(AN$2 &amp; " US Equity","PX_LAST",$B136,$B136)</f>
        <v>25.555</v>
      </c>
      <c r="AO136" cm="1">
        <f t="array" ref="AO136">_xll.BDH(AO$2 &amp; " US Equity","PX_LAST",$B136,$B136)</f>
        <v>58.89</v>
      </c>
      <c r="AP136" cm="1">
        <f t="array" ref="AP136">_xll.BDH(AP$2 &amp; " US Equity","PX_LAST",$B136,$B136)</f>
        <v>4.79</v>
      </c>
      <c r="AQ136" cm="1">
        <f t="array" ref="AQ136">_xll.BDH(AQ$2 &amp; " US Equity","PX_LAST",$B136,$B136)</f>
        <v>98.27</v>
      </c>
      <c r="AR136" cm="1">
        <f t="array" ref="AR136">_xll.BDH(AR$2 &amp; " US Equity","PX_LAST",$B136,$B136)</f>
        <v>70.92</v>
      </c>
      <c r="AS136" cm="1">
        <f t="array" ref="AS136">_xll.BDH(AS$2 &amp; " US Equity","PX_LAST",$B136,$B136)</f>
        <v>89.41</v>
      </c>
      <c r="AT136" cm="1">
        <f t="array" ref="AT136">_xll.BDH(AT$2 &amp; " US Equity","PX_LAST",$B136,$B136)</f>
        <v>4.8499999999999996</v>
      </c>
      <c r="AU136" cm="1">
        <f t="array" ref="AU136">_xll.BDH(AU$2 &amp; " US Equity","PX_LAST",$B136,$B136)</f>
        <v>340.51</v>
      </c>
      <c r="AV136" cm="1">
        <f t="array" ref="AV136">_xll.BDH(AV$2 &amp; " US Equity","PX_LAST",$B136,$B136)</f>
        <v>248.92</v>
      </c>
      <c r="AW136" cm="1">
        <f t="array" ref="AW136">_xll.BDH(AW$2 &amp; " US Equity","PX_LAST",$B136,$B136)</f>
        <v>133.97</v>
      </c>
    </row>
    <row r="137" spans="2:49">
      <c r="B137" s="13">
        <v>46035</v>
      </c>
      <c r="C137" cm="1">
        <f t="array" ref="C137">_xll.BDH(C$2 &amp; " US Equity","PX_LAST",$B137,$B137)</f>
        <v>309.66000000000003</v>
      </c>
      <c r="D137" cm="1">
        <f t="array" ref="D137">_xll.BDH(D$2 &amp; " PE Equity","PX_LAST",$B137,$B137)</f>
        <v>6.1</v>
      </c>
      <c r="E137" cm="1">
        <f t="array" ref="E137">_xll.BDH(E$2 &amp; " PE Equity","PX_LAST",$B137,$B137)</f>
        <v>2.29</v>
      </c>
      <c r="F137" cm="1">
        <f t="array" ref="F137">_xll.BDH(F$2 &amp; " PE Equity","PX_LAST",$B137,$B137)</f>
        <v>2.76</v>
      </c>
      <c r="G137" cm="1">
        <f t="array" ref="G137">_xll.BDH(G$2 &amp; " US Equity","PX_LAST",$B137,$B137)</f>
        <v>21.05</v>
      </c>
      <c r="H137" cm="1">
        <f t="array" ref="H137">_xll.BDH(H$2 &amp; " PE Equity","PX_LAST",$B137,$B137)</f>
        <v>4.0199999999999996</v>
      </c>
      <c r="I137" cm="1">
        <f t="array" ref="I137">_xll.BDH(I$2 &amp; " US Equity","PX_LAST",$B137,$B137)</f>
        <v>52.19</v>
      </c>
      <c r="J137" cm="1">
        <f t="array" ref="J137">_xll.BDH(J$2 &amp; " US Equity","PX_LAST",$B137,$B137)</f>
        <v>7.3</v>
      </c>
      <c r="K137" cm="1">
        <f t="array" ref="K137">_xll.BDH(K$2 &amp; " US Equity","PX_LAST",$B137,$B137)</f>
        <v>54.81</v>
      </c>
      <c r="L137" cm="1">
        <f t="array" ref="L137">_xll.BDH(L$2 &amp; " US Equity","PX_LAST",$B137,$B137)</f>
        <v>57.51</v>
      </c>
      <c r="M137" cm="1">
        <f t="array" ref="M137">_xll.BDH(M$2 &amp; " US Equity","PX_LAST",$B137,$B137)</f>
        <v>311.5</v>
      </c>
      <c r="N137" cm="1">
        <f t="array" ref="N137">_xll.BDH(N$2 &amp; " US Equity","PX_LAST",$B137,$B137)</f>
        <v>37.200000000000003</v>
      </c>
      <c r="O137" cm="1">
        <f t="array" ref="O137">_xll.BDH(O$2 &amp; " US Equity","PX_LAST",$B137,$B137)</f>
        <v>32.630000000000003</v>
      </c>
      <c r="P137" cm="1">
        <f t="array" ref="P137">_xll.BDH(P$2 &amp; " US Equity","PX_LAST",$B137,$B137)</f>
        <v>17.55</v>
      </c>
      <c r="Q137" cm="1">
        <f t="array" ref="Q137">_xll.BDH(Q$2 &amp; " US Equity","PX_LAST",$B137,$B137)</f>
        <v>25.15</v>
      </c>
      <c r="R137" cm="1">
        <f t="array" ref="R137">_xll.BDH(R$2 &amp; " US Equity","PX_LAST",$B137,$B137)</f>
        <v>34.340000000000003</v>
      </c>
      <c r="S137" cm="1">
        <f t="array" ref="S137">_xll.BDH(S$2 &amp; " US Equity","PX_LAST",$B137,$B137)</f>
        <v>164.01</v>
      </c>
      <c r="T137" cm="1">
        <f t="array" ref="T137">_xll.BDH(T$2 &amp; " US Equity","PX_LAST",$B137,$B137)</f>
        <v>66.069999999999993</v>
      </c>
      <c r="U137" cm="1">
        <f t="array" ref="U137">_xll.BDH(U$2 &amp; " US Equity","PX_LAST",$B137,$B137)</f>
        <v>149.35</v>
      </c>
      <c r="V137" cm="1">
        <f t="array" ref="V137">_xll.BDH(V$2 &amp; " US Equity","PX_LAST",$B137,$B137)</f>
        <v>42.85</v>
      </c>
      <c r="W137" cm="1">
        <f t="array" ref="W137">_xll.BDH(W$2 &amp; " US Equity","PX_LAST",$B137,$B137)</f>
        <v>178.96</v>
      </c>
      <c r="X137" cm="1">
        <f t="array" ref="X137">_xll.BDH(X$2 &amp; " US Equity","PX_LAST",$B137,$B137)</f>
        <v>60.17</v>
      </c>
      <c r="Y137" cm="1">
        <f t="array" ref="Y137">_xll.BDH(Y$2 &amp; " US Equity","PX_LAST",$B137,$B137)</f>
        <v>45.96</v>
      </c>
      <c r="Z137" cm="1">
        <f t="array" ref="Z137">_xll.BDH(Z$2 &amp; " US Equity","PX_LAST",$B137,$B137)</f>
        <v>391.53</v>
      </c>
      <c r="AA137" cm="1">
        <f t="array" ref="AA137">_xll.BDH(AA$2 &amp; " PE Equity","PX_LAST",$B137,$B137)</f>
        <v>0.8</v>
      </c>
      <c r="AB137" cm="1">
        <f t="array" ref="AB137">_xll.BDH(AB$2 &amp; " PE Equity","PX_LAST",$B137,$B137)</f>
        <v>29.85</v>
      </c>
      <c r="AC137" cm="1">
        <f t="array" ref="AC137">_xll.BDH(AC$2 &amp; " US Equity","PX_LAST",$B137,$B137)</f>
        <v>74.44</v>
      </c>
      <c r="AD137" cm="1">
        <f t="array" ref="AD137">_xll.BDH(AD$2 &amp; " US Equity","PX_LAST",$B137,$B137)</f>
        <v>693.77</v>
      </c>
      <c r="AE137" t="str" cm="1">
        <f t="array" ref="AE137">_xll.BDH(AE$2 &amp; " PE Equity","PX_LAST",$B137,$B137)</f>
        <v>#N/A Connection</v>
      </c>
      <c r="AF137" cm="1">
        <f t="array" ref="AF137">_xll.BDH(AF$2 &amp; " US Equity","PX_LAST",$B137,$B137)</f>
        <v>58.98</v>
      </c>
      <c r="AG137" cm="1">
        <f t="array" ref="AG137">_xll.BDH(AG$2 &amp; " US Equity","PX_LAST",$B137,$B137)</f>
        <v>13.475</v>
      </c>
      <c r="AH137" cm="1">
        <f t="array" ref="AH137">_xll.BDH(AH$2 &amp; " US Equity","PX_LAST",$B137,$B137)</f>
        <v>626.24</v>
      </c>
      <c r="AI137" cm="1">
        <f t="array" ref="AI137">_xll.BDH(AI$2 &amp; " US Equity","PX_LAST",$B137,$B137)</f>
        <v>116.58</v>
      </c>
      <c r="AJ137" cm="1">
        <f t="array" ref="AJ137">_xll.BDH(AJ$2 &amp; " US Equity","PX_LAST",$B137,$B137)</f>
        <v>112.98</v>
      </c>
      <c r="AK137" cm="1">
        <f t="array" ref="AK137">_xll.BDH(AK$2 &amp; " US Equity","PX_LAST",$B137,$B137)</f>
        <v>124.21</v>
      </c>
      <c r="AL137" cm="1">
        <f t="array" ref="AL137">_xll.BDH(AL$2 &amp; " US Equity","PX_LAST",$B137,$B137)</f>
        <v>242.6</v>
      </c>
      <c r="AM137" cm="1">
        <f t="array" ref="AM137">_xll.BDH(AM$2 &amp; " US Equity","PX_LAST",$B137,$B137)</f>
        <v>55.6</v>
      </c>
      <c r="AN137" cm="1">
        <f t="array" ref="AN137">_xll.BDH(AN$2 &amp; " US Equity","PX_LAST",$B137,$B137)</f>
        <v>24.885000000000002</v>
      </c>
      <c r="AO137" cm="1">
        <f t="array" ref="AO137">_xll.BDH(AO$2 &amp; " US Equity","PX_LAST",$B137,$B137)</f>
        <v>56.93</v>
      </c>
      <c r="AP137" cm="1">
        <f t="array" ref="AP137">_xll.BDH(AP$2 &amp; " US Equity","PX_LAST",$B137,$B137)</f>
        <v>4.72</v>
      </c>
      <c r="AQ137" cm="1">
        <f t="array" ref="AQ137">_xll.BDH(AQ$2 &amp; " US Equity","PX_LAST",$B137,$B137)</f>
        <v>98.73</v>
      </c>
      <c r="AR137" cm="1">
        <f t="array" ref="AR137">_xll.BDH(AR$2 &amp; " US Equity","PX_LAST",$B137,$B137)</f>
        <v>73.09</v>
      </c>
      <c r="AS137" cm="1">
        <f t="array" ref="AS137">_xll.BDH(AS$2 &amp; " US Equity","PX_LAST",$B137,$B137)</f>
        <v>90.32</v>
      </c>
      <c r="AT137" cm="1">
        <f t="array" ref="AT137">_xll.BDH(AT$2 &amp; " US Equity","PX_LAST",$B137,$B137)</f>
        <v>4.68</v>
      </c>
      <c r="AU137" cm="1">
        <f t="array" ref="AU137">_xll.BDH(AU$2 &amp; " US Equity","PX_LAST",$B137,$B137)</f>
        <v>333.93</v>
      </c>
      <c r="AV137" cm="1">
        <f t="array" ref="AV137">_xll.BDH(AV$2 &amp; " US Equity","PX_LAST",$B137,$B137)</f>
        <v>247.49</v>
      </c>
      <c r="AW137" cm="1">
        <f t="array" ref="AW137">_xll.BDH(AW$2 &amp; " US Equity","PX_LAST",$B137,$B137)</f>
        <v>130.08000000000001</v>
      </c>
    </row>
    <row r="138" spans="2:49">
      <c r="B138" s="13">
        <v>46036</v>
      </c>
      <c r="C138" cm="1">
        <f t="array" ref="C138">_xll.BDH(C$2 &amp; " US Equity","PX_LAST",$B138,$B138)</f>
        <v>313.55</v>
      </c>
      <c r="D138" cm="1">
        <f t="array" ref="D138">_xll.BDH(D$2 &amp; " PE Equity","PX_LAST",$B138,$B138)</f>
        <v>6.21</v>
      </c>
      <c r="E138" cm="1">
        <f t="array" ref="E138">_xll.BDH(E$2 &amp; " PE Equity","PX_LAST",$B138,$B138)</f>
        <v>2.29</v>
      </c>
      <c r="F138" cm="1">
        <f t="array" ref="F138">_xll.BDH(F$2 &amp; " PE Equity","PX_LAST",$B138,$B138)</f>
        <v>2.75</v>
      </c>
      <c r="G138" cm="1">
        <f t="array" ref="G138">_xll.BDH(G$2 &amp; " US Equity","PX_LAST",$B138,$B138)</f>
        <v>20.58</v>
      </c>
      <c r="H138" cm="1">
        <f t="array" ref="H138">_xll.BDH(H$2 &amp; " PE Equity","PX_LAST",$B138,$B138)</f>
        <v>4.05</v>
      </c>
      <c r="I138" cm="1">
        <f t="array" ref="I138">_xll.BDH(I$2 &amp; " US Equity","PX_LAST",$B138,$B138)</f>
        <v>51.49</v>
      </c>
      <c r="J138" cm="1">
        <f t="array" ref="J138">_xll.BDH(J$2 &amp; " US Equity","PX_LAST",$B138,$B138)</f>
        <v>7.36</v>
      </c>
      <c r="K138" cm="1">
        <f t="array" ref="K138">_xll.BDH(K$2 &amp; " US Equity","PX_LAST",$B138,$B138)</f>
        <v>55.02</v>
      </c>
      <c r="L138" cm="1">
        <f t="array" ref="L138">_xll.BDH(L$2 &amp; " US Equity","PX_LAST",$B138,$B138)</f>
        <v>57.75</v>
      </c>
      <c r="M138" cm="1">
        <f t="array" ref="M138">_xll.BDH(M$2 &amp; " US Equity","PX_LAST",$B138,$B138)</f>
        <v>316.99</v>
      </c>
      <c r="N138" cm="1">
        <f t="array" ref="N138">_xll.BDH(N$2 &amp; " US Equity","PX_LAST",$B138,$B138)</f>
        <v>37.33</v>
      </c>
      <c r="O138" cm="1">
        <f t="array" ref="O138">_xll.BDH(O$2 &amp; " US Equity","PX_LAST",$B138,$B138)</f>
        <v>33.159999999999997</v>
      </c>
      <c r="P138" cm="1">
        <f t="array" ref="P138">_xll.BDH(P$2 &amp; " US Equity","PX_LAST",$B138,$B138)</f>
        <v>17.36</v>
      </c>
      <c r="Q138" cm="1">
        <f t="array" ref="Q138">_xll.BDH(Q$2 &amp; " US Equity","PX_LAST",$B138,$B138)</f>
        <v>25.58</v>
      </c>
      <c r="R138" cm="1">
        <f t="array" ref="R138">_xll.BDH(R$2 &amp; " US Equity","PX_LAST",$B138,$B138)</f>
        <v>34</v>
      </c>
      <c r="S138" cm="1">
        <f t="array" ref="S138">_xll.BDH(S$2 &amp; " US Equity","PX_LAST",$B138,$B138)</f>
        <v>164.27</v>
      </c>
      <c r="T138" cm="1">
        <f t="array" ref="T138">_xll.BDH(T$2 &amp; " US Equity","PX_LAST",$B138,$B138)</f>
        <v>66.08</v>
      </c>
      <c r="U138" cm="1">
        <f t="array" ref="U138">_xll.BDH(U$2 &amp; " US Equity","PX_LAST",$B138,$B138)</f>
        <v>150.5</v>
      </c>
      <c r="V138" cm="1">
        <f t="array" ref="V138">_xll.BDH(V$2 &amp; " US Equity","PX_LAST",$B138,$B138)</f>
        <v>43.17</v>
      </c>
      <c r="W138" cm="1">
        <f t="array" ref="W138">_xll.BDH(W$2 &amp; " US Equity","PX_LAST",$B138,$B138)</f>
        <v>178.4</v>
      </c>
      <c r="X138" cm="1">
        <f t="array" ref="X138">_xll.BDH(X$2 &amp; " US Equity","PX_LAST",$B138,$B138)</f>
        <v>60.87</v>
      </c>
      <c r="Y138" cm="1">
        <f t="array" ref="Y138">_xll.BDH(Y$2 &amp; " US Equity","PX_LAST",$B138,$B138)</f>
        <v>45.87</v>
      </c>
      <c r="Z138" cm="1">
        <f t="array" ref="Z138">_xll.BDH(Z$2 &amp; " US Equity","PX_LAST",$B138,$B138)</f>
        <v>388.35</v>
      </c>
      <c r="AA138" cm="1">
        <f t="array" ref="AA138">_xll.BDH(AA$2 &amp; " PE Equity","PX_LAST",$B138,$B138)</f>
        <v>0.81</v>
      </c>
      <c r="AB138" cm="1">
        <f t="array" ref="AB138">_xll.BDH(AB$2 &amp; " PE Equity","PX_LAST",$B138,$B138)</f>
        <v>29.9</v>
      </c>
      <c r="AC138" cm="1">
        <f t="array" ref="AC138">_xll.BDH(AC$2 &amp; " US Equity","PX_LAST",$B138,$B138)</f>
        <v>74.489999999999995</v>
      </c>
      <c r="AD138" cm="1">
        <f t="array" ref="AD138">_xll.BDH(AD$2 &amp; " US Equity","PX_LAST",$B138,$B138)</f>
        <v>690.36</v>
      </c>
      <c r="AE138" t="str" cm="1">
        <f t="array" ref="AE138">_xll.BDH(AE$2 &amp; " PE Equity","PX_LAST",$B138,$B138)</f>
        <v>#N/A Connection</v>
      </c>
      <c r="AF138" cm="1">
        <f t="array" ref="AF138">_xll.BDH(AF$2 &amp; " US Equity","PX_LAST",$B138,$B138)</f>
        <v>59.465600000000002</v>
      </c>
      <c r="AG138" cm="1">
        <f t="array" ref="AG138">_xll.BDH(AG$2 &amp; " US Equity","PX_LAST",$B138,$B138)</f>
        <v>13.586600000000001</v>
      </c>
      <c r="AH138" cm="1">
        <f t="array" ref="AH138">_xll.BDH(AH$2 &amp; " US Equity","PX_LAST",$B138,$B138)</f>
        <v>619.54999999999995</v>
      </c>
      <c r="AI138" cm="1">
        <f t="array" ref="AI138">_xll.BDH(AI$2 &amp; " US Equity","PX_LAST",$B138,$B138)</f>
        <v>117.71</v>
      </c>
      <c r="AJ138" cm="1">
        <f t="array" ref="AJ138">_xll.BDH(AJ$2 &amp; " US Equity","PX_LAST",$B138,$B138)</f>
        <v>113.53</v>
      </c>
      <c r="AK138" cm="1">
        <f t="array" ref="AK138">_xll.BDH(AK$2 &amp; " US Equity","PX_LAST",$B138,$B138)</f>
        <v>122.25</v>
      </c>
      <c r="AL138" cm="1">
        <f t="array" ref="AL138">_xll.BDH(AL$2 &amp; " US Equity","PX_LAST",$B138,$B138)</f>
        <v>236.65</v>
      </c>
      <c r="AM138" cm="1">
        <f t="array" ref="AM138">_xll.BDH(AM$2 &amp; " US Equity","PX_LAST",$B138,$B138)</f>
        <v>53.83</v>
      </c>
      <c r="AN138" cm="1">
        <f t="array" ref="AN138">_xll.BDH(AN$2 &amp; " US Equity","PX_LAST",$B138,$B138)</f>
        <v>25.074999999999999</v>
      </c>
      <c r="AO138" cm="1">
        <f t="array" ref="AO138">_xll.BDH(AO$2 &amp; " US Equity","PX_LAST",$B138,$B138)</f>
        <v>57.39</v>
      </c>
      <c r="AP138" cm="1">
        <f t="array" ref="AP138">_xll.BDH(AP$2 &amp; " US Equity","PX_LAST",$B138,$B138)</f>
        <v>4.6399999999999997</v>
      </c>
      <c r="AQ138" cm="1">
        <f t="array" ref="AQ138">_xll.BDH(AQ$2 &amp; " US Equity","PX_LAST",$B138,$B138)</f>
        <v>99.15</v>
      </c>
      <c r="AR138" cm="1">
        <f t="array" ref="AR138">_xll.BDH(AR$2 &amp; " US Equity","PX_LAST",$B138,$B138)</f>
        <v>73.59</v>
      </c>
      <c r="AS138" cm="1">
        <f t="array" ref="AS138">_xll.BDH(AS$2 &amp; " US Equity","PX_LAST",$B138,$B138)</f>
        <v>88.55</v>
      </c>
      <c r="AT138" cm="1">
        <f t="array" ref="AT138">_xll.BDH(AT$2 &amp; " US Equity","PX_LAST",$B138,$B138)</f>
        <v>4.5599999999999996</v>
      </c>
      <c r="AU138" cm="1">
        <f t="array" ref="AU138">_xll.BDH(AU$2 &amp; " US Equity","PX_LAST",$B138,$B138)</f>
        <v>334.96</v>
      </c>
      <c r="AV138" cm="1">
        <f t="array" ref="AV138">_xll.BDH(AV$2 &amp; " US Equity","PX_LAST",$B138,$B138)</f>
        <v>245.49</v>
      </c>
      <c r="AW138" cm="1">
        <f t="array" ref="AW138">_xll.BDH(AW$2 &amp; " US Equity","PX_LAST",$B138,$B138)</f>
        <v>132.08000000000001</v>
      </c>
    </row>
    <row r="139" spans="2:49">
      <c r="B139" s="13">
        <v>46037</v>
      </c>
      <c r="C139" cm="1">
        <f t="array" ref="C139">_xll.BDH(C$2 &amp; " US Equity","PX_LAST",$B139,$B139)</f>
        <v>313.16000000000003</v>
      </c>
      <c r="D139" cm="1">
        <f t="array" ref="D139">_xll.BDH(D$2 &amp; " PE Equity","PX_LAST",$B139,$B139)</f>
        <v>6.38</v>
      </c>
      <c r="E139" cm="1">
        <f t="array" ref="E139">_xll.BDH(E$2 &amp; " PE Equity","PX_LAST",$B139,$B139)</f>
        <v>2.2999999999999998</v>
      </c>
      <c r="F139" cm="1">
        <f t="array" ref="F139">_xll.BDH(F$2 &amp; " PE Equity","PX_LAST",$B139,$B139)</f>
        <v>2.75</v>
      </c>
      <c r="G139" cm="1">
        <f t="array" ref="G139">_xll.BDH(G$2 &amp; " US Equity","PX_LAST",$B139,$B139)</f>
        <v>20.88</v>
      </c>
      <c r="H139" cm="1">
        <f t="array" ref="H139">_xll.BDH(H$2 &amp; " PE Equity","PX_LAST",$B139,$B139)</f>
        <v>4</v>
      </c>
      <c r="I139" cm="1">
        <f t="array" ref="I139">_xll.BDH(I$2 &amp; " US Equity","PX_LAST",$B139,$B139)</f>
        <v>51.97</v>
      </c>
      <c r="J139" cm="1">
        <f t="array" ref="J139">_xll.BDH(J$2 &amp; " US Equity","PX_LAST",$B139,$B139)</f>
        <v>7.44</v>
      </c>
      <c r="K139" cm="1">
        <f t="array" ref="K139">_xll.BDH(K$2 &amp; " US Equity","PX_LAST",$B139,$B139)</f>
        <v>54.27</v>
      </c>
      <c r="L139" cm="1">
        <f t="array" ref="L139">_xll.BDH(L$2 &amp; " US Equity","PX_LAST",$B139,$B139)</f>
        <v>58.09</v>
      </c>
      <c r="M139" cm="1">
        <f t="array" ref="M139">_xll.BDH(M$2 &amp; " US Equity","PX_LAST",$B139,$B139)</f>
        <v>318.77999999999997</v>
      </c>
      <c r="N139" cm="1">
        <f t="array" ref="N139">_xll.BDH(N$2 &amp; " US Equity","PX_LAST",$B139,$B139)</f>
        <v>37.29</v>
      </c>
      <c r="O139" cm="1">
        <f t="array" ref="O139">_xll.BDH(O$2 &amp; " US Equity","PX_LAST",$B139,$B139)</f>
        <v>33.36</v>
      </c>
      <c r="P139" cm="1">
        <f t="array" ref="P139">_xll.BDH(P$2 &amp; " US Equity","PX_LAST",$B139,$B139)</f>
        <v>17.510000000000002</v>
      </c>
      <c r="Q139" cm="1">
        <f t="array" ref="Q139">_xll.BDH(Q$2 &amp; " US Equity","PX_LAST",$B139,$B139)</f>
        <v>25.89</v>
      </c>
      <c r="R139" cm="1">
        <f t="array" ref="R139">_xll.BDH(R$2 &amp; " US Equity","PX_LAST",$B139,$B139)</f>
        <v>34.9</v>
      </c>
      <c r="S139" cm="1">
        <f t="array" ref="S139">_xll.BDH(S$2 &amp; " US Equity","PX_LAST",$B139,$B139)</f>
        <v>165.78</v>
      </c>
      <c r="T139" cm="1">
        <f t="array" ref="T139">_xll.BDH(T$2 &amp; " US Equity","PX_LAST",$B139,$B139)</f>
        <v>65.92</v>
      </c>
      <c r="U139" cm="1">
        <f t="array" ref="U139">_xll.BDH(U$2 &amp; " US Equity","PX_LAST",$B139,$B139)</f>
        <v>149.4</v>
      </c>
      <c r="V139" cm="1">
        <f t="array" ref="V139">_xll.BDH(V$2 &amp; " US Equity","PX_LAST",$B139,$B139)</f>
        <v>43.61</v>
      </c>
      <c r="W139" cm="1">
        <f t="array" ref="W139">_xll.BDH(W$2 &amp; " US Equity","PX_LAST",$B139,$B139)</f>
        <v>177.07</v>
      </c>
      <c r="X139" cm="1">
        <f t="array" ref="X139">_xll.BDH(X$2 &amp; " US Equity","PX_LAST",$B139,$B139)</f>
        <v>60.52</v>
      </c>
      <c r="Y139" cm="1">
        <f t="array" ref="Y139">_xll.BDH(Y$2 &amp; " US Equity","PX_LAST",$B139,$B139)</f>
        <v>45.4</v>
      </c>
      <c r="Z139" cm="1">
        <f t="array" ref="Z139">_xll.BDH(Z$2 &amp; " US Equity","PX_LAST",$B139,$B139)</f>
        <v>396.41</v>
      </c>
      <c r="AA139" cm="1">
        <f t="array" ref="AA139">_xll.BDH(AA$2 &amp; " PE Equity","PX_LAST",$B139,$B139)</f>
        <v>0.8</v>
      </c>
      <c r="AB139" cm="1">
        <f t="array" ref="AB139">_xll.BDH(AB$2 &amp; " PE Equity","PX_LAST",$B139,$B139)</f>
        <v>29.31</v>
      </c>
      <c r="AC139" cm="1">
        <f t="array" ref="AC139">_xll.BDH(AC$2 &amp; " US Equity","PX_LAST",$B139,$B139)</f>
        <v>74.83</v>
      </c>
      <c r="AD139" cm="1">
        <f t="array" ref="AD139">_xll.BDH(AD$2 &amp; " US Equity","PX_LAST",$B139,$B139)</f>
        <v>692.24</v>
      </c>
      <c r="AE139" t="str" cm="1">
        <f t="array" ref="AE139">_xll.BDH(AE$2 &amp; " PE Equity","PX_LAST",$B139,$B139)</f>
        <v>#N/A Connection</v>
      </c>
      <c r="AF139" cm="1">
        <f t="array" ref="AF139">_xll.BDH(AF$2 &amp; " US Equity","PX_LAST",$B139,$B139)</f>
        <v>59.030299999999997</v>
      </c>
      <c r="AG139" cm="1">
        <f t="array" ref="AG139">_xll.BDH(AG$2 &amp; " US Equity","PX_LAST",$B139,$B139)</f>
        <v>13.5266</v>
      </c>
      <c r="AH139" cm="1">
        <f t="array" ref="AH139">_xll.BDH(AH$2 &amp; " US Equity","PX_LAST",$B139,$B139)</f>
        <v>621.78</v>
      </c>
      <c r="AI139" cm="1">
        <f t="array" ref="AI139">_xll.BDH(AI$2 &amp; " US Equity","PX_LAST",$B139,$B139)</f>
        <v>116.43</v>
      </c>
      <c r="AJ139" cm="1">
        <f t="array" ref="AJ139">_xll.BDH(AJ$2 &amp; " US Equity","PX_LAST",$B139,$B139)</f>
        <v>113.41</v>
      </c>
      <c r="AK139" cm="1">
        <f t="array" ref="AK139">_xll.BDH(AK$2 &amp; " US Equity","PX_LAST",$B139,$B139)</f>
        <v>122.7</v>
      </c>
      <c r="AL139" cm="1">
        <f t="array" ref="AL139">_xll.BDH(AL$2 &amp; " US Equity","PX_LAST",$B139,$B139)</f>
        <v>238.18</v>
      </c>
      <c r="AM139" cm="1">
        <f t="array" ref="AM139">_xll.BDH(AM$2 &amp; " US Equity","PX_LAST",$B139,$B139)</f>
        <v>54.38</v>
      </c>
      <c r="AN139" cm="1">
        <f t="array" ref="AN139">_xll.BDH(AN$2 &amp; " US Equity","PX_LAST",$B139,$B139)</f>
        <v>25.114899999999999</v>
      </c>
      <c r="AO139" cm="1">
        <f t="array" ref="AO139">_xll.BDH(AO$2 &amp; " US Equity","PX_LAST",$B139,$B139)</f>
        <v>57.53</v>
      </c>
      <c r="AP139" cm="1">
        <f t="array" ref="AP139">_xll.BDH(AP$2 &amp; " US Equity","PX_LAST",$B139,$B139)</f>
        <v>4.59</v>
      </c>
      <c r="AQ139" cm="1">
        <f t="array" ref="AQ139">_xll.BDH(AQ$2 &amp; " US Equity","PX_LAST",$B139,$B139)</f>
        <v>100.41</v>
      </c>
      <c r="AR139" cm="1">
        <f t="array" ref="AR139">_xll.BDH(AR$2 &amp; " US Equity","PX_LAST",$B139,$B139)</f>
        <v>73.84</v>
      </c>
      <c r="AS139" cm="1">
        <f t="array" ref="AS139">_xll.BDH(AS$2 &amp; " US Equity","PX_LAST",$B139,$B139)</f>
        <v>88.05</v>
      </c>
      <c r="AT139" cm="1">
        <f t="array" ref="AT139">_xll.BDH(AT$2 &amp; " US Equity","PX_LAST",$B139,$B139)</f>
        <v>4.6399999999999997</v>
      </c>
      <c r="AU139" cm="1">
        <f t="array" ref="AU139">_xll.BDH(AU$2 &amp; " US Equity","PX_LAST",$B139,$B139)</f>
        <v>338.96</v>
      </c>
      <c r="AV139" cm="1">
        <f t="array" ref="AV139">_xll.BDH(AV$2 &amp; " US Equity","PX_LAST",$B139,$B139)</f>
        <v>244.34</v>
      </c>
      <c r="AW139" cm="1">
        <f t="array" ref="AW139">_xll.BDH(AW$2 &amp; " US Equity","PX_LAST",$B139,$B139)</f>
        <v>131.32</v>
      </c>
    </row>
    <row r="140" spans="2:49">
      <c r="B140" s="13">
        <v>46038</v>
      </c>
      <c r="C140" cm="1">
        <f t="array" ref="C140">_xll.BDH(C$2 &amp; " US Equity","PX_LAST",$B140,$B140)</f>
        <v>308.18</v>
      </c>
      <c r="D140" cm="1">
        <f t="array" ref="D140">_xll.BDH(D$2 &amp; " PE Equity","PX_LAST",$B140,$B140)</f>
        <v>6.6</v>
      </c>
      <c r="E140" cm="1">
        <f t="array" ref="E140">_xll.BDH(E$2 &amp; " PE Equity","PX_LAST",$B140,$B140)</f>
        <v>2.35</v>
      </c>
      <c r="F140" cm="1">
        <f t="array" ref="F140">_xll.BDH(F$2 &amp; " PE Equity","PX_LAST",$B140,$B140)</f>
        <v>2.75</v>
      </c>
      <c r="G140" cm="1">
        <f t="array" ref="G140">_xll.BDH(G$2 &amp; " US Equity","PX_LAST",$B140,$B140)</f>
        <v>20.65</v>
      </c>
      <c r="H140" cm="1">
        <f t="array" ref="H140">_xll.BDH(H$2 &amp; " PE Equity","PX_LAST",$B140,$B140)</f>
        <v>4</v>
      </c>
      <c r="I140" cm="1">
        <f t="array" ref="I140">_xll.BDH(I$2 &amp; " US Equity","PX_LAST",$B140,$B140)</f>
        <v>51.88</v>
      </c>
      <c r="J140" cm="1">
        <f t="array" ref="J140">_xll.BDH(J$2 &amp; " US Equity","PX_LAST",$B140,$B140)</f>
        <v>7.38</v>
      </c>
      <c r="K140" cm="1">
        <f t="array" ref="K140">_xll.BDH(K$2 &amp; " US Equity","PX_LAST",$B140,$B140)</f>
        <v>54.65</v>
      </c>
      <c r="L140" cm="1">
        <f t="array" ref="L140">_xll.BDH(L$2 &amp; " US Equity","PX_LAST",$B140,$B140)</f>
        <v>57.87</v>
      </c>
      <c r="M140" cm="1">
        <f t="array" ref="M140">_xll.BDH(M$2 &amp; " US Equity","PX_LAST",$B140,$B140)</f>
        <v>321.83</v>
      </c>
      <c r="N140" cm="1">
        <f t="array" ref="N140">_xll.BDH(N$2 &amp; " US Equity","PX_LAST",$B140,$B140)</f>
        <v>37.5</v>
      </c>
      <c r="O140" cm="1">
        <f t="array" ref="O140">_xll.BDH(O$2 &amp; " US Equity","PX_LAST",$B140,$B140)</f>
        <v>33.17</v>
      </c>
      <c r="P140" cm="1">
        <f t="array" ref="P140">_xll.BDH(P$2 &amp; " US Equity","PX_LAST",$B140,$B140)</f>
        <v>17.7</v>
      </c>
      <c r="Q140" cm="1">
        <f t="array" ref="Q140">_xll.BDH(Q$2 &amp; " US Equity","PX_LAST",$B140,$B140)</f>
        <v>25.65</v>
      </c>
      <c r="R140" cm="1">
        <f t="array" ref="R140">_xll.BDH(R$2 &amp; " US Equity","PX_LAST",$B140,$B140)</f>
        <v>34.68</v>
      </c>
      <c r="S140" cm="1">
        <f t="array" ref="S140">_xll.BDH(S$2 &amp; " US Equity","PX_LAST",$B140,$B140)</f>
        <v>166.9</v>
      </c>
      <c r="T140" cm="1">
        <f t="array" ref="T140">_xll.BDH(T$2 &amp; " US Equity","PX_LAST",$B140,$B140)</f>
        <v>66.06</v>
      </c>
      <c r="U140" cm="1">
        <f t="array" ref="U140">_xll.BDH(U$2 &amp; " US Equity","PX_LAST",$B140,$B140)</f>
        <v>149.53</v>
      </c>
      <c r="V140" cm="1">
        <f t="array" ref="V140">_xll.BDH(V$2 &amp; " US Equity","PX_LAST",$B140,$B140)</f>
        <v>43.39</v>
      </c>
      <c r="W140" cm="1">
        <f t="array" ref="W140">_xll.BDH(W$2 &amp; " US Equity","PX_LAST",$B140,$B140)</f>
        <v>170.96</v>
      </c>
      <c r="X140" cm="1">
        <f t="array" ref="X140">_xll.BDH(X$2 &amp; " US Equity","PX_LAST",$B140,$B140)</f>
        <v>60.51</v>
      </c>
      <c r="Y140" cm="1">
        <f t="array" ref="Y140">_xll.BDH(Y$2 &amp; " US Equity","PX_LAST",$B140,$B140)</f>
        <v>45.29</v>
      </c>
      <c r="Z140" cm="1">
        <f t="array" ref="Z140">_xll.BDH(Z$2 &amp; " US Equity","PX_LAST",$B140,$B140)</f>
        <v>400.39</v>
      </c>
      <c r="AA140" cm="1">
        <f t="array" ref="AA140">_xll.BDH(AA$2 &amp; " PE Equity","PX_LAST",$B140,$B140)</f>
        <v>0.81</v>
      </c>
      <c r="AB140" cm="1">
        <f t="array" ref="AB140">_xll.BDH(AB$2 &amp; " PE Equity","PX_LAST",$B140,$B140)</f>
        <v>29.4</v>
      </c>
      <c r="AC140" cm="1">
        <f t="array" ref="AC140">_xll.BDH(AC$2 &amp; " US Equity","PX_LAST",$B140,$B140)</f>
        <v>74.66</v>
      </c>
      <c r="AD140" cm="1">
        <f t="array" ref="AD140">_xll.BDH(AD$2 &amp; " US Equity","PX_LAST",$B140,$B140)</f>
        <v>691.66</v>
      </c>
      <c r="AE140" t="str" cm="1">
        <f t="array" ref="AE140">_xll.BDH(AE$2 &amp; " PE Equity","PX_LAST",$B140,$B140)</f>
        <v>#N/A Connection</v>
      </c>
      <c r="AF140" cm="1">
        <f t="array" ref="AF140">_xll.BDH(AF$2 &amp; " US Equity","PX_LAST",$B140,$B140)</f>
        <v>58.714100000000002</v>
      </c>
      <c r="AG140" cm="1">
        <f t="array" ref="AG140">_xll.BDH(AG$2 &amp; " US Equity","PX_LAST",$B140,$B140)</f>
        <v>13.365</v>
      </c>
      <c r="AH140" cm="1">
        <f t="array" ref="AH140">_xll.BDH(AH$2 &amp; " US Equity","PX_LAST",$B140,$B140)</f>
        <v>621.26</v>
      </c>
      <c r="AI140" cm="1">
        <f t="array" ref="AI140">_xll.BDH(AI$2 &amp; " US Equity","PX_LAST",$B140,$B140)</f>
        <v>111.69</v>
      </c>
      <c r="AJ140" cm="1">
        <f t="array" ref="AJ140">_xll.BDH(AJ$2 &amp; " US Equity","PX_LAST",$B140,$B140)</f>
        <v>111.2</v>
      </c>
      <c r="AK140" cm="1">
        <f t="array" ref="AK140">_xll.BDH(AK$2 &amp; " US Equity","PX_LAST",$B140,$B140)</f>
        <v>122.3</v>
      </c>
      <c r="AL140" cm="1">
        <f t="array" ref="AL140">_xll.BDH(AL$2 &amp; " US Equity","PX_LAST",$B140,$B140)</f>
        <v>239.12</v>
      </c>
      <c r="AM140" cm="1">
        <f t="array" ref="AM140">_xll.BDH(AM$2 &amp; " US Equity","PX_LAST",$B140,$B140)</f>
        <v>54.14</v>
      </c>
      <c r="AN140" cm="1">
        <f t="array" ref="AN140">_xll.BDH(AN$2 &amp; " US Equity","PX_LAST",$B140,$B140)</f>
        <v>24.94</v>
      </c>
      <c r="AO140" cm="1">
        <f t="array" ref="AO140">_xll.BDH(AO$2 &amp; " US Equity","PX_LAST",$B140,$B140)</f>
        <v>56.88</v>
      </c>
      <c r="AP140" cm="1">
        <f t="array" ref="AP140">_xll.BDH(AP$2 &amp; " US Equity","PX_LAST",$B140,$B140)</f>
        <v>4.63</v>
      </c>
      <c r="AQ140" cm="1">
        <f t="array" ref="AQ140">_xll.BDH(AQ$2 &amp; " US Equity","PX_LAST",$B140,$B140)</f>
        <v>99.32</v>
      </c>
      <c r="AR140" cm="1">
        <f t="array" ref="AR140">_xll.BDH(AR$2 &amp; " US Equity","PX_LAST",$B140,$B140)</f>
        <v>75.75</v>
      </c>
      <c r="AS140" cm="1">
        <f t="array" ref="AS140">_xll.BDH(AS$2 &amp; " US Equity","PX_LAST",$B140,$B140)</f>
        <v>88</v>
      </c>
      <c r="AT140" cm="1">
        <f t="array" ref="AT140">_xll.BDH(AT$2 &amp; " US Equity","PX_LAST",$B140,$B140)</f>
        <v>4.71</v>
      </c>
      <c r="AU140" cm="1">
        <f t="array" ref="AU140">_xll.BDH(AU$2 &amp; " US Equity","PX_LAST",$B140,$B140)</f>
        <v>331.02</v>
      </c>
      <c r="AV140" cm="1">
        <f t="array" ref="AV140">_xll.BDH(AV$2 &amp; " US Equity","PX_LAST",$B140,$B140)</f>
        <v>240.14</v>
      </c>
      <c r="AW140" cm="1">
        <f t="array" ref="AW140">_xll.BDH(AW$2 &amp; " US Equity","PX_LAST",$B140,$B140)</f>
        <v>131.41999999999999</v>
      </c>
    </row>
    <row r="141" spans="2:49">
      <c r="B141" s="13">
        <v>46039</v>
      </c>
      <c r="C141" t="str" cm="1">
        <f t="array" ref="C141">_xll.BDH(C$2 &amp; " US Equity","PX_LAST",$B141,$B141)</f>
        <v>#N/A N/A</v>
      </c>
      <c r="D141" t="str" cm="1">
        <f t="array" ref="D141">_xll.BDH(D$2 &amp; " PE Equity","PX_LAST",$B141,$B141)</f>
        <v>#N/A N/A</v>
      </c>
      <c r="E141" t="str" cm="1">
        <f t="array" ref="E141">_xll.BDH(E$2 &amp; " PE Equity","PX_LAST",$B141,$B141)</f>
        <v>#N/A N/A</v>
      </c>
      <c r="F141" t="str" cm="1">
        <f t="array" ref="F141">_xll.BDH(F$2 &amp; " PE Equity","PX_LAST",$B141,$B141)</f>
        <v>#N/A N/A</v>
      </c>
      <c r="G141" t="str" cm="1">
        <f t="array" ref="G141">_xll.BDH(G$2 &amp; " US Equity","PX_LAST",$B141,$B141)</f>
        <v>#N/A N/A</v>
      </c>
      <c r="H141" t="str" cm="1">
        <f t="array" ref="H141">_xll.BDH(H$2 &amp; " PE Equity","PX_LAST",$B141,$B141)</f>
        <v>#N/A N/A</v>
      </c>
      <c r="I141" t="str" cm="1">
        <f t="array" ref="I141">_xll.BDH(I$2 &amp; " US Equity","PX_LAST",$B141,$B141)</f>
        <v>#N/A N/A</v>
      </c>
      <c r="J141" t="str" cm="1">
        <f t="array" ref="J141">_xll.BDH(J$2 &amp; " US Equity","PX_LAST",$B141,$B141)</f>
        <v>#N/A N/A</v>
      </c>
      <c r="K141" t="str" cm="1">
        <f t="array" ref="K141">_xll.BDH(K$2 &amp; " US Equity","PX_LAST",$B141,$B141)</f>
        <v>#N/A N/A</v>
      </c>
      <c r="L141" t="str" cm="1">
        <f t="array" ref="L141">_xll.BDH(L$2 &amp; " US Equity","PX_LAST",$B141,$B141)</f>
        <v>#N/A N/A</v>
      </c>
      <c r="M141" t="str" cm="1">
        <f t="array" ref="M141">_xll.BDH(M$2 &amp; " US Equity","PX_LAST",$B141,$B141)</f>
        <v>#N/A N/A</v>
      </c>
      <c r="N141" t="str" cm="1">
        <f t="array" ref="N141">_xll.BDH(N$2 &amp; " US Equity","PX_LAST",$B141,$B141)</f>
        <v>#N/A N/A</v>
      </c>
      <c r="O141" t="str" cm="1">
        <f t="array" ref="O141">_xll.BDH(O$2 &amp; " US Equity","PX_LAST",$B141,$B141)</f>
        <v>#N/A N/A</v>
      </c>
      <c r="P141" t="str" cm="1">
        <f t="array" ref="P141">_xll.BDH(P$2 &amp; " US Equity","PX_LAST",$B141,$B141)</f>
        <v>#N/A N/A</v>
      </c>
      <c r="Q141" t="str" cm="1">
        <f t="array" ref="Q141">_xll.BDH(Q$2 &amp; " US Equity","PX_LAST",$B141,$B141)</f>
        <v>#N/A N/A</v>
      </c>
      <c r="R141" t="str" cm="1">
        <f t="array" ref="R141">_xll.BDH(R$2 &amp; " US Equity","PX_LAST",$B141,$B141)</f>
        <v>#N/A N/A</v>
      </c>
      <c r="S141" t="str" cm="1">
        <f t="array" ref="S141">_xll.BDH(S$2 &amp; " US Equity","PX_LAST",$B141,$B141)</f>
        <v>#N/A N/A</v>
      </c>
      <c r="T141" t="str" cm="1">
        <f t="array" ref="T141">_xll.BDH(T$2 &amp; " US Equity","PX_LAST",$B141,$B141)</f>
        <v>#N/A N/A</v>
      </c>
      <c r="U141" t="str" cm="1">
        <f t="array" ref="U141">_xll.BDH(U$2 &amp; " US Equity","PX_LAST",$B141,$B141)</f>
        <v>#N/A N/A</v>
      </c>
      <c r="V141" t="str" cm="1">
        <f t="array" ref="V141">_xll.BDH(V$2 &amp; " US Equity","PX_LAST",$B141,$B141)</f>
        <v>#N/A N/A</v>
      </c>
      <c r="W141" t="str" cm="1">
        <f t="array" ref="W141">_xll.BDH(W$2 &amp; " US Equity","PX_LAST",$B141,$B141)</f>
        <v>#N/A N/A</v>
      </c>
      <c r="X141" t="str" cm="1">
        <f t="array" ref="X141">_xll.BDH(X$2 &amp; " US Equity","PX_LAST",$B141,$B141)</f>
        <v>#N/A N/A</v>
      </c>
      <c r="Y141" t="str" cm="1">
        <f t="array" ref="Y141">_xll.BDH(Y$2 &amp; " US Equity","PX_LAST",$B141,$B141)</f>
        <v>#N/A N/A</v>
      </c>
      <c r="Z141" t="str" cm="1">
        <f t="array" ref="Z141">_xll.BDH(Z$2 &amp; " US Equity","PX_LAST",$B141,$B141)</f>
        <v>#N/A N/A</v>
      </c>
      <c r="AA141" t="str" cm="1">
        <f t="array" ref="AA141">_xll.BDH(AA$2 &amp; " PE Equity","PX_LAST",$B141,$B141)</f>
        <v>#N/A N/A</v>
      </c>
      <c r="AB141" t="str" cm="1">
        <f t="array" ref="AB141">_xll.BDH(AB$2 &amp; " PE Equity","PX_LAST",$B141,$B141)</f>
        <v>#N/A N/A</v>
      </c>
      <c r="AC141" t="str" cm="1">
        <f t="array" ref="AC141">_xll.BDH(AC$2 &amp; " US Equity","PX_LAST",$B141,$B141)</f>
        <v>#N/A N/A</v>
      </c>
      <c r="AD141" t="str" cm="1">
        <f t="array" ref="AD141">_xll.BDH(AD$2 &amp; " US Equity","PX_LAST",$B141,$B141)</f>
        <v>#N/A N/A</v>
      </c>
      <c r="AE141" t="str" cm="1">
        <f t="array" ref="AE141">_xll.BDH(AE$2 &amp; " PE Equity","PX_LAST",$B141,$B141)</f>
        <v>#N/A Connection</v>
      </c>
      <c r="AF141" t="str" cm="1">
        <f t="array" ref="AF141">_xll.BDH(AF$2 &amp; " US Equity","PX_LAST",$B141,$B141)</f>
        <v>#N/A N/A</v>
      </c>
      <c r="AG141" t="str" cm="1">
        <f t="array" ref="AG141">_xll.BDH(AG$2 &amp; " US Equity","PX_LAST",$B141,$B141)</f>
        <v>#N/A N/A</v>
      </c>
      <c r="AH141" t="str" cm="1">
        <f t="array" ref="AH141">_xll.BDH(AH$2 &amp; " US Equity","PX_LAST",$B141,$B141)</f>
        <v>#N/A N/A</v>
      </c>
      <c r="AI141" t="str" cm="1">
        <f t="array" ref="AI141">_xll.BDH(AI$2 &amp; " US Equity","PX_LAST",$B141,$B141)</f>
        <v>#N/A N/A</v>
      </c>
      <c r="AJ141" t="str" cm="1">
        <f t="array" ref="AJ141">_xll.BDH(AJ$2 &amp; " US Equity","PX_LAST",$B141,$B141)</f>
        <v>#N/A N/A</v>
      </c>
      <c r="AK141" t="str" cm="1">
        <f t="array" ref="AK141">_xll.BDH(AK$2 &amp; " US Equity","PX_LAST",$B141,$B141)</f>
        <v>#N/A N/A</v>
      </c>
      <c r="AL141" t="str" cm="1">
        <f t="array" ref="AL141">_xll.BDH(AL$2 &amp; " US Equity","PX_LAST",$B141,$B141)</f>
        <v>#N/A N/A</v>
      </c>
      <c r="AM141" t="str" cm="1">
        <f t="array" ref="AM141">_xll.BDH(AM$2 &amp; " US Equity","PX_LAST",$B141,$B141)</f>
        <v>#N/A N/A</v>
      </c>
      <c r="AN141" t="str" cm="1">
        <f t="array" ref="AN141">_xll.BDH(AN$2 &amp; " US Equity","PX_LAST",$B141,$B141)</f>
        <v>#N/A N/A</v>
      </c>
      <c r="AO141" t="str" cm="1">
        <f t="array" ref="AO141">_xll.BDH(AO$2 &amp; " US Equity","PX_LAST",$B141,$B141)</f>
        <v>#N/A N/A</v>
      </c>
      <c r="AP141" t="str" cm="1">
        <f t="array" ref="AP141">_xll.BDH(AP$2 &amp; " US Equity","PX_LAST",$B141,$B141)</f>
        <v>#N/A N/A</v>
      </c>
      <c r="AQ141" t="str" cm="1">
        <f t="array" ref="AQ141">_xll.BDH(AQ$2 &amp; " US Equity","PX_LAST",$B141,$B141)</f>
        <v>#N/A N/A</v>
      </c>
      <c r="AR141" t="str" cm="1">
        <f t="array" ref="AR141">_xll.BDH(AR$2 &amp; " US Equity","PX_LAST",$B141,$B141)</f>
        <v>#N/A N/A</v>
      </c>
      <c r="AS141" t="str" cm="1">
        <f t="array" ref="AS141">_xll.BDH(AS$2 &amp; " US Equity","PX_LAST",$B141,$B141)</f>
        <v>#N/A N/A</v>
      </c>
      <c r="AT141" t="str" cm="1">
        <f t="array" ref="AT141">_xll.BDH(AT$2 &amp; " US Equity","PX_LAST",$B141,$B141)</f>
        <v>#N/A N/A</v>
      </c>
      <c r="AU141" t="str" cm="1">
        <f t="array" ref="AU141">_xll.BDH(AU$2 &amp; " US Equity","PX_LAST",$B141,$B141)</f>
        <v>#N/A N/A</v>
      </c>
      <c r="AV141" t="str" cm="1">
        <f t="array" ref="AV141">_xll.BDH(AV$2 &amp; " US Equity","PX_LAST",$B141,$B141)</f>
        <v>#N/A N/A</v>
      </c>
      <c r="AW141" t="str" cm="1">
        <f t="array" ref="AW141">_xll.BDH(AW$2 &amp; " US Equity","PX_LAST",$B141,$B141)</f>
        <v>#N/A N/A</v>
      </c>
    </row>
    <row r="142" spans="2:49">
      <c r="B142" s="13">
        <v>46040</v>
      </c>
      <c r="C142" t="str" cm="1">
        <f t="array" ref="C142">_xll.BDH(C$2 &amp; " US Equity","PX_LAST",$B142,$B142)</f>
        <v>#N/A N/A</v>
      </c>
      <c r="D142" t="str" cm="1">
        <f t="array" ref="D142">_xll.BDH(D$2 &amp; " PE Equity","PX_LAST",$B142,$B142)</f>
        <v>#N/A N/A</v>
      </c>
      <c r="E142" t="str" cm="1">
        <f t="array" ref="E142">_xll.BDH(E$2 &amp; " PE Equity","PX_LAST",$B142,$B142)</f>
        <v>#N/A N/A</v>
      </c>
      <c r="F142" t="str" cm="1">
        <f t="array" ref="F142">_xll.BDH(F$2 &amp; " PE Equity","PX_LAST",$B142,$B142)</f>
        <v>#N/A N/A</v>
      </c>
      <c r="G142" t="str" cm="1">
        <f t="array" ref="G142">_xll.BDH(G$2 &amp; " US Equity","PX_LAST",$B142,$B142)</f>
        <v>#N/A N/A</v>
      </c>
      <c r="H142" t="str" cm="1">
        <f t="array" ref="H142">_xll.BDH(H$2 &amp; " PE Equity","PX_LAST",$B142,$B142)</f>
        <v>#N/A N/A</v>
      </c>
      <c r="I142" t="str" cm="1">
        <f t="array" ref="I142">_xll.BDH(I$2 &amp; " US Equity","PX_LAST",$B142,$B142)</f>
        <v>#N/A N/A</v>
      </c>
      <c r="J142" t="str" cm="1">
        <f t="array" ref="J142">_xll.BDH(J$2 &amp; " US Equity","PX_LAST",$B142,$B142)</f>
        <v>#N/A N/A</v>
      </c>
      <c r="K142" t="str" cm="1">
        <f t="array" ref="K142">_xll.BDH(K$2 &amp; " US Equity","PX_LAST",$B142,$B142)</f>
        <v>#N/A N/A</v>
      </c>
      <c r="L142" t="str" cm="1">
        <f t="array" ref="L142">_xll.BDH(L$2 &amp; " US Equity","PX_LAST",$B142,$B142)</f>
        <v>#N/A N/A</v>
      </c>
      <c r="M142" t="str" cm="1">
        <f t="array" ref="M142">_xll.BDH(M$2 &amp; " US Equity","PX_LAST",$B142,$B142)</f>
        <v>#N/A N/A</v>
      </c>
      <c r="N142" t="str" cm="1">
        <f t="array" ref="N142">_xll.BDH(N$2 &amp; " US Equity","PX_LAST",$B142,$B142)</f>
        <v>#N/A N/A</v>
      </c>
      <c r="O142" t="str" cm="1">
        <f t="array" ref="O142">_xll.BDH(O$2 &amp; " US Equity","PX_LAST",$B142,$B142)</f>
        <v>#N/A N/A</v>
      </c>
      <c r="P142" t="str" cm="1">
        <f t="array" ref="P142">_xll.BDH(P$2 &amp; " US Equity","PX_LAST",$B142,$B142)</f>
        <v>#N/A N/A</v>
      </c>
      <c r="Q142" t="str" cm="1">
        <f t="array" ref="Q142">_xll.BDH(Q$2 &amp; " US Equity","PX_LAST",$B142,$B142)</f>
        <v>#N/A N/A</v>
      </c>
      <c r="R142" t="str" cm="1">
        <f t="array" ref="R142">_xll.BDH(R$2 &amp; " US Equity","PX_LAST",$B142,$B142)</f>
        <v>#N/A N/A</v>
      </c>
      <c r="S142" t="str" cm="1">
        <f t="array" ref="S142">_xll.BDH(S$2 &amp; " US Equity","PX_LAST",$B142,$B142)</f>
        <v>#N/A N/A</v>
      </c>
      <c r="T142" t="str" cm="1">
        <f t="array" ref="T142">_xll.BDH(T$2 &amp; " US Equity","PX_LAST",$B142,$B142)</f>
        <v>#N/A N/A</v>
      </c>
      <c r="U142" t="str" cm="1">
        <f t="array" ref="U142">_xll.BDH(U$2 &amp; " US Equity","PX_LAST",$B142,$B142)</f>
        <v>#N/A N/A</v>
      </c>
      <c r="V142" t="str" cm="1">
        <f t="array" ref="V142">_xll.BDH(V$2 &amp; " US Equity","PX_LAST",$B142,$B142)</f>
        <v>#N/A N/A</v>
      </c>
      <c r="W142" t="str" cm="1">
        <f t="array" ref="W142">_xll.BDH(W$2 &amp; " US Equity","PX_LAST",$B142,$B142)</f>
        <v>#N/A N/A</v>
      </c>
      <c r="X142" t="str" cm="1">
        <f t="array" ref="X142">_xll.BDH(X$2 &amp; " US Equity","PX_LAST",$B142,$B142)</f>
        <v>#N/A N/A</v>
      </c>
      <c r="Y142" t="str" cm="1">
        <f t="array" ref="Y142">_xll.BDH(Y$2 &amp; " US Equity","PX_LAST",$B142,$B142)</f>
        <v>#N/A N/A</v>
      </c>
      <c r="Z142" t="str" cm="1">
        <f t="array" ref="Z142">_xll.BDH(Z$2 &amp; " US Equity","PX_LAST",$B142,$B142)</f>
        <v>#N/A N/A</v>
      </c>
      <c r="AA142" t="str" cm="1">
        <f t="array" ref="AA142">_xll.BDH(AA$2 &amp; " PE Equity","PX_LAST",$B142,$B142)</f>
        <v>#N/A N/A</v>
      </c>
      <c r="AB142" t="str" cm="1">
        <f t="array" ref="AB142">_xll.BDH(AB$2 &amp; " PE Equity","PX_LAST",$B142,$B142)</f>
        <v>#N/A N/A</v>
      </c>
      <c r="AC142" t="str" cm="1">
        <f t="array" ref="AC142">_xll.BDH(AC$2 &amp; " US Equity","PX_LAST",$B142,$B142)</f>
        <v>#N/A N/A</v>
      </c>
      <c r="AD142" t="str" cm="1">
        <f t="array" ref="AD142">_xll.BDH(AD$2 &amp; " US Equity","PX_LAST",$B142,$B142)</f>
        <v>#N/A N/A</v>
      </c>
      <c r="AE142" t="str" cm="1">
        <f t="array" ref="AE142">_xll.BDH(AE$2 &amp; " PE Equity","PX_LAST",$B142,$B142)</f>
        <v>#N/A Connection</v>
      </c>
      <c r="AF142" t="str" cm="1">
        <f t="array" ref="AF142">_xll.BDH(AF$2 &amp; " US Equity","PX_LAST",$B142,$B142)</f>
        <v>#N/A N/A</v>
      </c>
      <c r="AG142" t="str" cm="1">
        <f t="array" ref="AG142">_xll.BDH(AG$2 &amp; " US Equity","PX_LAST",$B142,$B142)</f>
        <v>#N/A N/A</v>
      </c>
      <c r="AH142" t="str" cm="1">
        <f t="array" ref="AH142">_xll.BDH(AH$2 &amp; " US Equity","PX_LAST",$B142,$B142)</f>
        <v>#N/A N/A</v>
      </c>
      <c r="AI142" t="str" cm="1">
        <f t="array" ref="AI142">_xll.BDH(AI$2 &amp; " US Equity","PX_LAST",$B142,$B142)</f>
        <v>#N/A N/A</v>
      </c>
      <c r="AJ142" t="str" cm="1">
        <f t="array" ref="AJ142">_xll.BDH(AJ$2 &amp; " US Equity","PX_LAST",$B142,$B142)</f>
        <v>#N/A N/A</v>
      </c>
      <c r="AK142" t="str" cm="1">
        <f t="array" ref="AK142">_xll.BDH(AK$2 &amp; " US Equity","PX_LAST",$B142,$B142)</f>
        <v>#N/A N/A</v>
      </c>
      <c r="AL142" t="str" cm="1">
        <f t="array" ref="AL142">_xll.BDH(AL$2 &amp; " US Equity","PX_LAST",$B142,$B142)</f>
        <v>#N/A N/A</v>
      </c>
      <c r="AM142" t="str" cm="1">
        <f t="array" ref="AM142">_xll.BDH(AM$2 &amp; " US Equity","PX_LAST",$B142,$B142)</f>
        <v>#N/A N/A</v>
      </c>
      <c r="AN142" t="str" cm="1">
        <f t="array" ref="AN142">_xll.BDH(AN$2 &amp; " US Equity","PX_LAST",$B142,$B142)</f>
        <v>#N/A N/A</v>
      </c>
      <c r="AO142" t="str" cm="1">
        <f t="array" ref="AO142">_xll.BDH(AO$2 &amp; " US Equity","PX_LAST",$B142,$B142)</f>
        <v>#N/A N/A</v>
      </c>
      <c r="AP142" t="str" cm="1">
        <f t="array" ref="AP142">_xll.BDH(AP$2 &amp; " US Equity","PX_LAST",$B142,$B142)</f>
        <v>#N/A N/A</v>
      </c>
      <c r="AQ142" t="str" cm="1">
        <f t="array" ref="AQ142">_xll.BDH(AQ$2 &amp; " US Equity","PX_LAST",$B142,$B142)</f>
        <v>#N/A N/A</v>
      </c>
      <c r="AR142" t="str" cm="1">
        <f t="array" ref="AR142">_xll.BDH(AR$2 &amp; " US Equity","PX_LAST",$B142,$B142)</f>
        <v>#N/A N/A</v>
      </c>
      <c r="AS142" t="str" cm="1">
        <f t="array" ref="AS142">_xll.BDH(AS$2 &amp; " US Equity","PX_LAST",$B142,$B142)</f>
        <v>#N/A N/A</v>
      </c>
      <c r="AT142" t="str" cm="1">
        <f t="array" ref="AT142">_xll.BDH(AT$2 &amp; " US Equity","PX_LAST",$B142,$B142)</f>
        <v>#N/A N/A</v>
      </c>
      <c r="AU142" t="str" cm="1">
        <f t="array" ref="AU142">_xll.BDH(AU$2 &amp; " US Equity","PX_LAST",$B142,$B142)</f>
        <v>#N/A N/A</v>
      </c>
      <c r="AV142" t="str" cm="1">
        <f t="array" ref="AV142">_xll.BDH(AV$2 &amp; " US Equity","PX_LAST",$B142,$B142)</f>
        <v>#N/A N/A</v>
      </c>
      <c r="AW142" t="str" cm="1">
        <f t="array" ref="AW142">_xll.BDH(AW$2 &amp; " US Equity","PX_LAST",$B142,$B142)</f>
        <v>#N/A N/A</v>
      </c>
    </row>
    <row r="143" spans="2:49">
      <c r="B143" s="13">
        <v>46041</v>
      </c>
      <c r="C143" t="str" cm="1">
        <f t="array" ref="C143">_xll.BDH(C$2 &amp; " US Equity","PX_LAST",$B143,$B143)</f>
        <v>#N/A N/A</v>
      </c>
      <c r="D143" cm="1">
        <f t="array" ref="D143">_xll.BDH(D$2 &amp; " PE Equity","PX_LAST",$B143,$B143)</f>
        <v>6.65</v>
      </c>
      <c r="E143" cm="1">
        <f t="array" ref="E143">_xll.BDH(E$2 &amp; " PE Equity","PX_LAST",$B143,$B143)</f>
        <v>2.35</v>
      </c>
      <c r="F143" cm="1">
        <f t="array" ref="F143">_xll.BDH(F$2 &amp; " PE Equity","PX_LAST",$B143,$B143)</f>
        <v>2.8</v>
      </c>
      <c r="G143" t="str" cm="1">
        <f t="array" ref="G143">_xll.BDH(G$2 &amp; " US Equity","PX_LAST",$B143,$B143)</f>
        <v>#N/A N/A</v>
      </c>
      <c r="H143" cm="1">
        <f t="array" ref="H143">_xll.BDH(H$2 &amp; " PE Equity","PX_LAST",$B143,$B143)</f>
        <v>4.05</v>
      </c>
      <c r="I143" t="str" cm="1">
        <f t="array" ref="I143">_xll.BDH(I$2 &amp; " US Equity","PX_LAST",$B143,$B143)</f>
        <v>#N/A N/A</v>
      </c>
      <c r="J143" t="str" cm="1">
        <f t="array" ref="J143">_xll.BDH(J$2 &amp; " US Equity","PX_LAST",$B143,$B143)</f>
        <v>#N/A N/A</v>
      </c>
      <c r="K143" t="str" cm="1">
        <f t="array" ref="K143">_xll.BDH(K$2 &amp; " US Equity","PX_LAST",$B143,$B143)</f>
        <v>#N/A N/A</v>
      </c>
      <c r="L143" t="str" cm="1">
        <f t="array" ref="L143">_xll.BDH(L$2 &amp; " US Equity","PX_LAST",$B143,$B143)</f>
        <v>#N/A N/A</v>
      </c>
      <c r="M143" t="str" cm="1">
        <f t="array" ref="M143">_xll.BDH(M$2 &amp; " US Equity","PX_LAST",$B143,$B143)</f>
        <v>#N/A N/A</v>
      </c>
      <c r="N143" t="str" cm="1">
        <f t="array" ref="N143">_xll.BDH(N$2 &amp; " US Equity","PX_LAST",$B143,$B143)</f>
        <v>#N/A N/A</v>
      </c>
      <c r="O143" t="str" cm="1">
        <f t="array" ref="O143">_xll.BDH(O$2 &amp; " US Equity","PX_LAST",$B143,$B143)</f>
        <v>#N/A N/A</v>
      </c>
      <c r="P143" t="str" cm="1">
        <f t="array" ref="P143">_xll.BDH(P$2 &amp; " US Equity","PX_LAST",$B143,$B143)</f>
        <v>#N/A N/A</v>
      </c>
      <c r="Q143" t="str" cm="1">
        <f t="array" ref="Q143">_xll.BDH(Q$2 &amp; " US Equity","PX_LAST",$B143,$B143)</f>
        <v>#N/A N/A</v>
      </c>
      <c r="R143" t="str" cm="1">
        <f t="array" ref="R143">_xll.BDH(R$2 &amp; " US Equity","PX_LAST",$B143,$B143)</f>
        <v>#N/A N/A</v>
      </c>
      <c r="S143" t="str" cm="1">
        <f t="array" ref="S143">_xll.BDH(S$2 &amp; " US Equity","PX_LAST",$B143,$B143)</f>
        <v>#N/A N/A</v>
      </c>
      <c r="T143" t="str" cm="1">
        <f t="array" ref="T143">_xll.BDH(T$2 &amp; " US Equity","PX_LAST",$B143,$B143)</f>
        <v>#N/A N/A</v>
      </c>
      <c r="U143" t="str" cm="1">
        <f t="array" ref="U143">_xll.BDH(U$2 &amp; " US Equity","PX_LAST",$B143,$B143)</f>
        <v>#N/A N/A</v>
      </c>
      <c r="V143" t="str" cm="1">
        <f t="array" ref="V143">_xll.BDH(V$2 &amp; " US Equity","PX_LAST",$B143,$B143)</f>
        <v>#N/A N/A</v>
      </c>
      <c r="W143" t="str" cm="1">
        <f t="array" ref="W143">_xll.BDH(W$2 &amp; " US Equity","PX_LAST",$B143,$B143)</f>
        <v>#N/A N/A</v>
      </c>
      <c r="X143" t="str" cm="1">
        <f t="array" ref="X143">_xll.BDH(X$2 &amp; " US Equity","PX_LAST",$B143,$B143)</f>
        <v>#N/A N/A</v>
      </c>
      <c r="Y143" t="str" cm="1">
        <f t="array" ref="Y143">_xll.BDH(Y$2 &amp; " US Equity","PX_LAST",$B143,$B143)</f>
        <v>#N/A N/A</v>
      </c>
      <c r="Z143" t="str" cm="1">
        <f t="array" ref="Z143">_xll.BDH(Z$2 &amp; " US Equity","PX_LAST",$B143,$B143)</f>
        <v>#N/A N/A</v>
      </c>
      <c r="AA143" cm="1">
        <f t="array" ref="AA143">_xll.BDH(AA$2 &amp; " PE Equity","PX_LAST",$B143,$B143)</f>
        <v>0.84</v>
      </c>
      <c r="AB143" cm="1">
        <f t="array" ref="AB143">_xll.BDH(AB$2 &amp; " PE Equity","PX_LAST",$B143,$B143)</f>
        <v>29.31</v>
      </c>
      <c r="AC143" t="str" cm="1">
        <f t="array" ref="AC143">_xll.BDH(AC$2 &amp; " US Equity","PX_LAST",$B143,$B143)</f>
        <v>#N/A N/A</v>
      </c>
      <c r="AD143" t="str" cm="1">
        <f t="array" ref="AD143">_xll.BDH(AD$2 &amp; " US Equity","PX_LAST",$B143,$B143)</f>
        <v>#N/A N/A</v>
      </c>
      <c r="AE143" t="str" cm="1">
        <f t="array" ref="AE143">_xll.BDH(AE$2 &amp; " PE Equity","PX_LAST",$B143,$B143)</f>
        <v>#N/A Connection</v>
      </c>
      <c r="AF143" t="str" cm="1">
        <f t="array" ref="AF143">_xll.BDH(AF$2 &amp; " US Equity","PX_LAST",$B143,$B143)</f>
        <v>#N/A N/A</v>
      </c>
      <c r="AG143" t="str" cm="1">
        <f t="array" ref="AG143">_xll.BDH(AG$2 &amp; " US Equity","PX_LAST",$B143,$B143)</f>
        <v>#N/A N/A</v>
      </c>
      <c r="AH143" t="str" cm="1">
        <f t="array" ref="AH143">_xll.BDH(AH$2 &amp; " US Equity","PX_LAST",$B143,$B143)</f>
        <v>#N/A N/A</v>
      </c>
      <c r="AI143" t="str" cm="1">
        <f t="array" ref="AI143">_xll.BDH(AI$2 &amp; " US Equity","PX_LAST",$B143,$B143)</f>
        <v>#N/A N/A</v>
      </c>
      <c r="AJ143" t="str" cm="1">
        <f t="array" ref="AJ143">_xll.BDH(AJ$2 &amp; " US Equity","PX_LAST",$B143,$B143)</f>
        <v>#N/A N/A</v>
      </c>
      <c r="AK143" t="str" cm="1">
        <f t="array" ref="AK143">_xll.BDH(AK$2 &amp; " US Equity","PX_LAST",$B143,$B143)</f>
        <v>#N/A N/A</v>
      </c>
      <c r="AL143" t="str" cm="1">
        <f t="array" ref="AL143">_xll.BDH(AL$2 &amp; " US Equity","PX_LAST",$B143,$B143)</f>
        <v>#N/A N/A</v>
      </c>
      <c r="AM143" t="str" cm="1">
        <f t="array" ref="AM143">_xll.BDH(AM$2 &amp; " US Equity","PX_LAST",$B143,$B143)</f>
        <v>#N/A N/A</v>
      </c>
      <c r="AN143" t="str" cm="1">
        <f t="array" ref="AN143">_xll.BDH(AN$2 &amp; " US Equity","PX_LAST",$B143,$B143)</f>
        <v>#N/A N/A</v>
      </c>
      <c r="AO143" t="str" cm="1">
        <f t="array" ref="AO143">_xll.BDH(AO$2 &amp; " US Equity","PX_LAST",$B143,$B143)</f>
        <v>#N/A N/A</v>
      </c>
      <c r="AP143" t="str" cm="1">
        <f t="array" ref="AP143">_xll.BDH(AP$2 &amp; " US Equity","PX_LAST",$B143,$B143)</f>
        <v>#N/A N/A</v>
      </c>
      <c r="AQ143" t="str" cm="1">
        <f t="array" ref="AQ143">_xll.BDH(AQ$2 &amp; " US Equity","PX_LAST",$B143,$B143)</f>
        <v>#N/A N/A</v>
      </c>
      <c r="AR143" t="str" cm="1">
        <f t="array" ref="AR143">_xll.BDH(AR$2 &amp; " US Equity","PX_LAST",$B143,$B143)</f>
        <v>#N/A N/A</v>
      </c>
      <c r="AS143" t="str" cm="1">
        <f t="array" ref="AS143">_xll.BDH(AS$2 &amp; " US Equity","PX_LAST",$B143,$B143)</f>
        <v>#N/A N/A</v>
      </c>
      <c r="AT143" t="str" cm="1">
        <f t="array" ref="AT143">_xll.BDH(AT$2 &amp; " US Equity","PX_LAST",$B143,$B143)</f>
        <v>#N/A N/A</v>
      </c>
      <c r="AU143" t="str" cm="1">
        <f t="array" ref="AU143">_xll.BDH(AU$2 &amp; " US Equity","PX_LAST",$B143,$B143)</f>
        <v>#N/A N/A</v>
      </c>
      <c r="AV143" t="str" cm="1">
        <f t="array" ref="AV143">_xll.BDH(AV$2 &amp; " US Equity","PX_LAST",$B143,$B143)</f>
        <v>#N/A N/A</v>
      </c>
      <c r="AW143" t="str" cm="1">
        <f t="array" ref="AW143">_xll.BDH(AW$2 &amp; " US Equity","PX_LAST",$B143,$B143)</f>
        <v>#N/A N/A</v>
      </c>
    </row>
    <row r="144" spans="2:49">
      <c r="B144" s="13">
        <v>46042</v>
      </c>
      <c r="C144" cm="1">
        <f t="array" ref="C144">_xll.BDH(C$2 &amp; " US Equity","PX_LAST",$B144,$B144)</f>
        <v>301.02999999999997</v>
      </c>
      <c r="D144" cm="1">
        <f t="array" ref="D144">_xll.BDH(D$2 &amp; " PE Equity","PX_LAST",$B144,$B144)</f>
        <v>6.63</v>
      </c>
      <c r="E144" cm="1">
        <f t="array" ref="E144">_xll.BDH(E$2 &amp; " PE Equity","PX_LAST",$B144,$B144)</f>
        <v>2.4500000000000002</v>
      </c>
      <c r="F144" cm="1">
        <f t="array" ref="F144">_xll.BDH(F$2 &amp; " PE Equity","PX_LAST",$B144,$B144)</f>
        <v>2.82</v>
      </c>
      <c r="G144" cm="1">
        <f t="array" ref="G144">_xll.BDH(G$2 &amp; " US Equity","PX_LAST",$B144,$B144)</f>
        <v>20</v>
      </c>
      <c r="H144" cm="1">
        <f t="array" ref="H144">_xll.BDH(H$2 &amp; " PE Equity","PX_LAST",$B144,$B144)</f>
        <v>4</v>
      </c>
      <c r="I144" cm="1">
        <f t="array" ref="I144">_xll.BDH(I$2 &amp; " US Equity","PX_LAST",$B144,$B144)</f>
        <v>51.49</v>
      </c>
      <c r="J144" cm="1">
        <f t="array" ref="J144">_xll.BDH(J$2 &amp; " US Equity","PX_LAST",$B144,$B144)</f>
        <v>7.45</v>
      </c>
      <c r="K144" cm="1">
        <f t="array" ref="K144">_xll.BDH(K$2 &amp; " US Equity","PX_LAST",$B144,$B144)</f>
        <v>53.83</v>
      </c>
      <c r="L144" cm="1">
        <f t="array" ref="L144">_xll.BDH(L$2 &amp; " US Equity","PX_LAST",$B144,$B144)</f>
        <v>57.31</v>
      </c>
      <c r="M144" cm="1">
        <f t="array" ref="M144">_xll.BDH(M$2 &amp; " US Equity","PX_LAST",$B144,$B144)</f>
        <v>326.93</v>
      </c>
      <c r="N144" cm="1">
        <f t="array" ref="N144">_xll.BDH(N$2 &amp; " US Equity","PX_LAST",$B144,$B144)</f>
        <v>36.979999999999997</v>
      </c>
      <c r="O144" cm="1">
        <f t="array" ref="O144">_xll.BDH(O$2 &amp; " US Equity","PX_LAST",$B144,$B144)</f>
        <v>33.619999999999997</v>
      </c>
      <c r="P144" cm="1">
        <f t="array" ref="P144">_xll.BDH(P$2 &amp; " US Equity","PX_LAST",$B144,$B144)</f>
        <v>17.53</v>
      </c>
      <c r="Q144" cm="1">
        <f t="array" ref="Q144">_xll.BDH(Q$2 &amp; " US Equity","PX_LAST",$B144,$B144)</f>
        <v>25.52</v>
      </c>
      <c r="R144" cm="1">
        <f t="array" ref="R144">_xll.BDH(R$2 &amp; " US Equity","PX_LAST",$B144,$B144)</f>
        <v>37.590000000000003</v>
      </c>
      <c r="S144" cm="1">
        <f t="array" ref="S144">_xll.BDH(S$2 &amp; " US Equity","PX_LAST",$B144,$B144)</f>
        <v>163.53</v>
      </c>
      <c r="T144" cm="1">
        <f t="array" ref="T144">_xll.BDH(T$2 &amp; " US Equity","PX_LAST",$B144,$B144)</f>
        <v>64.930000000000007</v>
      </c>
      <c r="U144" cm="1">
        <f t="array" ref="U144">_xll.BDH(U$2 &amp; " US Equity","PX_LAST",$B144,$B144)</f>
        <v>150.02000000000001</v>
      </c>
      <c r="V144" cm="1">
        <f t="array" ref="V144">_xll.BDH(V$2 &amp; " US Equity","PX_LAST",$B144,$B144)</f>
        <v>42.96</v>
      </c>
      <c r="W144" cm="1">
        <f t="array" ref="W144">_xll.BDH(W$2 &amp; " US Equity","PX_LAST",$B144,$B144)</f>
        <v>168.53</v>
      </c>
      <c r="X144" cm="1">
        <f t="array" ref="X144">_xll.BDH(X$2 &amp; " US Equity","PX_LAST",$B144,$B144)</f>
        <v>60.16</v>
      </c>
      <c r="Y144" cm="1">
        <f t="array" ref="Y144">_xll.BDH(Y$2 &amp; " US Equity","PX_LAST",$B144,$B144)</f>
        <v>44.55</v>
      </c>
      <c r="Z144" cm="1">
        <f t="array" ref="Z144">_xll.BDH(Z$2 &amp; " US Equity","PX_LAST",$B144,$B144)</f>
        <v>390.39</v>
      </c>
      <c r="AA144" cm="1">
        <f t="array" ref="AA144">_xll.BDH(AA$2 &amp; " PE Equity","PX_LAST",$B144,$B144)</f>
        <v>0.84</v>
      </c>
      <c r="AB144" cm="1">
        <f t="array" ref="AB144">_xll.BDH(AB$2 &amp; " PE Equity","PX_LAST",$B144,$B144)</f>
        <v>28.75</v>
      </c>
      <c r="AC144" cm="1">
        <f t="array" ref="AC144">_xll.BDH(AC$2 &amp; " US Equity","PX_LAST",$B144,$B144)</f>
        <v>73.52</v>
      </c>
      <c r="AD144" cm="1">
        <f t="array" ref="AD144">_xll.BDH(AD$2 &amp; " US Equity","PX_LAST",$B144,$B144)</f>
        <v>677.58</v>
      </c>
      <c r="AE144" t="str" cm="1">
        <f t="array" ref="AE144">_xll.BDH(AE$2 &amp; " PE Equity","PX_LAST",$B144,$B144)</f>
        <v>#N/A Connection</v>
      </c>
      <c r="AF144" cm="1">
        <f t="array" ref="AF144">_xll.BDH(AF$2 &amp; " US Equity","PX_LAST",$B144,$B144)</f>
        <v>58.572200000000002</v>
      </c>
      <c r="AG144" cm="1">
        <f t="array" ref="AG144">_xll.BDH(AG$2 &amp; " US Equity","PX_LAST",$B144,$B144)</f>
        <v>13.47</v>
      </c>
      <c r="AH144" cm="1">
        <f t="array" ref="AH144">_xll.BDH(AH$2 &amp; " US Equity","PX_LAST",$B144,$B144)</f>
        <v>608.05999999999995</v>
      </c>
      <c r="AI144" cm="1">
        <f t="array" ref="AI144">_xll.BDH(AI$2 &amp; " US Equity","PX_LAST",$B144,$B144)</f>
        <v>108.35</v>
      </c>
      <c r="AJ144" cm="1">
        <f t="array" ref="AJ144">_xll.BDH(AJ$2 &amp; " US Equity","PX_LAST",$B144,$B144)</f>
        <v>110.34</v>
      </c>
      <c r="AK144" cm="1">
        <f t="array" ref="AK144">_xll.BDH(AK$2 &amp; " US Equity","PX_LAST",$B144,$B144)</f>
        <v>119.12</v>
      </c>
      <c r="AL144" cm="1">
        <f t="array" ref="AL144">_xll.BDH(AL$2 &amp; " US Equity","PX_LAST",$B144,$B144)</f>
        <v>231</v>
      </c>
      <c r="AM144" cm="1">
        <f t="array" ref="AM144">_xll.BDH(AM$2 &amp; " US Equity","PX_LAST",$B144,$B144)</f>
        <v>50.73</v>
      </c>
      <c r="AN144" cm="1">
        <f t="array" ref="AN144">_xll.BDH(AN$2 &amp; " US Equity","PX_LAST",$B144,$B144)</f>
        <v>24.26</v>
      </c>
      <c r="AO144" cm="1">
        <f t="array" ref="AO144">_xll.BDH(AO$2 &amp; " US Equity","PX_LAST",$B144,$B144)</f>
        <v>55.25</v>
      </c>
      <c r="AP144" cm="1">
        <f t="array" ref="AP144">_xll.BDH(AP$2 &amp; " US Equity","PX_LAST",$B144,$B144)</f>
        <v>4.63</v>
      </c>
      <c r="AQ144" cm="1">
        <f t="array" ref="AQ144">_xll.BDH(AQ$2 &amp; " US Equity","PX_LAST",$B144,$B144)</f>
        <v>101.48</v>
      </c>
      <c r="AR144" cm="1">
        <f t="array" ref="AR144">_xll.BDH(AR$2 &amp; " US Equity","PX_LAST",$B144,$B144)</f>
        <v>77.09</v>
      </c>
      <c r="AS144" cm="1">
        <f t="array" ref="AS144">_xll.BDH(AS$2 &amp; " US Equity","PX_LAST",$B144,$B144)</f>
        <v>87.26</v>
      </c>
      <c r="AT144" cm="1">
        <f t="array" ref="AT144">_xll.BDH(AT$2 &amp; " US Equity","PX_LAST",$B144,$B144)</f>
        <v>4.5599999999999996</v>
      </c>
      <c r="AU144" cm="1">
        <f t="array" ref="AU144">_xll.BDH(AU$2 &amp; " US Equity","PX_LAST",$B144,$B144)</f>
        <v>338.43</v>
      </c>
      <c r="AV144" cm="1">
        <f t="array" ref="AV144">_xll.BDH(AV$2 &amp; " US Equity","PX_LAST",$B144,$B144)</f>
        <v>240.61</v>
      </c>
      <c r="AW144" cm="1">
        <f t="array" ref="AW144">_xll.BDH(AW$2 &amp; " US Equity","PX_LAST",$B144,$B144)</f>
        <v>122.9</v>
      </c>
    </row>
    <row r="145" spans="2:49">
      <c r="B145" s="13">
        <v>46043</v>
      </c>
      <c r="C145" cm="1">
        <f t="array" ref="C145">_xll.BDH(C$2 &amp; " US Equity","PX_LAST",$B145,$B145)</f>
        <v>306.95</v>
      </c>
      <c r="D145" cm="1">
        <f t="array" ref="D145">_xll.BDH(D$2 &amp; " PE Equity","PX_LAST",$B145,$B145)</f>
        <v>6.56</v>
      </c>
      <c r="E145" cm="1">
        <f t="array" ref="E145">_xll.BDH(E$2 &amp; " PE Equity","PX_LAST",$B145,$B145)</f>
        <v>2.6</v>
      </c>
      <c r="F145" cm="1">
        <f t="array" ref="F145">_xll.BDH(F$2 &amp; " PE Equity","PX_LAST",$B145,$B145)</f>
        <v>2.96</v>
      </c>
      <c r="G145" cm="1">
        <f t="array" ref="G145">_xll.BDH(G$2 &amp; " US Equity","PX_LAST",$B145,$B145)</f>
        <v>20.34</v>
      </c>
      <c r="H145" cm="1">
        <f t="array" ref="H145">_xll.BDH(H$2 &amp; " PE Equity","PX_LAST",$B145,$B145)</f>
        <v>4</v>
      </c>
      <c r="I145" cm="1">
        <f t="array" ref="I145">_xll.BDH(I$2 &amp; " US Equity","PX_LAST",$B145,$B145)</f>
        <v>52.25</v>
      </c>
      <c r="J145" cm="1">
        <f t="array" ref="J145">_xll.BDH(J$2 &amp; " US Equity","PX_LAST",$B145,$B145)</f>
        <v>7.86</v>
      </c>
      <c r="K145" cm="1">
        <f t="array" ref="K145">_xll.BDH(K$2 &amp; " US Equity","PX_LAST",$B145,$B145)</f>
        <v>54.57</v>
      </c>
      <c r="L145" cm="1">
        <f t="array" ref="L145">_xll.BDH(L$2 &amp; " US Equity","PX_LAST",$B145,$B145)</f>
        <v>58.26</v>
      </c>
      <c r="M145" cm="1">
        <f t="array" ref="M145">_xll.BDH(M$2 &amp; " US Equity","PX_LAST",$B145,$B145)</f>
        <v>332.59</v>
      </c>
      <c r="N145" cm="1">
        <f t="array" ref="N145">_xll.BDH(N$2 &amp; " US Equity","PX_LAST",$B145,$B145)</f>
        <v>37.29</v>
      </c>
      <c r="O145" cm="1">
        <f t="array" ref="O145">_xll.BDH(O$2 &amp; " US Equity","PX_LAST",$B145,$B145)</f>
        <v>35.020000000000003</v>
      </c>
      <c r="P145" cm="1">
        <f t="array" ref="P145">_xll.BDH(P$2 &amp; " US Equity","PX_LAST",$B145,$B145)</f>
        <v>17.739999999999998</v>
      </c>
      <c r="Q145" cm="1">
        <f t="array" ref="Q145">_xll.BDH(Q$2 &amp; " US Equity","PX_LAST",$B145,$B145)</f>
        <v>25.89</v>
      </c>
      <c r="R145" cm="1">
        <f t="array" ref="R145">_xll.BDH(R$2 &amp; " US Equity","PX_LAST",$B145,$B145)</f>
        <v>37.03</v>
      </c>
      <c r="S145" cm="1">
        <f t="array" ref="S145">_xll.BDH(S$2 &amp; " US Equity","PX_LAST",$B145,$B145)</f>
        <v>166.36</v>
      </c>
      <c r="T145" cm="1">
        <f t="array" ref="T145">_xll.BDH(T$2 &amp; " US Equity","PX_LAST",$B145,$B145)</f>
        <v>65.66</v>
      </c>
      <c r="U145" cm="1">
        <f t="array" ref="U145">_xll.BDH(U$2 &amp; " US Equity","PX_LAST",$B145,$B145)</f>
        <v>162.28</v>
      </c>
      <c r="V145" cm="1">
        <f t="array" ref="V145">_xll.BDH(V$2 &amp; " US Equity","PX_LAST",$B145,$B145)</f>
        <v>43.02</v>
      </c>
      <c r="W145" cm="1">
        <f t="array" ref="W145">_xll.BDH(W$2 &amp; " US Equity","PX_LAST",$B145,$B145)</f>
        <v>165.33</v>
      </c>
      <c r="X145" cm="1">
        <f t="array" ref="X145">_xll.BDH(X$2 &amp; " US Equity","PX_LAST",$B145,$B145)</f>
        <v>60.49</v>
      </c>
      <c r="Y145" cm="1">
        <f t="array" ref="Y145">_xll.BDH(Y$2 &amp; " US Equity","PX_LAST",$B145,$B145)</f>
        <v>45.05</v>
      </c>
      <c r="Z145" cm="1">
        <f t="array" ref="Z145">_xll.BDH(Z$2 &amp; " US Equity","PX_LAST",$B145,$B145)</f>
        <v>401.93</v>
      </c>
      <c r="AA145" cm="1">
        <f t="array" ref="AA145">_xll.BDH(AA$2 &amp; " PE Equity","PX_LAST",$B145,$B145)</f>
        <v>0.86</v>
      </c>
      <c r="AB145" cm="1">
        <f t="array" ref="AB145">_xll.BDH(AB$2 &amp; " PE Equity","PX_LAST",$B145,$B145)</f>
        <v>28.4</v>
      </c>
      <c r="AC145" cm="1">
        <f t="array" ref="AC145">_xll.BDH(AC$2 &amp; " US Equity","PX_LAST",$B145,$B145)</f>
        <v>74.81</v>
      </c>
      <c r="AD145" cm="1">
        <f t="array" ref="AD145">_xll.BDH(AD$2 &amp; " US Equity","PX_LAST",$B145,$B145)</f>
        <v>685.4</v>
      </c>
      <c r="AE145" t="str" cm="1">
        <f t="array" ref="AE145">_xll.BDH(AE$2 &amp; " PE Equity","PX_LAST",$B145,$B145)</f>
        <v>#N/A Connection</v>
      </c>
      <c r="AF145" cm="1">
        <f t="array" ref="AF145">_xll.BDH(AF$2 &amp; " US Equity","PX_LAST",$B145,$B145)</f>
        <v>59.289700000000003</v>
      </c>
      <c r="AG145" cm="1">
        <f t="array" ref="AG145">_xll.BDH(AG$2 &amp; " US Equity","PX_LAST",$B145,$B145)</f>
        <v>14.0693</v>
      </c>
      <c r="AH145" cm="1">
        <f t="array" ref="AH145">_xll.BDH(AH$2 &amp; " US Equity","PX_LAST",$B145,$B145)</f>
        <v>616.28</v>
      </c>
      <c r="AI145" cm="1">
        <f t="array" ref="AI145">_xll.BDH(AI$2 &amp; " US Equity","PX_LAST",$B145,$B145)</f>
        <v>109.49</v>
      </c>
      <c r="AJ145" cm="1">
        <f t="array" ref="AJ145">_xll.BDH(AJ$2 &amp; " US Equity","PX_LAST",$B145,$B145)</f>
        <v>113.19</v>
      </c>
      <c r="AK145" cm="1">
        <f t="array" ref="AK145">_xll.BDH(AK$2 &amp; " US Equity","PX_LAST",$B145,$B145)</f>
        <v>121.4</v>
      </c>
      <c r="AL145" cm="1">
        <f t="array" ref="AL145">_xll.BDH(AL$2 &amp; " US Equity","PX_LAST",$B145,$B145)</f>
        <v>231.31</v>
      </c>
      <c r="AM145" cm="1">
        <f t="array" ref="AM145">_xll.BDH(AM$2 &amp; " US Equity","PX_LAST",$B145,$B145)</f>
        <v>52.73</v>
      </c>
      <c r="AN145" cm="1">
        <f t="array" ref="AN145">_xll.BDH(AN$2 &amp; " US Equity","PX_LAST",$B145,$B145)</f>
        <v>24.95</v>
      </c>
      <c r="AO145" cm="1">
        <f t="array" ref="AO145">_xll.BDH(AO$2 &amp; " US Equity","PX_LAST",$B145,$B145)</f>
        <v>57.13</v>
      </c>
      <c r="AP145" cm="1">
        <f t="array" ref="AP145">_xll.BDH(AP$2 &amp; " US Equity","PX_LAST",$B145,$B145)</f>
        <v>4.93</v>
      </c>
      <c r="AQ145" cm="1">
        <f t="array" ref="AQ145">_xll.BDH(AQ$2 &amp; " US Equity","PX_LAST",$B145,$B145)</f>
        <v>100.02</v>
      </c>
      <c r="AR145" cm="1">
        <f t="array" ref="AR145">_xll.BDH(AR$2 &amp; " US Equity","PX_LAST",$B145,$B145)</f>
        <v>79.59</v>
      </c>
      <c r="AS145" cm="1">
        <f t="array" ref="AS145">_xll.BDH(AS$2 &amp; " US Equity","PX_LAST",$B145,$B145)</f>
        <v>85.36</v>
      </c>
      <c r="AT145" cm="1">
        <f t="array" ref="AT145">_xll.BDH(AT$2 &amp; " US Equity","PX_LAST",$B145,$B145)</f>
        <v>4.67</v>
      </c>
      <c r="AU145" cm="1">
        <f t="array" ref="AU145">_xll.BDH(AU$2 &amp; " US Equity","PX_LAST",$B145,$B145)</f>
        <v>347.75</v>
      </c>
      <c r="AV145" cm="1">
        <f t="array" ref="AV145">_xll.BDH(AV$2 &amp; " US Equity","PX_LAST",$B145,$B145)</f>
        <v>238.23</v>
      </c>
      <c r="AW145" cm="1">
        <f t="array" ref="AW145">_xll.BDH(AW$2 &amp; " US Equity","PX_LAST",$B145,$B145)</f>
        <v>124.33</v>
      </c>
    </row>
    <row r="146" spans="2:49">
      <c r="B146" s="13">
        <v>46044</v>
      </c>
      <c r="C146" cm="1">
        <f t="array" ref="C146">_xll.BDH(C$2 &amp; " US Equity","PX_LAST",$B146,$B146)</f>
        <v>309.81</v>
      </c>
      <c r="D146" cm="1">
        <f t="array" ref="D146">_xll.BDH(D$2 &amp; " PE Equity","PX_LAST",$B146,$B146)</f>
        <v>6.54</v>
      </c>
      <c r="E146" cm="1">
        <f t="array" ref="E146">_xll.BDH(E$2 &amp; " PE Equity","PX_LAST",$B146,$B146)</f>
        <v>2.61</v>
      </c>
      <c r="F146" cm="1">
        <f t="array" ref="F146">_xll.BDH(F$2 &amp; " PE Equity","PX_LAST",$B146,$B146)</f>
        <v>3</v>
      </c>
      <c r="G146" cm="1">
        <f t="array" ref="G146">_xll.BDH(G$2 &amp; " US Equity","PX_LAST",$B146,$B146)</f>
        <v>19.93</v>
      </c>
      <c r="H146" cm="1">
        <f t="array" ref="H146">_xll.BDH(H$2 &amp; " PE Equity","PX_LAST",$B146,$B146)</f>
        <v>4</v>
      </c>
      <c r="I146" cm="1">
        <f t="array" ref="I146">_xll.BDH(I$2 &amp; " US Equity","PX_LAST",$B146,$B146)</f>
        <v>54.02</v>
      </c>
      <c r="J146" cm="1">
        <f t="array" ref="J146">_xll.BDH(J$2 &amp; " US Equity","PX_LAST",$B146,$B146)</f>
        <v>8.2100000000000009</v>
      </c>
      <c r="K146" cm="1">
        <f t="array" ref="K146">_xll.BDH(K$2 &amp; " US Equity","PX_LAST",$B146,$B146)</f>
        <v>54.92</v>
      </c>
      <c r="L146" cm="1">
        <f t="array" ref="L146">_xll.BDH(L$2 &amp; " US Equity","PX_LAST",$B146,$B146)</f>
        <v>58.7</v>
      </c>
      <c r="M146" cm="1">
        <f t="array" ref="M146">_xll.BDH(M$2 &amp; " US Equity","PX_LAST",$B146,$B146)</f>
        <v>340.61</v>
      </c>
      <c r="N146" cm="1">
        <f t="array" ref="N146">_xll.BDH(N$2 &amp; " US Equity","PX_LAST",$B146,$B146)</f>
        <v>37.57</v>
      </c>
      <c r="O146" cm="1">
        <f t="array" ref="O146">_xll.BDH(O$2 &amp; " US Equity","PX_LAST",$B146,$B146)</f>
        <v>35.950000000000003</v>
      </c>
      <c r="P146" cm="1">
        <f t="array" ref="P146">_xll.BDH(P$2 &amp; " US Equity","PX_LAST",$B146,$B146)</f>
        <v>18.11</v>
      </c>
      <c r="Q146" cm="1">
        <f t="array" ref="Q146">_xll.BDH(Q$2 &amp; " US Equity","PX_LAST",$B146,$B146)</f>
        <v>26.1</v>
      </c>
      <c r="R146" cm="1">
        <f t="array" ref="R146">_xll.BDH(R$2 &amp; " US Equity","PX_LAST",$B146,$B146)</f>
        <v>36.51</v>
      </c>
      <c r="S146" cm="1">
        <f t="array" ref="S146">_xll.BDH(S$2 &amp; " US Equity","PX_LAST",$B146,$B146)</f>
        <v>165.5</v>
      </c>
      <c r="T146" cm="1">
        <f t="array" ref="T146">_xll.BDH(T$2 &amp; " US Equity","PX_LAST",$B146,$B146)</f>
        <v>66.040000000000006</v>
      </c>
      <c r="U146" cm="1">
        <f t="array" ref="U146">_xll.BDH(U$2 &amp; " US Equity","PX_LAST",$B146,$B146)</f>
        <v>162.52000000000001</v>
      </c>
      <c r="V146" cm="1">
        <f t="array" ref="V146">_xll.BDH(V$2 &amp; " US Equity","PX_LAST",$B146,$B146)</f>
        <v>42.71</v>
      </c>
      <c r="W146" cm="1">
        <f t="array" ref="W146">_xll.BDH(W$2 &amp; " US Equity","PX_LAST",$B146,$B146)</f>
        <v>165.9</v>
      </c>
      <c r="X146" cm="1">
        <f t="array" ref="X146">_xll.BDH(X$2 &amp; " US Equity","PX_LAST",$B146,$B146)</f>
        <v>60.59</v>
      </c>
      <c r="Y146" cm="1">
        <f t="array" ref="Y146">_xll.BDH(Y$2 &amp; " US Equity","PX_LAST",$B146,$B146)</f>
        <v>45.16</v>
      </c>
      <c r="Z146" cm="1">
        <f t="array" ref="Z146">_xll.BDH(Z$2 &amp; " US Equity","PX_LAST",$B146,$B146)</f>
        <v>402.82</v>
      </c>
      <c r="AA146" cm="1">
        <f t="array" ref="AA146">_xll.BDH(AA$2 &amp; " PE Equity","PX_LAST",$B146,$B146)</f>
        <v>0.88</v>
      </c>
      <c r="AB146" cm="1">
        <f t="array" ref="AB146">_xll.BDH(AB$2 &amp; " PE Equity","PX_LAST",$B146,$B146)</f>
        <v>28</v>
      </c>
      <c r="AC146" cm="1">
        <f t="array" ref="AC146">_xll.BDH(AC$2 &amp; " US Equity","PX_LAST",$B146,$B146)</f>
        <v>75.150000000000006</v>
      </c>
      <c r="AD146" cm="1">
        <f t="array" ref="AD146">_xll.BDH(AD$2 &amp; " US Equity","PX_LAST",$B146,$B146)</f>
        <v>688.98</v>
      </c>
      <c r="AE146" t="str" cm="1">
        <f t="array" ref="AE146">_xll.BDH(AE$2 &amp; " PE Equity","PX_LAST",$B146,$B146)</f>
        <v>#N/A Connection</v>
      </c>
      <c r="AF146" cm="1">
        <f t="array" ref="AF146">_xll.BDH(AF$2 &amp; " US Equity","PX_LAST",$B146,$B146)</f>
        <v>59.674500000000002</v>
      </c>
      <c r="AG146" cm="1">
        <f t="array" ref="AG146">_xll.BDH(AG$2 &amp; " US Equity","PX_LAST",$B146,$B146)</f>
        <v>14.4322</v>
      </c>
      <c r="AH146" cm="1">
        <f t="array" ref="AH146">_xll.BDH(AH$2 &amp; " US Equity","PX_LAST",$B146,$B146)</f>
        <v>620.76</v>
      </c>
      <c r="AI146" cm="1">
        <f t="array" ref="AI146">_xll.BDH(AI$2 &amp; " US Equity","PX_LAST",$B146,$B146)</f>
        <v>108.77</v>
      </c>
      <c r="AJ146" cm="1">
        <f t="array" ref="AJ146">_xll.BDH(AJ$2 &amp; " US Equity","PX_LAST",$B146,$B146)</f>
        <v>113.21</v>
      </c>
      <c r="AK146" cm="1">
        <f t="array" ref="AK146">_xll.BDH(AK$2 &amp; " US Equity","PX_LAST",$B146,$B146)</f>
        <v>122.62</v>
      </c>
      <c r="AL146" cm="1">
        <f t="array" ref="AL146">_xll.BDH(AL$2 &amp; " US Equity","PX_LAST",$B146,$B146)</f>
        <v>234.34</v>
      </c>
      <c r="AM146" cm="1">
        <f t="array" ref="AM146">_xll.BDH(AM$2 &amp; " US Equity","PX_LAST",$B146,$B146)</f>
        <v>53.9</v>
      </c>
      <c r="AN146" cm="1">
        <f t="array" ref="AN146">_xll.BDH(AN$2 &amp; " US Equity","PX_LAST",$B146,$B146)</f>
        <v>25.151299999999999</v>
      </c>
      <c r="AO146" cm="1">
        <f t="array" ref="AO146">_xll.BDH(AO$2 &amp; " US Equity","PX_LAST",$B146,$B146)</f>
        <v>57.34</v>
      </c>
      <c r="AP146" cm="1">
        <f t="array" ref="AP146">_xll.BDH(AP$2 &amp; " US Equity","PX_LAST",$B146,$B146)</f>
        <v>5.66</v>
      </c>
      <c r="AQ146" cm="1">
        <f t="array" ref="AQ146">_xll.BDH(AQ$2 &amp; " US Equity","PX_LAST",$B146,$B146)</f>
        <v>102.19</v>
      </c>
      <c r="AR146" cm="1">
        <f t="array" ref="AR146">_xll.BDH(AR$2 &amp; " US Equity","PX_LAST",$B146,$B146)</f>
        <v>78.78</v>
      </c>
      <c r="AS146" cm="1">
        <f t="array" ref="AS146">_xll.BDH(AS$2 &amp; " US Equity","PX_LAST",$B146,$B146)</f>
        <v>83.54</v>
      </c>
      <c r="AT146" cm="1">
        <f t="array" ref="AT146">_xll.BDH(AT$2 &amp; " US Equity","PX_LAST",$B146,$B146)</f>
        <v>4.7699999999999996</v>
      </c>
      <c r="AU146" cm="1">
        <f t="array" ref="AU146">_xll.BDH(AU$2 &amp; " US Equity","PX_LAST",$B146,$B146)</f>
        <v>354.47</v>
      </c>
      <c r="AV146" cm="1">
        <f t="array" ref="AV146">_xll.BDH(AV$2 &amp; " US Equity","PX_LAST",$B146,$B146)</f>
        <v>241.1</v>
      </c>
      <c r="AW146" cm="1">
        <f t="array" ref="AW146">_xll.BDH(AW$2 &amp; " US Equity","PX_LAST",$B146,$B146)</f>
        <v>123.48</v>
      </c>
    </row>
    <row r="147" spans="2:49">
      <c r="B147" s="13">
        <v>46045</v>
      </c>
      <c r="C147" cm="1">
        <f t="array" ref="C147">_xll.BDH(C$2 &amp; " US Equity","PX_LAST",$B147,$B147)</f>
        <v>304.20999999999998</v>
      </c>
      <c r="D147" cm="1">
        <f t="array" ref="D147">_xll.BDH(D$2 &amp; " PE Equity","PX_LAST",$B147,$B147)</f>
        <v>6.75</v>
      </c>
      <c r="E147" cm="1">
        <f t="array" ref="E147">_xll.BDH(E$2 &amp; " PE Equity","PX_LAST",$B147,$B147)</f>
        <v>2.69</v>
      </c>
      <c r="F147" cm="1">
        <f t="array" ref="F147">_xll.BDH(F$2 &amp; " PE Equity","PX_LAST",$B147,$B147)</f>
        <v>3</v>
      </c>
      <c r="G147" cm="1">
        <f t="array" ref="G147">_xll.BDH(G$2 &amp; " US Equity","PX_LAST",$B147,$B147)</f>
        <v>19.25</v>
      </c>
      <c r="H147" cm="1">
        <f t="array" ref="H147">_xll.BDH(H$2 &amp; " PE Equity","PX_LAST",$B147,$B147)</f>
        <v>4.0999999999999996</v>
      </c>
      <c r="I147" cm="1">
        <f t="array" ref="I147">_xll.BDH(I$2 &amp; " US Equity","PX_LAST",$B147,$B147)</f>
        <v>55.23</v>
      </c>
      <c r="J147" cm="1">
        <f t="array" ref="J147">_xll.BDH(J$2 &amp; " US Equity","PX_LAST",$B147,$B147)</f>
        <v>8.2899999999999991</v>
      </c>
      <c r="K147" cm="1">
        <f t="array" ref="K147">_xll.BDH(K$2 &amp; " US Equity","PX_LAST",$B147,$B147)</f>
        <v>55.13</v>
      </c>
      <c r="L147" cm="1">
        <f t="array" ref="L147">_xll.BDH(L$2 &amp; " US Equity","PX_LAST",$B147,$B147)</f>
        <v>59.07</v>
      </c>
      <c r="M147" cm="1">
        <f t="array" ref="M147">_xll.BDH(M$2 &amp; " US Equity","PX_LAST",$B147,$B147)</f>
        <v>344.33</v>
      </c>
      <c r="N147" cm="1">
        <f t="array" ref="N147">_xll.BDH(N$2 &amp; " US Equity","PX_LAST",$B147,$B147)</f>
        <v>37.5</v>
      </c>
      <c r="O147" cm="1">
        <f t="array" ref="O147">_xll.BDH(O$2 &amp; " US Equity","PX_LAST",$B147,$B147)</f>
        <v>36.590000000000003</v>
      </c>
      <c r="P147" cm="1">
        <f t="array" ref="P147">_xll.BDH(P$2 &amp; " US Equity","PX_LAST",$B147,$B147)</f>
        <v>18.27</v>
      </c>
      <c r="Q147" cm="1">
        <f t="array" ref="Q147">_xll.BDH(Q$2 &amp; " US Equity","PX_LAST",$B147,$B147)</f>
        <v>25.65</v>
      </c>
      <c r="R147" cm="1">
        <f t="array" ref="R147">_xll.BDH(R$2 &amp; " US Equity","PX_LAST",$B147,$B147)</f>
        <v>37.1</v>
      </c>
      <c r="S147" cm="1">
        <f t="array" ref="S147">_xll.BDH(S$2 &amp; " US Equity","PX_LAST",$B147,$B147)</f>
        <v>164.22</v>
      </c>
      <c r="T147" cm="1">
        <f t="array" ref="T147">_xll.BDH(T$2 &amp; " US Equity","PX_LAST",$B147,$B147)</f>
        <v>66.47</v>
      </c>
      <c r="U147" cm="1">
        <f t="array" ref="U147">_xll.BDH(U$2 &amp; " US Equity","PX_LAST",$B147,$B147)</f>
        <v>161.44</v>
      </c>
      <c r="V147" cm="1">
        <f t="array" ref="V147">_xll.BDH(V$2 &amp; " US Equity","PX_LAST",$B147,$B147)</f>
        <v>42.56</v>
      </c>
      <c r="W147" cm="1">
        <f t="array" ref="W147">_xll.BDH(W$2 &amp; " US Equity","PX_LAST",$B147,$B147)</f>
        <v>169.6</v>
      </c>
      <c r="X147" cm="1">
        <f t="array" ref="X147">_xll.BDH(X$2 &amp; " US Equity","PX_LAST",$B147,$B147)</f>
        <v>60.87</v>
      </c>
      <c r="Y147" cm="1">
        <f t="array" ref="Y147">_xll.BDH(Y$2 &amp; " US Equity","PX_LAST",$B147,$B147)</f>
        <v>45.51</v>
      </c>
      <c r="Z147" cm="1">
        <f t="array" ref="Z147">_xll.BDH(Z$2 &amp; " US Equity","PX_LAST",$B147,$B147)</f>
        <v>400.09</v>
      </c>
      <c r="AA147" cm="1">
        <f t="array" ref="AA147">_xll.BDH(AA$2 &amp; " PE Equity","PX_LAST",$B147,$B147)</f>
        <v>0.91</v>
      </c>
      <c r="AB147" cm="1">
        <f t="array" ref="AB147">_xll.BDH(AB$2 &amp; " PE Equity","PX_LAST",$B147,$B147)</f>
        <v>28.9</v>
      </c>
      <c r="AC147" cm="1">
        <f t="array" ref="AC147">_xll.BDH(AC$2 &amp; " US Equity","PX_LAST",$B147,$B147)</f>
        <v>74.77</v>
      </c>
      <c r="AD147" cm="1">
        <f t="array" ref="AD147">_xll.BDH(AD$2 &amp; " US Equity","PX_LAST",$B147,$B147)</f>
        <v>689.23</v>
      </c>
      <c r="AE147" t="str" cm="1">
        <f t="array" ref="AE147">_xll.BDH(AE$2 &amp; " PE Equity","PX_LAST",$B147,$B147)</f>
        <v>#N/A Connection</v>
      </c>
      <c r="AF147" cm="1">
        <f t="array" ref="AF147">_xll.BDH(AF$2 &amp; " US Equity","PX_LAST",$B147,$B147)</f>
        <v>59.455300000000001</v>
      </c>
      <c r="AG147" cm="1">
        <f t="array" ref="AG147">_xll.BDH(AG$2 &amp; " US Equity","PX_LAST",$B147,$B147)</f>
        <v>14.6457</v>
      </c>
      <c r="AH147" cm="1">
        <f t="array" ref="AH147">_xll.BDH(AH$2 &amp; " US Equity","PX_LAST",$B147,$B147)</f>
        <v>622.72</v>
      </c>
      <c r="AI147" cm="1">
        <f t="array" ref="AI147">_xll.BDH(AI$2 &amp; " US Equity","PX_LAST",$B147,$B147)</f>
        <v>107.69</v>
      </c>
      <c r="AJ147" cm="1">
        <f t="array" ref="AJ147">_xll.BDH(AJ$2 &amp; " US Equity","PX_LAST",$B147,$B147)</f>
        <v>110.98</v>
      </c>
      <c r="AK147" cm="1">
        <f t="array" ref="AK147">_xll.BDH(AK$2 &amp; " US Equity","PX_LAST",$B147,$B147)</f>
        <v>123.13</v>
      </c>
      <c r="AL147" cm="1">
        <f t="array" ref="AL147">_xll.BDH(AL$2 &amp; " US Equity","PX_LAST",$B147,$B147)</f>
        <v>239.16</v>
      </c>
      <c r="AM147" cm="1">
        <f t="array" ref="AM147">_xll.BDH(AM$2 &amp; " US Equity","PX_LAST",$B147,$B147)</f>
        <v>54.38</v>
      </c>
      <c r="AN147" cm="1">
        <f t="array" ref="AN147">_xll.BDH(AN$2 &amp; " US Equity","PX_LAST",$B147,$B147)</f>
        <v>25.189</v>
      </c>
      <c r="AO147" cm="1">
        <f t="array" ref="AO147">_xll.BDH(AO$2 &amp; " US Equity","PX_LAST",$B147,$B147)</f>
        <v>57.76</v>
      </c>
      <c r="AP147" cm="1">
        <f t="array" ref="AP147">_xll.BDH(AP$2 &amp; " US Equity","PX_LAST",$B147,$B147)</f>
        <v>5.66</v>
      </c>
      <c r="AQ147" cm="1">
        <f t="array" ref="AQ147">_xll.BDH(AQ$2 &amp; " US Equity","PX_LAST",$B147,$B147)</f>
        <v>102.23</v>
      </c>
      <c r="AR147" cm="1">
        <f t="array" ref="AR147">_xll.BDH(AR$2 &amp; " US Equity","PX_LAST",$B147,$B147)</f>
        <v>82.08</v>
      </c>
      <c r="AS147" cm="1">
        <f t="array" ref="AS147">_xll.BDH(AS$2 &amp; " US Equity","PX_LAST",$B147,$B147)</f>
        <v>86.12</v>
      </c>
      <c r="AT147" cm="1">
        <f t="array" ref="AT147">_xll.BDH(AT$2 &amp; " US Equity","PX_LAST",$B147,$B147)</f>
        <v>4.6399999999999997</v>
      </c>
      <c r="AU147" cm="1">
        <f t="array" ref="AU147">_xll.BDH(AU$2 &amp; " US Equity","PX_LAST",$B147,$B147)</f>
        <v>356.26</v>
      </c>
      <c r="AV147" cm="1">
        <f t="array" ref="AV147">_xll.BDH(AV$2 &amp; " US Equity","PX_LAST",$B147,$B147)</f>
        <v>245.73</v>
      </c>
      <c r="AW147" cm="1">
        <f t="array" ref="AW147">_xll.BDH(AW$2 &amp; " US Equity","PX_LAST",$B147,$B147)</f>
        <v>121.25</v>
      </c>
    </row>
    <row r="148" spans="2:49">
      <c r="B148" s="13">
        <v>46046</v>
      </c>
      <c r="C148" t="str" cm="1">
        <f t="array" ref="C148">_xll.BDH(C$2 &amp; " US Equity","PX_LAST",$B148,$B148)</f>
        <v>#N/A N/A</v>
      </c>
      <c r="D148" t="str" cm="1">
        <f t="array" ref="D148">_xll.BDH(D$2 &amp; " PE Equity","PX_LAST",$B148,$B148)</f>
        <v>#N/A N/A</v>
      </c>
      <c r="E148" t="str" cm="1">
        <f t="array" ref="E148">_xll.BDH(E$2 &amp; " PE Equity","PX_LAST",$B148,$B148)</f>
        <v>#N/A N/A</v>
      </c>
      <c r="F148" t="str" cm="1">
        <f t="array" ref="F148">_xll.BDH(F$2 &amp; " PE Equity","PX_LAST",$B148,$B148)</f>
        <v>#N/A N/A</v>
      </c>
      <c r="G148" t="str" cm="1">
        <f t="array" ref="G148">_xll.BDH(G$2 &amp; " US Equity","PX_LAST",$B148,$B148)</f>
        <v>#N/A N/A</v>
      </c>
      <c r="H148" t="str" cm="1">
        <f t="array" ref="H148">_xll.BDH(H$2 &amp; " PE Equity","PX_LAST",$B148,$B148)</f>
        <v>#N/A N/A</v>
      </c>
      <c r="I148" t="str" cm="1">
        <f t="array" ref="I148">_xll.BDH(I$2 &amp; " US Equity","PX_LAST",$B148,$B148)</f>
        <v>#N/A N/A</v>
      </c>
      <c r="J148" t="str" cm="1">
        <f t="array" ref="J148">_xll.BDH(J$2 &amp; " US Equity","PX_LAST",$B148,$B148)</f>
        <v>#N/A N/A</v>
      </c>
      <c r="K148" t="str" cm="1">
        <f t="array" ref="K148">_xll.BDH(K$2 &amp; " US Equity","PX_LAST",$B148,$B148)</f>
        <v>#N/A N/A</v>
      </c>
      <c r="L148" t="str" cm="1">
        <f t="array" ref="L148">_xll.BDH(L$2 &amp; " US Equity","PX_LAST",$B148,$B148)</f>
        <v>#N/A N/A</v>
      </c>
      <c r="M148" t="str" cm="1">
        <f t="array" ref="M148">_xll.BDH(M$2 &amp; " US Equity","PX_LAST",$B148,$B148)</f>
        <v>#N/A N/A</v>
      </c>
      <c r="N148" t="str" cm="1">
        <f t="array" ref="N148">_xll.BDH(N$2 &amp; " US Equity","PX_LAST",$B148,$B148)</f>
        <v>#N/A N/A</v>
      </c>
      <c r="O148" t="str" cm="1">
        <f t="array" ref="O148">_xll.BDH(O$2 &amp; " US Equity","PX_LAST",$B148,$B148)</f>
        <v>#N/A N/A</v>
      </c>
      <c r="P148" t="str" cm="1">
        <f t="array" ref="P148">_xll.BDH(P$2 &amp; " US Equity","PX_LAST",$B148,$B148)</f>
        <v>#N/A N/A</v>
      </c>
      <c r="Q148" t="str" cm="1">
        <f t="array" ref="Q148">_xll.BDH(Q$2 &amp; " US Equity","PX_LAST",$B148,$B148)</f>
        <v>#N/A N/A</v>
      </c>
      <c r="R148" t="str" cm="1">
        <f t="array" ref="R148">_xll.BDH(R$2 &amp; " US Equity","PX_LAST",$B148,$B148)</f>
        <v>#N/A N/A</v>
      </c>
      <c r="S148" t="str" cm="1">
        <f t="array" ref="S148">_xll.BDH(S$2 &amp; " US Equity","PX_LAST",$B148,$B148)</f>
        <v>#N/A N/A</v>
      </c>
      <c r="T148" t="str" cm="1">
        <f t="array" ref="T148">_xll.BDH(T$2 &amp; " US Equity","PX_LAST",$B148,$B148)</f>
        <v>#N/A N/A</v>
      </c>
      <c r="U148" t="str" cm="1">
        <f t="array" ref="U148">_xll.BDH(U$2 &amp; " US Equity","PX_LAST",$B148,$B148)</f>
        <v>#N/A N/A</v>
      </c>
      <c r="V148" t="str" cm="1">
        <f t="array" ref="V148">_xll.BDH(V$2 &amp; " US Equity","PX_LAST",$B148,$B148)</f>
        <v>#N/A N/A</v>
      </c>
      <c r="W148" t="str" cm="1">
        <f t="array" ref="W148">_xll.BDH(W$2 &amp; " US Equity","PX_LAST",$B148,$B148)</f>
        <v>#N/A N/A</v>
      </c>
      <c r="X148" t="str" cm="1">
        <f t="array" ref="X148">_xll.BDH(X$2 &amp; " US Equity","PX_LAST",$B148,$B148)</f>
        <v>#N/A N/A</v>
      </c>
      <c r="Y148" t="str" cm="1">
        <f t="array" ref="Y148">_xll.BDH(Y$2 &amp; " US Equity","PX_LAST",$B148,$B148)</f>
        <v>#N/A N/A</v>
      </c>
      <c r="Z148" t="str" cm="1">
        <f t="array" ref="Z148">_xll.BDH(Z$2 &amp; " US Equity","PX_LAST",$B148,$B148)</f>
        <v>#N/A N/A</v>
      </c>
      <c r="AA148" t="str" cm="1">
        <f t="array" ref="AA148">_xll.BDH(AA$2 &amp; " PE Equity","PX_LAST",$B148,$B148)</f>
        <v>#N/A N/A</v>
      </c>
      <c r="AB148" t="str" cm="1">
        <f t="array" ref="AB148">_xll.BDH(AB$2 &amp; " PE Equity","PX_LAST",$B148,$B148)</f>
        <v>#N/A N/A</v>
      </c>
      <c r="AC148" t="str" cm="1">
        <f t="array" ref="AC148">_xll.BDH(AC$2 &amp; " US Equity","PX_LAST",$B148,$B148)</f>
        <v>#N/A N/A</v>
      </c>
      <c r="AD148" t="str" cm="1">
        <f t="array" ref="AD148">_xll.BDH(AD$2 &amp; " US Equity","PX_LAST",$B148,$B148)</f>
        <v>#N/A N/A</v>
      </c>
      <c r="AE148" t="str" cm="1">
        <f t="array" ref="AE148">_xll.BDH(AE$2 &amp; " PE Equity","PX_LAST",$B148,$B148)</f>
        <v>#N/A Connection</v>
      </c>
      <c r="AF148" t="str" cm="1">
        <f t="array" ref="AF148">_xll.BDH(AF$2 &amp; " US Equity","PX_LAST",$B148,$B148)</f>
        <v>#N/A N/A</v>
      </c>
      <c r="AG148" t="str" cm="1">
        <f t="array" ref="AG148">_xll.BDH(AG$2 &amp; " US Equity","PX_LAST",$B148,$B148)</f>
        <v>#N/A N/A</v>
      </c>
      <c r="AH148" t="str" cm="1">
        <f t="array" ref="AH148">_xll.BDH(AH$2 &amp; " US Equity","PX_LAST",$B148,$B148)</f>
        <v>#N/A N/A</v>
      </c>
      <c r="AI148" t="str" cm="1">
        <f t="array" ref="AI148">_xll.BDH(AI$2 &amp; " US Equity","PX_LAST",$B148,$B148)</f>
        <v>#N/A N/A</v>
      </c>
      <c r="AJ148" t="str" cm="1">
        <f t="array" ref="AJ148">_xll.BDH(AJ$2 &amp; " US Equity","PX_LAST",$B148,$B148)</f>
        <v>#N/A N/A</v>
      </c>
      <c r="AK148" t="str" cm="1">
        <f t="array" ref="AK148">_xll.BDH(AK$2 &amp; " US Equity","PX_LAST",$B148,$B148)</f>
        <v>#N/A N/A</v>
      </c>
      <c r="AL148" t="str" cm="1">
        <f t="array" ref="AL148">_xll.BDH(AL$2 &amp; " US Equity","PX_LAST",$B148,$B148)</f>
        <v>#N/A N/A</v>
      </c>
      <c r="AM148" t="str" cm="1">
        <f t="array" ref="AM148">_xll.BDH(AM$2 &amp; " US Equity","PX_LAST",$B148,$B148)</f>
        <v>#N/A N/A</v>
      </c>
      <c r="AN148" t="str" cm="1">
        <f t="array" ref="AN148">_xll.BDH(AN$2 &amp; " US Equity","PX_LAST",$B148,$B148)</f>
        <v>#N/A N/A</v>
      </c>
      <c r="AO148" t="str" cm="1">
        <f t="array" ref="AO148">_xll.BDH(AO$2 &amp; " US Equity","PX_LAST",$B148,$B148)</f>
        <v>#N/A N/A</v>
      </c>
      <c r="AP148" t="str" cm="1">
        <f t="array" ref="AP148">_xll.BDH(AP$2 &amp; " US Equity","PX_LAST",$B148,$B148)</f>
        <v>#N/A N/A</v>
      </c>
      <c r="AQ148" t="str" cm="1">
        <f t="array" ref="AQ148">_xll.BDH(AQ$2 &amp; " US Equity","PX_LAST",$B148,$B148)</f>
        <v>#N/A N/A</v>
      </c>
      <c r="AR148" t="str" cm="1">
        <f t="array" ref="AR148">_xll.BDH(AR$2 &amp; " US Equity","PX_LAST",$B148,$B148)</f>
        <v>#N/A N/A</v>
      </c>
      <c r="AS148" t="str" cm="1">
        <f t="array" ref="AS148">_xll.BDH(AS$2 &amp; " US Equity","PX_LAST",$B148,$B148)</f>
        <v>#N/A N/A</v>
      </c>
      <c r="AT148" t="str" cm="1">
        <f t="array" ref="AT148">_xll.BDH(AT$2 &amp; " US Equity","PX_LAST",$B148,$B148)</f>
        <v>#N/A N/A</v>
      </c>
      <c r="AU148" t="str" cm="1">
        <f t="array" ref="AU148">_xll.BDH(AU$2 &amp; " US Equity","PX_LAST",$B148,$B148)</f>
        <v>#N/A N/A</v>
      </c>
      <c r="AV148" t="str" cm="1">
        <f t="array" ref="AV148">_xll.BDH(AV$2 &amp; " US Equity","PX_LAST",$B148,$B148)</f>
        <v>#N/A N/A</v>
      </c>
      <c r="AW148" t="str" cm="1">
        <f t="array" ref="AW148">_xll.BDH(AW$2 &amp; " US Equity","PX_LAST",$B148,$B148)</f>
        <v>#N/A N/A</v>
      </c>
    </row>
    <row r="149" spans="2:49">
      <c r="B149" s="13">
        <v>46047</v>
      </c>
      <c r="C149" t="str" cm="1">
        <f t="array" ref="C149">_xll.BDH(C$2 &amp; " US Equity","PX_LAST",$B149,$B149)</f>
        <v>#N/A N/A</v>
      </c>
      <c r="D149" t="str" cm="1">
        <f t="array" ref="D149">_xll.BDH(D$2 &amp; " PE Equity","PX_LAST",$B149,$B149)</f>
        <v>#N/A N/A</v>
      </c>
      <c r="E149" t="str" cm="1">
        <f t="array" ref="E149">_xll.BDH(E$2 &amp; " PE Equity","PX_LAST",$B149,$B149)</f>
        <v>#N/A N/A</v>
      </c>
      <c r="F149" t="str" cm="1">
        <f t="array" ref="F149">_xll.BDH(F$2 &amp; " PE Equity","PX_LAST",$B149,$B149)</f>
        <v>#N/A N/A</v>
      </c>
      <c r="G149" t="str" cm="1">
        <f t="array" ref="G149">_xll.BDH(G$2 &amp; " US Equity","PX_LAST",$B149,$B149)</f>
        <v>#N/A N/A</v>
      </c>
      <c r="H149" t="str" cm="1">
        <f t="array" ref="H149">_xll.BDH(H$2 &amp; " PE Equity","PX_LAST",$B149,$B149)</f>
        <v>#N/A N/A</v>
      </c>
      <c r="I149" t="str" cm="1">
        <f t="array" ref="I149">_xll.BDH(I$2 &amp; " US Equity","PX_LAST",$B149,$B149)</f>
        <v>#N/A N/A</v>
      </c>
      <c r="J149" t="str" cm="1">
        <f t="array" ref="J149">_xll.BDH(J$2 &amp; " US Equity","PX_LAST",$B149,$B149)</f>
        <v>#N/A N/A</v>
      </c>
      <c r="K149" t="str" cm="1">
        <f t="array" ref="K149">_xll.BDH(K$2 &amp; " US Equity","PX_LAST",$B149,$B149)</f>
        <v>#N/A N/A</v>
      </c>
      <c r="L149" t="str" cm="1">
        <f t="array" ref="L149">_xll.BDH(L$2 &amp; " US Equity","PX_LAST",$B149,$B149)</f>
        <v>#N/A N/A</v>
      </c>
      <c r="M149" t="str" cm="1">
        <f t="array" ref="M149">_xll.BDH(M$2 &amp; " US Equity","PX_LAST",$B149,$B149)</f>
        <v>#N/A N/A</v>
      </c>
      <c r="N149" t="str" cm="1">
        <f t="array" ref="N149">_xll.BDH(N$2 &amp; " US Equity","PX_LAST",$B149,$B149)</f>
        <v>#N/A N/A</v>
      </c>
      <c r="O149" t="str" cm="1">
        <f t="array" ref="O149">_xll.BDH(O$2 &amp; " US Equity","PX_LAST",$B149,$B149)</f>
        <v>#N/A N/A</v>
      </c>
      <c r="P149" t="str" cm="1">
        <f t="array" ref="P149">_xll.BDH(P$2 &amp; " US Equity","PX_LAST",$B149,$B149)</f>
        <v>#N/A N/A</v>
      </c>
      <c r="Q149" t="str" cm="1">
        <f t="array" ref="Q149">_xll.BDH(Q$2 &amp; " US Equity","PX_LAST",$B149,$B149)</f>
        <v>#N/A N/A</v>
      </c>
      <c r="R149" t="str" cm="1">
        <f t="array" ref="R149">_xll.BDH(R$2 &amp; " US Equity","PX_LAST",$B149,$B149)</f>
        <v>#N/A N/A</v>
      </c>
      <c r="S149" t="str" cm="1">
        <f t="array" ref="S149">_xll.BDH(S$2 &amp; " US Equity","PX_LAST",$B149,$B149)</f>
        <v>#N/A N/A</v>
      </c>
      <c r="T149" t="str" cm="1">
        <f t="array" ref="T149">_xll.BDH(T$2 &amp; " US Equity","PX_LAST",$B149,$B149)</f>
        <v>#N/A N/A</v>
      </c>
      <c r="U149" t="str" cm="1">
        <f t="array" ref="U149">_xll.BDH(U$2 &amp; " US Equity","PX_LAST",$B149,$B149)</f>
        <v>#N/A N/A</v>
      </c>
      <c r="V149" t="str" cm="1">
        <f t="array" ref="V149">_xll.BDH(V$2 &amp; " US Equity","PX_LAST",$B149,$B149)</f>
        <v>#N/A N/A</v>
      </c>
      <c r="W149" t="str" cm="1">
        <f t="array" ref="W149">_xll.BDH(W$2 &amp; " US Equity","PX_LAST",$B149,$B149)</f>
        <v>#N/A N/A</v>
      </c>
      <c r="X149" t="str" cm="1">
        <f t="array" ref="X149">_xll.BDH(X$2 &amp; " US Equity","PX_LAST",$B149,$B149)</f>
        <v>#N/A N/A</v>
      </c>
      <c r="Y149" t="str" cm="1">
        <f t="array" ref="Y149">_xll.BDH(Y$2 &amp; " US Equity","PX_LAST",$B149,$B149)</f>
        <v>#N/A N/A</v>
      </c>
      <c r="Z149" t="str" cm="1">
        <f t="array" ref="Z149">_xll.BDH(Z$2 &amp; " US Equity","PX_LAST",$B149,$B149)</f>
        <v>#N/A N/A</v>
      </c>
      <c r="AA149" t="str" cm="1">
        <f t="array" ref="AA149">_xll.BDH(AA$2 &amp; " PE Equity","PX_LAST",$B149,$B149)</f>
        <v>#N/A N/A</v>
      </c>
      <c r="AB149" t="str" cm="1">
        <f t="array" ref="AB149">_xll.BDH(AB$2 &amp; " PE Equity","PX_LAST",$B149,$B149)</f>
        <v>#N/A N/A</v>
      </c>
      <c r="AC149" t="str" cm="1">
        <f t="array" ref="AC149">_xll.BDH(AC$2 &amp; " US Equity","PX_LAST",$B149,$B149)</f>
        <v>#N/A N/A</v>
      </c>
      <c r="AD149" t="str" cm="1">
        <f t="array" ref="AD149">_xll.BDH(AD$2 &amp; " US Equity","PX_LAST",$B149,$B149)</f>
        <v>#N/A N/A</v>
      </c>
      <c r="AE149" t="str" cm="1">
        <f t="array" ref="AE149">_xll.BDH(AE$2 &amp; " PE Equity","PX_LAST",$B149,$B149)</f>
        <v>#N/A Connection</v>
      </c>
      <c r="AF149" t="str" cm="1">
        <f t="array" ref="AF149">_xll.BDH(AF$2 &amp; " US Equity","PX_LAST",$B149,$B149)</f>
        <v>#N/A N/A</v>
      </c>
      <c r="AG149" t="str" cm="1">
        <f t="array" ref="AG149">_xll.BDH(AG$2 &amp; " US Equity","PX_LAST",$B149,$B149)</f>
        <v>#N/A N/A</v>
      </c>
      <c r="AH149" t="str" cm="1">
        <f t="array" ref="AH149">_xll.BDH(AH$2 &amp; " US Equity","PX_LAST",$B149,$B149)</f>
        <v>#N/A N/A</v>
      </c>
      <c r="AI149" t="str" cm="1">
        <f t="array" ref="AI149">_xll.BDH(AI$2 &amp; " US Equity","PX_LAST",$B149,$B149)</f>
        <v>#N/A N/A</v>
      </c>
      <c r="AJ149" t="str" cm="1">
        <f t="array" ref="AJ149">_xll.BDH(AJ$2 &amp; " US Equity","PX_LAST",$B149,$B149)</f>
        <v>#N/A N/A</v>
      </c>
      <c r="AK149" t="str" cm="1">
        <f t="array" ref="AK149">_xll.BDH(AK$2 &amp; " US Equity","PX_LAST",$B149,$B149)</f>
        <v>#N/A N/A</v>
      </c>
      <c r="AL149" t="str" cm="1">
        <f t="array" ref="AL149">_xll.BDH(AL$2 &amp; " US Equity","PX_LAST",$B149,$B149)</f>
        <v>#N/A N/A</v>
      </c>
      <c r="AM149" t="str" cm="1">
        <f t="array" ref="AM149">_xll.BDH(AM$2 &amp; " US Equity","PX_LAST",$B149,$B149)</f>
        <v>#N/A N/A</v>
      </c>
      <c r="AN149" t="str" cm="1">
        <f t="array" ref="AN149">_xll.BDH(AN$2 &amp; " US Equity","PX_LAST",$B149,$B149)</f>
        <v>#N/A N/A</v>
      </c>
      <c r="AO149" t="str" cm="1">
        <f t="array" ref="AO149">_xll.BDH(AO$2 &amp; " US Equity","PX_LAST",$B149,$B149)</f>
        <v>#N/A N/A</v>
      </c>
      <c r="AP149" t="str" cm="1">
        <f t="array" ref="AP149">_xll.BDH(AP$2 &amp; " US Equity","PX_LAST",$B149,$B149)</f>
        <v>#N/A N/A</v>
      </c>
      <c r="AQ149" t="str" cm="1">
        <f t="array" ref="AQ149">_xll.BDH(AQ$2 &amp; " US Equity","PX_LAST",$B149,$B149)</f>
        <v>#N/A N/A</v>
      </c>
      <c r="AR149" t="str" cm="1">
        <f t="array" ref="AR149">_xll.BDH(AR$2 &amp; " US Equity","PX_LAST",$B149,$B149)</f>
        <v>#N/A N/A</v>
      </c>
      <c r="AS149" t="str" cm="1">
        <f t="array" ref="AS149">_xll.BDH(AS$2 &amp; " US Equity","PX_LAST",$B149,$B149)</f>
        <v>#N/A N/A</v>
      </c>
      <c r="AT149" t="str" cm="1">
        <f t="array" ref="AT149">_xll.BDH(AT$2 &amp; " US Equity","PX_LAST",$B149,$B149)</f>
        <v>#N/A N/A</v>
      </c>
      <c r="AU149" t="str" cm="1">
        <f t="array" ref="AU149">_xll.BDH(AU$2 &amp; " US Equity","PX_LAST",$B149,$B149)</f>
        <v>#N/A N/A</v>
      </c>
      <c r="AV149" t="str" cm="1">
        <f t="array" ref="AV149">_xll.BDH(AV$2 &amp; " US Equity","PX_LAST",$B149,$B149)</f>
        <v>#N/A N/A</v>
      </c>
      <c r="AW149" t="str" cm="1">
        <f t="array" ref="AW149">_xll.BDH(AW$2 &amp; " US Equity","PX_LAST",$B149,$B149)</f>
        <v>#N/A N/A</v>
      </c>
    </row>
    <row r="150" spans="2:49">
      <c r="B150" s="13">
        <v>46048</v>
      </c>
      <c r="C150" cm="1">
        <f t="array" ref="C150">_xll.BDH(C$2 &amp; " US Equity","PX_LAST",$B150,$B150)</f>
        <v>304.47000000000003</v>
      </c>
      <c r="D150" cm="1">
        <f t="array" ref="D150">_xll.BDH(D$2 &amp; " PE Equity","PX_LAST",$B150,$B150)</f>
        <v>6.99</v>
      </c>
      <c r="E150" cm="1">
        <f t="array" ref="E150">_xll.BDH(E$2 &amp; " PE Equity","PX_LAST",$B150,$B150)</f>
        <v>2.76</v>
      </c>
      <c r="F150" cm="1">
        <f t="array" ref="F150">_xll.BDH(F$2 &amp; " PE Equity","PX_LAST",$B150,$B150)</f>
        <v>3.12</v>
      </c>
      <c r="G150" cm="1">
        <f t="array" ref="G150">_xll.BDH(G$2 &amp; " US Equity","PX_LAST",$B150,$B150)</f>
        <v>18.79</v>
      </c>
      <c r="H150" cm="1">
        <f t="array" ref="H150">_xll.BDH(H$2 &amp; " PE Equity","PX_LAST",$B150,$B150)</f>
        <v>4.16</v>
      </c>
      <c r="I150" cm="1">
        <f t="array" ref="I150">_xll.BDH(I$2 &amp; " US Equity","PX_LAST",$B150,$B150)</f>
        <v>55.11</v>
      </c>
      <c r="J150" cm="1">
        <f t="array" ref="J150">_xll.BDH(J$2 &amp; " US Equity","PX_LAST",$B150,$B150)</f>
        <v>8.39</v>
      </c>
      <c r="K150" cm="1">
        <f t="array" ref="K150">_xll.BDH(K$2 &amp; " US Equity","PX_LAST",$B150,$B150)</f>
        <v>56</v>
      </c>
      <c r="L150" cm="1">
        <f t="array" ref="L150">_xll.BDH(L$2 &amp; " US Equity","PX_LAST",$B150,$B150)</f>
        <v>59.17</v>
      </c>
      <c r="M150" cm="1">
        <f t="array" ref="M150">_xll.BDH(M$2 &amp; " US Equity","PX_LAST",$B150,$B150)</f>
        <v>349</v>
      </c>
      <c r="N150" cm="1">
        <f t="array" ref="N150">_xll.BDH(N$2 &amp; " US Equity","PX_LAST",$B150,$B150)</f>
        <v>37.85</v>
      </c>
      <c r="O150" cm="1">
        <f t="array" ref="O150">_xll.BDH(O$2 &amp; " US Equity","PX_LAST",$B150,$B150)</f>
        <v>36.61</v>
      </c>
      <c r="P150" cm="1">
        <f t="array" ref="P150">_xll.BDH(P$2 &amp; " US Equity","PX_LAST",$B150,$B150)</f>
        <v>18.2</v>
      </c>
      <c r="Q150" cm="1">
        <f t="array" ref="Q150">_xll.BDH(Q$2 &amp; " US Equity","PX_LAST",$B150,$B150)</f>
        <v>25.88</v>
      </c>
      <c r="R150" cm="1">
        <f t="array" ref="R150">_xll.BDH(R$2 &amp; " US Equity","PX_LAST",$B150,$B150)</f>
        <v>39.14</v>
      </c>
      <c r="S150" cm="1">
        <f t="array" ref="S150">_xll.BDH(S$2 &amp; " US Equity","PX_LAST",$B150,$B150)</f>
        <v>164.38</v>
      </c>
      <c r="T150" cm="1">
        <f t="array" ref="T150">_xll.BDH(T$2 &amp; " US Equity","PX_LAST",$B150,$B150)</f>
        <v>66.95</v>
      </c>
      <c r="U150" cm="1">
        <f t="array" ref="U150">_xll.BDH(U$2 &amp; " US Equity","PX_LAST",$B150,$B150)</f>
        <v>156.08000000000001</v>
      </c>
      <c r="V150" cm="1">
        <f t="array" ref="V150">_xll.BDH(V$2 &amp; " US Equity","PX_LAST",$B150,$B150)</f>
        <v>42.87</v>
      </c>
      <c r="W150" cm="1">
        <f t="array" ref="W150">_xll.BDH(W$2 &amp; " US Equity","PX_LAST",$B150,$B150)</f>
        <v>167.47</v>
      </c>
      <c r="X150" cm="1">
        <f t="array" ref="X150">_xll.BDH(X$2 &amp; " US Equity","PX_LAST",$B150,$B150)</f>
        <v>61.19</v>
      </c>
      <c r="Y150" cm="1">
        <f t="array" ref="Y150">_xll.BDH(Y$2 &amp; " US Equity","PX_LAST",$B150,$B150)</f>
        <v>45.65</v>
      </c>
      <c r="Z150" cm="1">
        <f t="array" ref="Z150">_xll.BDH(Z$2 &amp; " US Equity","PX_LAST",$B150,$B150)</f>
        <v>398.82</v>
      </c>
      <c r="AA150" cm="1">
        <f t="array" ref="AA150">_xll.BDH(AA$2 &amp; " PE Equity","PX_LAST",$B150,$B150)</f>
        <v>0.98</v>
      </c>
      <c r="AB150" cm="1">
        <f t="array" ref="AB150">_xll.BDH(AB$2 &amp; " PE Equity","PX_LAST",$B150,$B150)</f>
        <v>29</v>
      </c>
      <c r="AC150" cm="1">
        <f t="array" ref="AC150">_xll.BDH(AC$2 &amp; " US Equity","PX_LAST",$B150,$B150)</f>
        <v>74.98</v>
      </c>
      <c r="AD150" cm="1">
        <f t="array" ref="AD150">_xll.BDH(AD$2 &amp; " US Equity","PX_LAST",$B150,$B150)</f>
        <v>692.73</v>
      </c>
      <c r="AE150" t="str" cm="1">
        <f t="array" ref="AE150">_xll.BDH(AE$2 &amp; " PE Equity","PX_LAST",$B150,$B150)</f>
        <v>#N/A Connection</v>
      </c>
      <c r="AF150" cm="1">
        <f t="array" ref="AF150">_xll.BDH(AF$2 &amp; " US Equity","PX_LAST",$B150,$B150)</f>
        <v>59.664900000000003</v>
      </c>
      <c r="AG150" cm="1">
        <f t="array" ref="AG150">_xll.BDH(AG$2 &amp; " US Equity","PX_LAST",$B150,$B150)</f>
        <v>14.7256</v>
      </c>
      <c r="AH150" cm="1">
        <f t="array" ref="AH150">_xll.BDH(AH$2 &amp; " US Equity","PX_LAST",$B150,$B150)</f>
        <v>625.46</v>
      </c>
      <c r="AI150" cm="1">
        <f t="array" ref="AI150">_xll.BDH(AI$2 &amp; " US Equity","PX_LAST",$B150,$B150)</f>
        <v>108.98</v>
      </c>
      <c r="AJ150" cm="1">
        <f t="array" ref="AJ150">_xll.BDH(AJ$2 &amp; " US Equity","PX_LAST",$B150,$B150)</f>
        <v>111.31</v>
      </c>
      <c r="AK150" cm="1">
        <f t="array" ref="AK150">_xll.BDH(AK$2 &amp; " US Equity","PX_LAST",$B150,$B150)</f>
        <v>122.32</v>
      </c>
      <c r="AL150" cm="1">
        <f t="array" ref="AL150">_xll.BDH(AL$2 &amp; " US Equity","PX_LAST",$B150,$B150)</f>
        <v>238.42</v>
      </c>
      <c r="AM150" cm="1">
        <f t="array" ref="AM150">_xll.BDH(AM$2 &amp; " US Equity","PX_LAST",$B150,$B150)</f>
        <v>55.08</v>
      </c>
      <c r="AN150" cm="1">
        <f t="array" ref="AN150">_xll.BDH(AN$2 &amp; " US Equity","PX_LAST",$B150,$B150)</f>
        <v>24.899100000000001</v>
      </c>
      <c r="AO150" cm="1">
        <f t="array" ref="AO150">_xll.BDH(AO$2 &amp; " US Equity","PX_LAST",$B150,$B150)</f>
        <v>57.14</v>
      </c>
      <c r="AP150" cm="1">
        <f t="array" ref="AP150">_xll.BDH(AP$2 &amp; " US Equity","PX_LAST",$B150,$B150)</f>
        <v>5.59</v>
      </c>
      <c r="AQ150" cm="1">
        <f t="array" ref="AQ150">_xll.BDH(AQ$2 &amp; " US Equity","PX_LAST",$B150,$B150)</f>
        <v>101.14</v>
      </c>
      <c r="AR150" cm="1">
        <f t="array" ref="AR150">_xll.BDH(AR$2 &amp; " US Equity","PX_LAST",$B150,$B150)</f>
        <v>83.72</v>
      </c>
      <c r="AS150" cm="1">
        <f t="array" ref="AS150">_xll.BDH(AS$2 &amp; " US Equity","PX_LAST",$B150,$B150)</f>
        <v>85.7</v>
      </c>
      <c r="AT150" cm="1">
        <f t="array" ref="AT150">_xll.BDH(AT$2 &amp; " US Equity","PX_LAST",$B150,$B150)</f>
        <v>4.6100000000000003</v>
      </c>
      <c r="AU150" cm="1">
        <f t="array" ref="AU150">_xll.BDH(AU$2 &amp; " US Equity","PX_LAST",$B150,$B150)</f>
        <v>351.64</v>
      </c>
      <c r="AV150" cm="1">
        <f t="array" ref="AV150">_xll.BDH(AV$2 &amp; " US Equity","PX_LAST",$B150,$B150)</f>
        <v>245.625</v>
      </c>
      <c r="AW150" cm="1">
        <f t="array" ref="AW150">_xll.BDH(AW$2 &amp; " US Equity","PX_LAST",$B150,$B150)</f>
        <v>118.65</v>
      </c>
    </row>
    <row r="151" spans="2:49">
      <c r="B151" s="13">
        <v>46049</v>
      </c>
      <c r="C151" cm="1">
        <f t="array" ref="C151">_xll.BDH(C$2 &amp; " US Equity","PX_LAST",$B151,$B151)</f>
        <v>312.42</v>
      </c>
      <c r="D151" cm="1">
        <f t="array" ref="D151">_xll.BDH(D$2 &amp; " PE Equity","PX_LAST",$B151,$B151)</f>
        <v>7.15</v>
      </c>
      <c r="E151" cm="1">
        <f t="array" ref="E151">_xll.BDH(E$2 &amp; " PE Equity","PX_LAST",$B151,$B151)</f>
        <v>2.74</v>
      </c>
      <c r="F151" cm="1">
        <f t="array" ref="F151">_xll.BDH(F$2 &amp; " PE Equity","PX_LAST",$B151,$B151)</f>
        <v>3.42</v>
      </c>
      <c r="G151" cm="1">
        <f t="array" ref="G151">_xll.BDH(G$2 &amp; " US Equity","PX_LAST",$B151,$B151)</f>
        <v>18.57</v>
      </c>
      <c r="H151" cm="1">
        <f t="array" ref="H151">_xll.BDH(H$2 &amp; " PE Equity","PX_LAST",$B151,$B151)</f>
        <v>4.2</v>
      </c>
      <c r="I151" cm="1">
        <f t="array" ref="I151">_xll.BDH(I$2 &amp; " US Equity","PX_LAST",$B151,$B151)</f>
        <v>56.06</v>
      </c>
      <c r="J151" cm="1">
        <f t="array" ref="J151">_xll.BDH(J$2 &amp; " US Equity","PX_LAST",$B151,$B151)</f>
        <v>8.7799999999999994</v>
      </c>
      <c r="K151" cm="1">
        <f t="array" ref="K151">_xll.BDH(K$2 &amp; " US Equity","PX_LAST",$B151,$B151)</f>
        <v>57</v>
      </c>
      <c r="L151" cm="1">
        <f t="array" ref="L151">_xll.BDH(L$2 &amp; " US Equity","PX_LAST",$B151,$B151)</f>
        <v>60.34</v>
      </c>
      <c r="M151" cm="1">
        <f t="array" ref="M151">_xll.BDH(M$2 &amp; " US Equity","PX_LAST",$B151,$B151)</f>
        <v>356.15</v>
      </c>
      <c r="N151" cm="1">
        <f t="array" ref="N151">_xll.BDH(N$2 &amp; " US Equity","PX_LAST",$B151,$B151)</f>
        <v>38.729999999999997</v>
      </c>
      <c r="O151" cm="1">
        <f t="array" ref="O151">_xll.BDH(O$2 &amp; " US Equity","PX_LAST",$B151,$B151)</f>
        <v>37.89</v>
      </c>
      <c r="P151" cm="1">
        <f t="array" ref="P151">_xll.BDH(P$2 &amp; " US Equity","PX_LAST",$B151,$B151)</f>
        <v>18.579999999999998</v>
      </c>
      <c r="Q151" cm="1">
        <f t="array" ref="Q151">_xll.BDH(Q$2 &amp; " US Equity","PX_LAST",$B151,$B151)</f>
        <v>26.5</v>
      </c>
      <c r="R151" cm="1">
        <f t="array" ref="R151">_xll.BDH(R$2 &amp; " US Equity","PX_LAST",$B151,$B151)</f>
        <v>38.17</v>
      </c>
      <c r="S151" cm="1">
        <f t="array" ref="S151">_xll.BDH(S$2 &amp; " US Equity","PX_LAST",$B151,$B151)</f>
        <v>165.06</v>
      </c>
      <c r="T151" cm="1">
        <f t="array" ref="T151">_xll.BDH(T$2 &amp; " US Equity","PX_LAST",$B151,$B151)</f>
        <v>68</v>
      </c>
      <c r="U151" cm="1">
        <f t="array" ref="U151">_xll.BDH(U$2 &amp; " US Equity","PX_LAST",$B151,$B151)</f>
        <v>157.63999999999999</v>
      </c>
      <c r="V151" cm="1">
        <f t="array" ref="V151">_xll.BDH(V$2 &amp; " US Equity","PX_LAST",$B151,$B151)</f>
        <v>43.43</v>
      </c>
      <c r="W151" cm="1">
        <f t="array" ref="W151">_xll.BDH(W$2 &amp; " US Equity","PX_LAST",$B151,$B151)</f>
        <v>165.7</v>
      </c>
      <c r="X151" cm="1">
        <f t="array" ref="X151">_xll.BDH(X$2 &amp; " US Equity","PX_LAST",$B151,$B151)</f>
        <v>62.57</v>
      </c>
      <c r="Y151" cm="1">
        <f t="array" ref="Y151">_xll.BDH(Y$2 &amp; " US Equity","PX_LAST",$B151,$B151)</f>
        <v>46.15</v>
      </c>
      <c r="Z151" cm="1">
        <f t="array" ref="Z151">_xll.BDH(Z$2 &amp; " US Equity","PX_LAST",$B151,$B151)</f>
        <v>407.25</v>
      </c>
      <c r="AA151" cm="1">
        <f t="array" ref="AA151">_xll.BDH(AA$2 &amp; " PE Equity","PX_LAST",$B151,$B151)</f>
        <v>0.96</v>
      </c>
      <c r="AB151" cm="1">
        <f t="array" ref="AB151">_xll.BDH(AB$2 &amp; " PE Equity","PX_LAST",$B151,$B151)</f>
        <v>29.76</v>
      </c>
      <c r="AC151" cm="1">
        <f t="array" ref="AC151">_xll.BDH(AC$2 &amp; " US Equity","PX_LAST",$B151,$B151)</f>
        <v>74.89</v>
      </c>
      <c r="AD151" cm="1">
        <f t="array" ref="AD151">_xll.BDH(AD$2 &amp; " US Equity","PX_LAST",$B151,$B151)</f>
        <v>695.49</v>
      </c>
      <c r="AE151" t="str" cm="1">
        <f t="array" ref="AE151">_xll.BDH(AE$2 &amp; " PE Equity","PX_LAST",$B151,$B151)</f>
        <v>#N/A Connection</v>
      </c>
      <c r="AF151" cm="1">
        <f t="array" ref="AF151">_xll.BDH(AF$2 &amp; " US Equity","PX_LAST",$B151,$B151)</f>
        <v>59.327800000000003</v>
      </c>
      <c r="AG151" cm="1">
        <f t="array" ref="AG151">_xll.BDH(AG$2 &amp; " US Equity","PX_LAST",$B151,$B151)</f>
        <v>15.316700000000001</v>
      </c>
      <c r="AH151" cm="1">
        <f t="array" ref="AH151">_xll.BDH(AH$2 &amp; " US Equity","PX_LAST",$B151,$B151)</f>
        <v>631.13</v>
      </c>
      <c r="AI151" cm="1">
        <f t="array" ref="AI151">_xll.BDH(AI$2 &amp; " US Equity","PX_LAST",$B151,$B151)</f>
        <v>107.42</v>
      </c>
      <c r="AJ151" cm="1">
        <f t="array" ref="AJ151">_xll.BDH(AJ$2 &amp; " US Equity","PX_LAST",$B151,$B151)</f>
        <v>110.61</v>
      </c>
      <c r="AK151" cm="1">
        <f t="array" ref="AK151">_xll.BDH(AK$2 &amp; " US Equity","PX_LAST",$B151,$B151)</f>
        <v>122.69</v>
      </c>
      <c r="AL151" cm="1">
        <f t="array" ref="AL151">_xll.BDH(AL$2 &amp; " US Equity","PX_LAST",$B151,$B151)</f>
        <v>244.68</v>
      </c>
      <c r="AM151" cm="1">
        <f t="array" ref="AM151">_xll.BDH(AM$2 &amp; " US Equity","PX_LAST",$B151,$B151)</f>
        <v>56.54</v>
      </c>
      <c r="AN151" cm="1">
        <f t="array" ref="AN151">_xll.BDH(AN$2 &amp; " US Equity","PX_LAST",$B151,$B151)</f>
        <v>25.05</v>
      </c>
      <c r="AO151" cm="1">
        <f t="array" ref="AO151">_xll.BDH(AO$2 &amp; " US Equity","PX_LAST",$B151,$B151)</f>
        <v>57.75</v>
      </c>
      <c r="AP151" cm="1">
        <f t="array" ref="AP151">_xll.BDH(AP$2 &amp; " US Equity","PX_LAST",$B151,$B151)</f>
        <v>5.45</v>
      </c>
      <c r="AQ151" cm="1">
        <f t="array" ref="AQ151">_xll.BDH(AQ$2 &amp; " US Equity","PX_LAST",$B151,$B151)</f>
        <v>100.64</v>
      </c>
      <c r="AR151" cm="1">
        <f t="array" ref="AR151">_xll.BDH(AR$2 &amp; " US Equity","PX_LAST",$B151,$B151)</f>
        <v>82.89</v>
      </c>
      <c r="AS151" cm="1">
        <f t="array" ref="AS151">_xll.BDH(AS$2 &amp; " US Equity","PX_LAST",$B151,$B151)</f>
        <v>85.58</v>
      </c>
      <c r="AT151" cm="1">
        <f t="array" ref="AT151">_xll.BDH(AT$2 &amp; " US Equity","PX_LAST",$B151,$B151)</f>
        <v>4.6399999999999997</v>
      </c>
      <c r="AU151" cm="1">
        <f t="array" ref="AU151">_xll.BDH(AU$2 &amp; " US Equity","PX_LAST",$B151,$B151)</f>
        <v>282.7</v>
      </c>
      <c r="AV151" cm="1">
        <f t="array" ref="AV151">_xll.BDH(AV$2 &amp; " US Equity","PX_LAST",$B151,$B151)</f>
        <v>245.52</v>
      </c>
      <c r="AW151" cm="1">
        <f t="array" ref="AW151">_xll.BDH(AW$2 &amp; " US Equity","PX_LAST",$B151,$B151)</f>
        <v>116</v>
      </c>
    </row>
    <row r="152" spans="2:49">
      <c r="B152" s="13">
        <v>46050</v>
      </c>
      <c r="C152" cm="1">
        <f t="array" ref="C152">_xll.BDH(C$2 &amp; " US Equity","PX_LAST",$B152,$B152)</f>
        <v>314.64999999999998</v>
      </c>
      <c r="D152" cm="1">
        <f t="array" ref="D152">_xll.BDH(D$2 &amp; " PE Equity","PX_LAST",$B152,$B152)</f>
        <v>7.13</v>
      </c>
      <c r="E152" cm="1">
        <f t="array" ref="E152">_xll.BDH(E$2 &amp; " PE Equity","PX_LAST",$B152,$B152)</f>
        <v>2.64</v>
      </c>
      <c r="F152" cm="1">
        <f t="array" ref="F152">_xll.BDH(F$2 &amp; " PE Equity","PX_LAST",$B152,$B152)</f>
        <v>3.33</v>
      </c>
      <c r="G152" cm="1">
        <f t="array" ref="G152">_xll.BDH(G$2 &amp; " US Equity","PX_LAST",$B152,$B152)</f>
        <v>18.66</v>
      </c>
      <c r="H152" cm="1">
        <f t="array" ref="H152">_xll.BDH(H$2 &amp; " PE Equity","PX_LAST",$B152,$B152)</f>
        <v>4.17</v>
      </c>
      <c r="I152" cm="1">
        <f t="array" ref="I152">_xll.BDH(I$2 &amp; " US Equity","PX_LAST",$B152,$B152)</f>
        <v>57.36</v>
      </c>
      <c r="J152" cm="1">
        <f t="array" ref="J152">_xll.BDH(J$2 &amp; " US Equity","PX_LAST",$B152,$B152)</f>
        <v>8.8800000000000008</v>
      </c>
      <c r="K152" cm="1">
        <f t="array" ref="K152">_xll.BDH(K$2 &amp; " US Equity","PX_LAST",$B152,$B152)</f>
        <v>55.88</v>
      </c>
      <c r="L152" cm="1">
        <f t="array" ref="L152">_xll.BDH(L$2 &amp; " US Equity","PX_LAST",$B152,$B152)</f>
        <v>60.75</v>
      </c>
      <c r="M152" cm="1">
        <f t="array" ref="M152">_xll.BDH(M$2 &amp; " US Equity","PX_LAST",$B152,$B152)</f>
        <v>358.18</v>
      </c>
      <c r="N152" cm="1">
        <f t="array" ref="N152">_xll.BDH(N$2 &amp; " US Equity","PX_LAST",$B152,$B152)</f>
        <v>38.18</v>
      </c>
      <c r="O152" cm="1">
        <f t="array" ref="O152">_xll.BDH(O$2 &amp; " US Equity","PX_LAST",$B152,$B152)</f>
        <v>38.33</v>
      </c>
      <c r="P152" cm="1">
        <f t="array" ref="P152">_xll.BDH(P$2 &amp; " US Equity","PX_LAST",$B152,$B152)</f>
        <v>19.03</v>
      </c>
      <c r="Q152" cm="1">
        <f t="array" ref="Q152">_xll.BDH(Q$2 &amp; " US Equity","PX_LAST",$B152,$B152)</f>
        <v>25.86</v>
      </c>
      <c r="R152" cm="1">
        <f t="array" ref="R152">_xll.BDH(R$2 &amp; " US Equity","PX_LAST",$B152,$B152)</f>
        <v>39.01</v>
      </c>
      <c r="S152" cm="1">
        <f t="array" ref="S152">_xll.BDH(S$2 &amp; " US Equity","PX_LAST",$B152,$B152)</f>
        <v>164.14</v>
      </c>
      <c r="T152" cm="1">
        <f t="array" ref="T152">_xll.BDH(T$2 &amp; " US Equity","PX_LAST",$B152,$B152)</f>
        <v>67.17</v>
      </c>
      <c r="U152" cm="1">
        <f t="array" ref="U152">_xll.BDH(U$2 &amp; " US Equity","PX_LAST",$B152,$B152)</f>
        <v>157.66999999999999</v>
      </c>
      <c r="V152" cm="1">
        <f t="array" ref="V152">_xll.BDH(V$2 &amp; " US Equity","PX_LAST",$B152,$B152)</f>
        <v>43.33</v>
      </c>
      <c r="W152" cm="1">
        <f t="array" ref="W152">_xll.BDH(W$2 &amp; " US Equity","PX_LAST",$B152,$B152)</f>
        <v>157.35</v>
      </c>
      <c r="X152" cm="1">
        <f t="array" ref="X152">_xll.BDH(X$2 &amp; " US Equity","PX_LAST",$B152,$B152)</f>
        <v>61.05</v>
      </c>
      <c r="Y152" cm="1">
        <f t="array" ref="Y152">_xll.BDH(Y$2 &amp; " US Equity","PX_LAST",$B152,$B152)</f>
        <v>45.53</v>
      </c>
      <c r="Z152" cm="1">
        <f t="array" ref="Z152">_xll.BDH(Z$2 &amp; " US Equity","PX_LAST",$B152,$B152)</f>
        <v>416.63</v>
      </c>
      <c r="AA152" cm="1">
        <f t="array" ref="AA152">_xll.BDH(AA$2 &amp; " PE Equity","PX_LAST",$B152,$B152)</f>
        <v>0.97</v>
      </c>
      <c r="AB152" cm="1">
        <f t="array" ref="AB152">_xll.BDH(AB$2 &amp; " PE Equity","PX_LAST",$B152,$B152)</f>
        <v>29.75</v>
      </c>
      <c r="AC152" cm="1">
        <f t="array" ref="AC152">_xll.BDH(AC$2 &amp; " US Equity","PX_LAST",$B152,$B152)</f>
        <v>74.94</v>
      </c>
      <c r="AD152" cm="1">
        <f t="array" ref="AD152">_xll.BDH(AD$2 &amp; " US Equity","PX_LAST",$B152,$B152)</f>
        <v>695.42</v>
      </c>
      <c r="AE152" t="str" cm="1">
        <f t="array" ref="AE152">_xll.BDH(AE$2 &amp; " PE Equity","PX_LAST",$B152,$B152)</f>
        <v>#N/A Connection</v>
      </c>
      <c r="AF152" cm="1">
        <f t="array" ref="AF152">_xll.BDH(AF$2 &amp; " US Equity","PX_LAST",$B152,$B152)</f>
        <v>58.553199999999997</v>
      </c>
      <c r="AG152" cm="1">
        <f t="array" ref="AG152">_xll.BDH(AG$2 &amp; " US Equity","PX_LAST",$B152,$B152)</f>
        <v>15.5131</v>
      </c>
      <c r="AH152" cm="1">
        <f t="array" ref="AH152">_xll.BDH(AH$2 &amp; " US Equity","PX_LAST",$B152,$B152)</f>
        <v>633.22</v>
      </c>
      <c r="AI152" cm="1">
        <f t="array" ref="AI152">_xll.BDH(AI$2 &amp; " US Equity","PX_LAST",$B152,$B152)</f>
        <v>107.69</v>
      </c>
      <c r="AJ152" cm="1">
        <f t="array" ref="AJ152">_xll.BDH(AJ$2 &amp; " US Equity","PX_LAST",$B152,$B152)</f>
        <v>109.56</v>
      </c>
      <c r="AK152" cm="1">
        <f t="array" ref="AK152">_xll.BDH(AK$2 &amp; " US Equity","PX_LAST",$B152,$B152)</f>
        <v>121.77</v>
      </c>
      <c r="AL152" cm="1">
        <f t="array" ref="AL152">_xll.BDH(AL$2 &amp; " US Equity","PX_LAST",$B152,$B152)</f>
        <v>243.01</v>
      </c>
      <c r="AM152" cm="1">
        <f t="array" ref="AM152">_xll.BDH(AM$2 &amp; " US Equity","PX_LAST",$B152,$B152)</f>
        <v>57.06</v>
      </c>
      <c r="AN152" cm="1">
        <f t="array" ref="AN152">_xll.BDH(AN$2 &amp; " US Equity","PX_LAST",$B152,$B152)</f>
        <v>25.164999999999999</v>
      </c>
      <c r="AO152" cm="1">
        <f t="array" ref="AO152">_xll.BDH(AO$2 &amp; " US Equity","PX_LAST",$B152,$B152)</f>
        <v>57.81</v>
      </c>
      <c r="AP152" cm="1">
        <f t="array" ref="AP152">_xll.BDH(AP$2 &amp; " US Equity","PX_LAST",$B152,$B152)</f>
        <v>5.3</v>
      </c>
      <c r="AQ152" cm="1">
        <f t="array" ref="AQ152">_xll.BDH(AQ$2 &amp; " US Equity","PX_LAST",$B152,$B152)</f>
        <v>99.54</v>
      </c>
      <c r="AR152" cm="1">
        <f t="array" ref="AR152">_xll.BDH(AR$2 &amp; " US Equity","PX_LAST",$B152,$B152)</f>
        <v>83.06</v>
      </c>
      <c r="AS152" cm="1">
        <f t="array" ref="AS152">_xll.BDH(AS$2 &amp; " US Equity","PX_LAST",$B152,$B152)</f>
        <v>84.64</v>
      </c>
      <c r="AT152" cm="1">
        <f t="array" ref="AT152">_xll.BDH(AT$2 &amp; " US Equity","PX_LAST",$B152,$B152)</f>
        <v>4.59</v>
      </c>
      <c r="AU152" cm="1">
        <f t="array" ref="AU152">_xll.BDH(AU$2 &amp; " US Equity","PX_LAST",$B152,$B152)</f>
        <v>294.02</v>
      </c>
      <c r="AV152" cm="1">
        <f t="array" ref="AV152">_xll.BDH(AV$2 &amp; " US Equity","PX_LAST",$B152,$B152)</f>
        <v>243.18</v>
      </c>
      <c r="AW152" cm="1">
        <f t="array" ref="AW152">_xll.BDH(AW$2 &amp; " US Equity","PX_LAST",$B152,$B152)</f>
        <v>116.77</v>
      </c>
    </row>
    <row r="153" spans="2:49">
      <c r="B153" s="13">
        <v>46051</v>
      </c>
      <c r="C153" cm="1">
        <f t="array" ref="C153">_xll.BDH(C$2 &amp; " US Equity","PX_LAST",$B153,$B153)</f>
        <v>319.93</v>
      </c>
      <c r="D153" cm="1">
        <f t="array" ref="D153">_xll.BDH(D$2 &amp; " PE Equity","PX_LAST",$B153,$B153)</f>
        <v>7.07</v>
      </c>
      <c r="E153" cm="1">
        <f t="array" ref="E153">_xll.BDH(E$2 &amp; " PE Equity","PX_LAST",$B153,$B153)</f>
        <v>2.63</v>
      </c>
      <c r="F153" cm="1">
        <f t="array" ref="F153">_xll.BDH(F$2 &amp; " PE Equity","PX_LAST",$B153,$B153)</f>
        <v>3.34</v>
      </c>
      <c r="G153" cm="1">
        <f t="array" ref="G153">_xll.BDH(G$2 &amp; " US Equity","PX_LAST",$B153,$B153)</f>
        <v>18.59</v>
      </c>
      <c r="H153" cm="1">
        <f t="array" ref="H153">_xll.BDH(H$2 &amp; " PE Equity","PX_LAST",$B153,$B153)</f>
        <v>4.1500000000000004</v>
      </c>
      <c r="I153" cm="1">
        <f t="array" ref="I153">_xll.BDH(I$2 &amp; " US Equity","PX_LAST",$B153,$B153)</f>
        <v>55.75</v>
      </c>
      <c r="J153" cm="1">
        <f t="array" ref="J153">_xll.BDH(J$2 &amp; " US Equity","PX_LAST",$B153,$B153)</f>
        <v>8.93</v>
      </c>
      <c r="K153" cm="1">
        <f t="array" ref="K153">_xll.BDH(K$2 &amp; " US Equity","PX_LAST",$B153,$B153)</f>
        <v>56.36</v>
      </c>
      <c r="L153" cm="1">
        <f t="array" ref="L153">_xll.BDH(L$2 &amp; " US Equity","PX_LAST",$B153,$B153)</f>
        <v>60.44</v>
      </c>
      <c r="M153" cm="1">
        <f t="array" ref="M153">_xll.BDH(M$2 &amp; " US Equity","PX_LAST",$B153,$B153)</f>
        <v>365.42</v>
      </c>
      <c r="N153" cm="1">
        <f t="array" ref="N153">_xll.BDH(N$2 &amp; " US Equity","PX_LAST",$B153,$B153)</f>
        <v>38.47</v>
      </c>
      <c r="O153" cm="1">
        <f t="array" ref="O153">_xll.BDH(O$2 &amp; " US Equity","PX_LAST",$B153,$B153)</f>
        <v>38.119999999999997</v>
      </c>
      <c r="P153" cm="1">
        <f t="array" ref="P153">_xll.BDH(P$2 &amp; " US Equity","PX_LAST",$B153,$B153)</f>
        <v>18.510000000000002</v>
      </c>
      <c r="Q153" cm="1">
        <f t="array" ref="Q153">_xll.BDH(Q$2 &amp; " US Equity","PX_LAST",$B153,$B153)</f>
        <v>26.1</v>
      </c>
      <c r="R153" cm="1">
        <f t="array" ref="R153">_xll.BDH(R$2 &amp; " US Equity","PX_LAST",$B153,$B153)</f>
        <v>38.53</v>
      </c>
      <c r="S153" cm="1">
        <f t="array" ref="S153">_xll.BDH(S$2 &amp; " US Equity","PX_LAST",$B153,$B153)</f>
        <v>165.86</v>
      </c>
      <c r="T153" cm="1">
        <f t="array" ref="T153">_xll.BDH(T$2 &amp; " US Equity","PX_LAST",$B153,$B153)</f>
        <v>67.209999999999994</v>
      </c>
      <c r="U153" cm="1">
        <f t="array" ref="U153">_xll.BDH(U$2 &amp; " US Equity","PX_LAST",$B153,$B153)</f>
        <v>157.51</v>
      </c>
      <c r="V153" cm="1">
        <f t="array" ref="V153">_xll.BDH(V$2 &amp; " US Equity","PX_LAST",$B153,$B153)</f>
        <v>43.33</v>
      </c>
      <c r="W153" cm="1">
        <f t="array" ref="W153">_xll.BDH(W$2 &amp; " US Equity","PX_LAST",$B153,$B153)</f>
        <v>151.86000000000001</v>
      </c>
      <c r="X153" cm="1">
        <f t="array" ref="X153">_xll.BDH(X$2 &amp; " US Equity","PX_LAST",$B153,$B153)</f>
        <v>62.22</v>
      </c>
      <c r="Y153" cm="1">
        <f t="array" ref="Y153">_xll.BDH(Y$2 &amp; " US Equity","PX_LAST",$B153,$B153)</f>
        <v>45.82</v>
      </c>
      <c r="Z153" cm="1">
        <f t="array" ref="Z153">_xll.BDH(Z$2 &amp; " US Equity","PX_LAST",$B153,$B153)</f>
        <v>417.52</v>
      </c>
      <c r="AA153" cm="1">
        <f t="array" ref="AA153">_xll.BDH(AA$2 &amp; " PE Equity","PX_LAST",$B153,$B153)</f>
        <v>0.98</v>
      </c>
      <c r="AB153" cm="1">
        <f t="array" ref="AB153">_xll.BDH(AB$2 &amp; " PE Equity","PX_LAST",$B153,$B153)</f>
        <v>29.51</v>
      </c>
      <c r="AC153" cm="1">
        <f t="array" ref="AC153">_xll.BDH(AC$2 &amp; " US Equity","PX_LAST",$B153,$B153)</f>
        <v>75.36</v>
      </c>
      <c r="AD153" cm="1">
        <f t="array" ref="AD153">_xll.BDH(AD$2 &amp; " US Equity","PX_LAST",$B153,$B153)</f>
        <v>694.04</v>
      </c>
      <c r="AE153" t="str" cm="1">
        <f t="array" ref="AE153">_xll.BDH(AE$2 &amp; " PE Equity","PX_LAST",$B153,$B153)</f>
        <v>#N/A Connection</v>
      </c>
      <c r="AF153" cm="1">
        <f t="array" ref="AF153">_xll.BDH(AF$2 &amp; " US Equity","PX_LAST",$B153,$B153)</f>
        <v>58.488</v>
      </c>
      <c r="AG153" cm="1">
        <f t="array" ref="AG153">_xll.BDH(AG$2 &amp; " US Equity","PX_LAST",$B153,$B153)</f>
        <v>15.3</v>
      </c>
      <c r="AH153" cm="1">
        <f t="array" ref="AH153">_xll.BDH(AH$2 &amp; " US Equity","PX_LAST",$B153,$B153)</f>
        <v>629.42999999999995</v>
      </c>
      <c r="AI153" cm="1">
        <f t="array" ref="AI153">_xll.BDH(AI$2 &amp; " US Equity","PX_LAST",$B153,$B153)</f>
        <v>109.87</v>
      </c>
      <c r="AJ153" cm="1">
        <f t="array" ref="AJ153">_xll.BDH(AJ$2 &amp; " US Equity","PX_LAST",$B153,$B153)</f>
        <v>111.58</v>
      </c>
      <c r="AK153" cm="1">
        <f t="array" ref="AK153">_xll.BDH(AK$2 &amp; " US Equity","PX_LAST",$B153,$B153)</f>
        <v>121.19</v>
      </c>
      <c r="AL153" cm="1">
        <f t="array" ref="AL153">_xll.BDH(AL$2 &amp; " US Equity","PX_LAST",$B153,$B153)</f>
        <v>241.73</v>
      </c>
      <c r="AM153" cm="1">
        <f t="array" ref="AM153">_xll.BDH(AM$2 &amp; " US Equity","PX_LAST",$B153,$B153)</f>
        <v>56.04</v>
      </c>
      <c r="AN153" cm="1">
        <f t="array" ref="AN153">_xll.BDH(AN$2 &amp; " US Equity","PX_LAST",$B153,$B153)</f>
        <v>24.933700000000002</v>
      </c>
      <c r="AO153" cm="1">
        <f t="array" ref="AO153">_xll.BDH(AO$2 &amp; " US Equity","PX_LAST",$B153,$B153)</f>
        <v>56.95</v>
      </c>
      <c r="AP153" cm="1">
        <f t="array" ref="AP153">_xll.BDH(AP$2 &amp; " US Equity","PX_LAST",$B153,$B153)</f>
        <v>4.8499999999999996</v>
      </c>
      <c r="AQ153" cm="1">
        <f t="array" ref="AQ153">_xll.BDH(AQ$2 &amp; " US Equity","PX_LAST",$B153,$B153)</f>
        <v>98.66</v>
      </c>
      <c r="AR153" cm="1">
        <f t="array" ref="AR153">_xll.BDH(AR$2 &amp; " US Equity","PX_LAST",$B153,$B153)</f>
        <v>84.53</v>
      </c>
      <c r="AS153" cm="1">
        <f t="array" ref="AS153">_xll.BDH(AS$2 &amp; " US Equity","PX_LAST",$B153,$B153)</f>
        <v>83.16</v>
      </c>
      <c r="AT153" cm="1">
        <f t="array" ref="AT153">_xll.BDH(AT$2 &amp; " US Equity","PX_LAST",$B153,$B153)</f>
        <v>4.7699999999999996</v>
      </c>
      <c r="AU153" cm="1">
        <f t="array" ref="AU153">_xll.BDH(AU$2 &amp; " US Equity","PX_LAST",$B153,$B153)</f>
        <v>292.29000000000002</v>
      </c>
      <c r="AV153" cm="1">
        <f t="array" ref="AV153">_xll.BDH(AV$2 &amp; " US Equity","PX_LAST",$B153,$B153)</f>
        <v>239.27</v>
      </c>
      <c r="AW153" cm="1">
        <f t="array" ref="AW153">_xll.BDH(AW$2 &amp; " US Equity","PX_LAST",$B153,$B153)</f>
        <v>114.98</v>
      </c>
    </row>
    <row r="154" spans="2:49">
      <c r="B154" s="13">
        <v>46052</v>
      </c>
      <c r="C154" cm="1">
        <f t="array" ref="C154">_xll.BDH(C$2 &amp; " US Equity","PX_LAST",$B154,$B154)</f>
        <v>322.25</v>
      </c>
      <c r="D154" cm="1">
        <f t="array" ref="D154">_xll.BDH(D$2 &amp; " PE Equity","PX_LAST",$B154,$B154)</f>
        <v>6.53</v>
      </c>
      <c r="E154" cm="1">
        <f t="array" ref="E154">_xll.BDH(E$2 &amp; " PE Equity","PX_LAST",$B154,$B154)</f>
        <v>2.64</v>
      </c>
      <c r="F154" cm="1">
        <f t="array" ref="F154">_xll.BDH(F$2 &amp; " PE Equity","PX_LAST",$B154,$B154)</f>
        <v>3.34</v>
      </c>
      <c r="G154" cm="1">
        <f t="array" ref="G154">_xll.BDH(G$2 &amp; " US Equity","PX_LAST",$B154,$B154)</f>
        <v>17.98</v>
      </c>
      <c r="H154" cm="1">
        <f t="array" ref="H154">_xll.BDH(H$2 &amp; " PE Equity","PX_LAST",$B154,$B154)</f>
        <v>4.08</v>
      </c>
      <c r="I154" cm="1">
        <f t="array" ref="I154">_xll.BDH(I$2 &amp; " US Equity","PX_LAST",$B154,$B154)</f>
        <v>53.85</v>
      </c>
      <c r="J154" cm="1">
        <f t="array" ref="J154">_xll.BDH(J$2 &amp; " US Equity","PX_LAST",$B154,$B154)</f>
        <v>8.59</v>
      </c>
      <c r="K154" cm="1">
        <f t="array" ref="K154">_xll.BDH(K$2 &amp; " US Equity","PX_LAST",$B154,$B154)</f>
        <v>56.29</v>
      </c>
      <c r="L154" cm="1">
        <f t="array" ref="L154">_xll.BDH(L$2 &amp; " US Equity","PX_LAST",$B154,$B154)</f>
        <v>59.1</v>
      </c>
      <c r="M154" cm="1">
        <f t="array" ref="M154">_xll.BDH(M$2 &amp; " US Equity","PX_LAST",$B154,$B154)</f>
        <v>356.83</v>
      </c>
      <c r="N154" cm="1">
        <f t="array" ref="N154">_xll.BDH(N$2 &amp; " US Equity","PX_LAST",$B154,$B154)</f>
        <v>38.22</v>
      </c>
      <c r="O154" cm="1">
        <f t="array" ref="O154">_xll.BDH(O$2 &amp; " US Equity","PX_LAST",$B154,$B154)</f>
        <v>37.04</v>
      </c>
      <c r="P154" cm="1">
        <f t="array" ref="P154">_xll.BDH(P$2 &amp; " US Equity","PX_LAST",$B154,$B154)</f>
        <v>18.149999999999999</v>
      </c>
      <c r="Q154" cm="1">
        <f t="array" ref="Q154">_xll.BDH(Q$2 &amp; " US Equity","PX_LAST",$B154,$B154)</f>
        <v>26.44</v>
      </c>
      <c r="R154" cm="1">
        <f t="array" ref="R154">_xll.BDH(R$2 &amp; " US Equity","PX_LAST",$B154,$B154)</f>
        <v>34.26</v>
      </c>
      <c r="S154" cm="1">
        <f t="array" ref="S154">_xll.BDH(S$2 &amp; " US Equity","PX_LAST",$B154,$B154)</f>
        <v>165.44</v>
      </c>
      <c r="T154" cm="1">
        <f t="array" ref="T154">_xll.BDH(T$2 &amp; " US Equity","PX_LAST",$B154,$B154)</f>
        <v>66.66</v>
      </c>
      <c r="U154" cm="1">
        <f t="array" ref="U154">_xll.BDH(U$2 &amp; " US Equity","PX_LAST",$B154,$B154)</f>
        <v>153.18</v>
      </c>
      <c r="V154" cm="1">
        <f t="array" ref="V154">_xll.BDH(V$2 &amp; " US Equity","PX_LAST",$B154,$B154)</f>
        <v>43.25</v>
      </c>
      <c r="W154" cm="1">
        <f t="array" ref="W154">_xll.BDH(W$2 &amp; " US Equity","PX_LAST",$B154,$B154)</f>
        <v>146.59</v>
      </c>
      <c r="X154" cm="1">
        <f t="array" ref="X154">_xll.BDH(X$2 &amp; " US Equity","PX_LAST",$B154,$B154)</f>
        <v>61.54</v>
      </c>
      <c r="Y154" cm="1">
        <f t="array" ref="Y154">_xll.BDH(Y$2 &amp; " US Equity","PX_LAST",$B154,$B154)</f>
        <v>45.35</v>
      </c>
      <c r="Z154" cm="1">
        <f t="array" ref="Z154">_xll.BDH(Z$2 &amp; " US Equity","PX_LAST",$B154,$B154)</f>
        <v>403.46</v>
      </c>
      <c r="AA154" cm="1">
        <f t="array" ref="AA154">_xll.BDH(AA$2 &amp; " PE Equity","PX_LAST",$B154,$B154)</f>
        <v>0.83</v>
      </c>
      <c r="AB154" cm="1">
        <f t="array" ref="AB154">_xll.BDH(AB$2 &amp; " PE Equity","PX_LAST",$B154,$B154)</f>
        <v>29</v>
      </c>
      <c r="AC154" cm="1">
        <f t="array" ref="AC154">_xll.BDH(AC$2 &amp; " US Equity","PX_LAST",$B154,$B154)</f>
        <v>74.97</v>
      </c>
      <c r="AD154" cm="1">
        <f t="array" ref="AD154">_xll.BDH(AD$2 &amp; " US Equity","PX_LAST",$B154,$B154)</f>
        <v>691.97</v>
      </c>
      <c r="AE154" t="str" cm="1">
        <f t="array" ref="AE154">_xll.BDH(AE$2 &amp; " PE Equity","PX_LAST",$B154,$B154)</f>
        <v>#N/A Connection</v>
      </c>
      <c r="AF154" cm="1">
        <f t="array" ref="AF154">_xll.BDH(AF$2 &amp; " US Equity","PX_LAST",$B154,$B154)</f>
        <v>58.488300000000002</v>
      </c>
      <c r="AG154" cm="1">
        <f t="array" ref="AG154">_xll.BDH(AG$2 &amp; " US Equity","PX_LAST",$B154,$B154)</f>
        <v>14.83</v>
      </c>
      <c r="AH154" cm="1">
        <f t="array" ref="AH154">_xll.BDH(AH$2 &amp; " US Equity","PX_LAST",$B154,$B154)</f>
        <v>621.87</v>
      </c>
      <c r="AI154" cm="1">
        <f t="array" ref="AI154">_xll.BDH(AI$2 &amp; " US Equity","PX_LAST",$B154,$B154)</f>
        <v>111.11</v>
      </c>
      <c r="AJ154" cm="1">
        <f t="array" ref="AJ154">_xll.BDH(AJ$2 &amp; " US Equity","PX_LAST",$B154,$B154)</f>
        <v>112.8</v>
      </c>
      <c r="AK154" cm="1">
        <f t="array" ref="AK154">_xll.BDH(AK$2 &amp; " US Equity","PX_LAST",$B154,$B154)</f>
        <v>121.17</v>
      </c>
      <c r="AL154" cm="1">
        <f t="array" ref="AL154">_xll.BDH(AL$2 &amp; " US Equity","PX_LAST",$B154,$B154)</f>
        <v>239.3</v>
      </c>
      <c r="AM154" cm="1">
        <f t="array" ref="AM154">_xll.BDH(AM$2 &amp; " US Equity","PX_LAST",$B154,$B154)</f>
        <v>54</v>
      </c>
      <c r="AN154" cm="1">
        <f t="array" ref="AN154">_xll.BDH(AN$2 &amp; " US Equity","PX_LAST",$B154,$B154)</f>
        <v>24.64</v>
      </c>
      <c r="AO154" cm="1">
        <f t="array" ref="AO154">_xll.BDH(AO$2 &amp; " US Equity","PX_LAST",$B154,$B154)</f>
        <v>55.8</v>
      </c>
      <c r="AP154" cm="1">
        <f t="array" ref="AP154">_xll.BDH(AP$2 &amp; " US Equity","PX_LAST",$B154,$B154)</f>
        <v>4.8499999999999996</v>
      </c>
      <c r="AQ154" cm="1">
        <f t="array" ref="AQ154">_xll.BDH(AQ$2 &amp; " US Equity","PX_LAST",$B154,$B154)</f>
        <v>99.99</v>
      </c>
      <c r="AR154" cm="1">
        <f t="array" ref="AR154">_xll.BDH(AR$2 &amp; " US Equity","PX_LAST",$B154,$B154)</f>
        <v>81.650000000000006</v>
      </c>
      <c r="AS154" cm="1">
        <f t="array" ref="AS154">_xll.BDH(AS$2 &amp; " US Equity","PX_LAST",$B154,$B154)</f>
        <v>83.49</v>
      </c>
      <c r="AT154" cm="1">
        <f t="array" ref="AT154">_xll.BDH(AT$2 &amp; " US Equity","PX_LAST",$B154,$B154)</f>
        <v>4.7</v>
      </c>
      <c r="AU154" cm="1">
        <f t="array" ref="AU154">_xll.BDH(AU$2 &amp; " US Equity","PX_LAST",$B154,$B154)</f>
        <v>286.93</v>
      </c>
      <c r="AV154" cm="1">
        <f t="array" ref="AV154">_xll.BDH(AV$2 &amp; " US Equity","PX_LAST",$B154,$B154)</f>
        <v>220.3</v>
      </c>
      <c r="AW154" cm="1">
        <f t="array" ref="AW154">_xll.BDH(AW$2 &amp; " US Equity","PX_LAST",$B154,$B154)</f>
        <v>114.26</v>
      </c>
    </row>
    <row r="155" spans="2:49">
      <c r="B155" s="13">
        <v>46053</v>
      </c>
      <c r="C155" t="str" cm="1">
        <f t="array" ref="C155">_xll.BDH(C$2 &amp; " US Equity","PX_LAST",$B155,$B155)</f>
        <v>#N/A N/A</v>
      </c>
      <c r="D155" t="str" cm="1">
        <f t="array" ref="D155">_xll.BDH(D$2 &amp; " PE Equity","PX_LAST",$B155,$B155)</f>
        <v>#N/A N/A</v>
      </c>
      <c r="E155" t="str" cm="1">
        <f t="array" ref="E155">_xll.BDH(E$2 &amp; " PE Equity","PX_LAST",$B155,$B155)</f>
        <v>#N/A N/A</v>
      </c>
      <c r="F155" t="str" cm="1">
        <f t="array" ref="F155">_xll.BDH(F$2 &amp; " PE Equity","PX_LAST",$B155,$B155)</f>
        <v>#N/A N/A</v>
      </c>
      <c r="G155" t="str" cm="1">
        <f t="array" ref="G155">_xll.BDH(G$2 &amp; " US Equity","PX_LAST",$B155,$B155)</f>
        <v>#N/A N/A</v>
      </c>
      <c r="H155" t="str" cm="1">
        <f t="array" ref="H155">_xll.BDH(H$2 &amp; " PE Equity","PX_LAST",$B155,$B155)</f>
        <v>#N/A N/A</v>
      </c>
      <c r="I155" t="str" cm="1">
        <f t="array" ref="I155">_xll.BDH(I$2 &amp; " US Equity","PX_LAST",$B155,$B155)</f>
        <v>#N/A N/A</v>
      </c>
      <c r="J155" t="str" cm="1">
        <f t="array" ref="J155">_xll.BDH(J$2 &amp; " US Equity","PX_LAST",$B155,$B155)</f>
        <v>#N/A N/A</v>
      </c>
      <c r="K155" t="str" cm="1">
        <f t="array" ref="K155">_xll.BDH(K$2 &amp; " US Equity","PX_LAST",$B155,$B155)</f>
        <v>#N/A N/A</v>
      </c>
      <c r="L155" t="str" cm="1">
        <f t="array" ref="L155">_xll.BDH(L$2 &amp; " US Equity","PX_LAST",$B155,$B155)</f>
        <v>#N/A N/A</v>
      </c>
      <c r="M155" t="str" cm="1">
        <f t="array" ref="M155">_xll.BDH(M$2 &amp; " US Equity","PX_LAST",$B155,$B155)</f>
        <v>#N/A N/A</v>
      </c>
      <c r="N155" t="str" cm="1">
        <f t="array" ref="N155">_xll.BDH(N$2 &amp; " US Equity","PX_LAST",$B155,$B155)</f>
        <v>#N/A N/A</v>
      </c>
      <c r="O155" t="str" cm="1">
        <f t="array" ref="O155">_xll.BDH(O$2 &amp; " US Equity","PX_LAST",$B155,$B155)</f>
        <v>#N/A N/A</v>
      </c>
      <c r="P155" t="str" cm="1">
        <f t="array" ref="P155">_xll.BDH(P$2 &amp; " US Equity","PX_LAST",$B155,$B155)</f>
        <v>#N/A N/A</v>
      </c>
      <c r="Q155" t="str" cm="1">
        <f t="array" ref="Q155">_xll.BDH(Q$2 &amp; " US Equity","PX_LAST",$B155,$B155)</f>
        <v>#N/A N/A</v>
      </c>
      <c r="R155" t="str" cm="1">
        <f t="array" ref="R155">_xll.BDH(R$2 &amp; " US Equity","PX_LAST",$B155,$B155)</f>
        <v>#N/A N/A</v>
      </c>
      <c r="S155" t="str" cm="1">
        <f t="array" ref="S155">_xll.BDH(S$2 &amp; " US Equity","PX_LAST",$B155,$B155)</f>
        <v>#N/A N/A</v>
      </c>
      <c r="T155" t="str" cm="1">
        <f t="array" ref="T155">_xll.BDH(T$2 &amp; " US Equity","PX_LAST",$B155,$B155)</f>
        <v>#N/A N/A</v>
      </c>
      <c r="U155" t="str" cm="1">
        <f t="array" ref="U155">_xll.BDH(U$2 &amp; " US Equity","PX_LAST",$B155,$B155)</f>
        <v>#N/A N/A</v>
      </c>
      <c r="V155" t="str" cm="1">
        <f t="array" ref="V155">_xll.BDH(V$2 &amp; " US Equity","PX_LAST",$B155,$B155)</f>
        <v>#N/A N/A</v>
      </c>
      <c r="W155" t="str" cm="1">
        <f t="array" ref="W155">_xll.BDH(W$2 &amp; " US Equity","PX_LAST",$B155,$B155)</f>
        <v>#N/A N/A</v>
      </c>
      <c r="X155" t="str" cm="1">
        <f t="array" ref="X155">_xll.BDH(X$2 &amp; " US Equity","PX_LAST",$B155,$B155)</f>
        <v>#N/A N/A</v>
      </c>
      <c r="Y155" t="str" cm="1">
        <f t="array" ref="Y155">_xll.BDH(Y$2 &amp; " US Equity","PX_LAST",$B155,$B155)</f>
        <v>#N/A N/A</v>
      </c>
      <c r="Z155" t="str" cm="1">
        <f t="array" ref="Z155">_xll.BDH(Z$2 &amp; " US Equity","PX_LAST",$B155,$B155)</f>
        <v>#N/A N/A</v>
      </c>
      <c r="AA155" t="str" cm="1">
        <f t="array" ref="AA155">_xll.BDH(AA$2 &amp; " PE Equity","PX_LAST",$B155,$B155)</f>
        <v>#N/A N/A</v>
      </c>
      <c r="AB155" t="str" cm="1">
        <f t="array" ref="AB155">_xll.BDH(AB$2 &amp; " PE Equity","PX_LAST",$B155,$B155)</f>
        <v>#N/A N/A</v>
      </c>
      <c r="AC155" t="str" cm="1">
        <f t="array" ref="AC155">_xll.BDH(AC$2 &amp; " US Equity","PX_LAST",$B155,$B155)</f>
        <v>#N/A N/A</v>
      </c>
      <c r="AD155" t="str" cm="1">
        <f t="array" ref="AD155">_xll.BDH(AD$2 &amp; " US Equity","PX_LAST",$B155,$B155)</f>
        <v>#N/A N/A</v>
      </c>
      <c r="AE155" t="str" cm="1">
        <f t="array" ref="AE155">_xll.BDH(AE$2 &amp; " PE Equity","PX_LAST",$B155,$B155)</f>
        <v>#N/A Connection</v>
      </c>
      <c r="AF155" t="str" cm="1">
        <f t="array" ref="AF155">_xll.BDH(AF$2 &amp; " US Equity","PX_LAST",$B155,$B155)</f>
        <v>#N/A N/A</v>
      </c>
      <c r="AG155" t="str" cm="1">
        <f t="array" ref="AG155">_xll.BDH(AG$2 &amp; " US Equity","PX_LAST",$B155,$B155)</f>
        <v>#N/A N/A</v>
      </c>
      <c r="AH155" t="str" cm="1">
        <f t="array" ref="AH155">_xll.BDH(AH$2 &amp; " US Equity","PX_LAST",$B155,$B155)</f>
        <v>#N/A N/A</v>
      </c>
      <c r="AI155" t="str" cm="1">
        <f t="array" ref="AI155">_xll.BDH(AI$2 &amp; " US Equity","PX_LAST",$B155,$B155)</f>
        <v>#N/A N/A</v>
      </c>
      <c r="AJ155" t="str" cm="1">
        <f t="array" ref="AJ155">_xll.BDH(AJ$2 &amp; " US Equity","PX_LAST",$B155,$B155)</f>
        <v>#N/A N/A</v>
      </c>
      <c r="AK155" t="str" cm="1">
        <f t="array" ref="AK155">_xll.BDH(AK$2 &amp; " US Equity","PX_LAST",$B155,$B155)</f>
        <v>#N/A N/A</v>
      </c>
      <c r="AL155" t="str" cm="1">
        <f t="array" ref="AL155">_xll.BDH(AL$2 &amp; " US Equity","PX_LAST",$B155,$B155)</f>
        <v>#N/A N/A</v>
      </c>
      <c r="AM155" t="str" cm="1">
        <f t="array" ref="AM155">_xll.BDH(AM$2 &amp; " US Equity","PX_LAST",$B155,$B155)</f>
        <v>#N/A N/A</v>
      </c>
      <c r="AN155" t="str" cm="1">
        <f t="array" ref="AN155">_xll.BDH(AN$2 &amp; " US Equity","PX_LAST",$B155,$B155)</f>
        <v>#N/A N/A</v>
      </c>
      <c r="AO155" t="str" cm="1">
        <f t="array" ref="AO155">_xll.BDH(AO$2 &amp; " US Equity","PX_LAST",$B155,$B155)</f>
        <v>#N/A N/A</v>
      </c>
      <c r="AP155" t="str" cm="1">
        <f t="array" ref="AP155">_xll.BDH(AP$2 &amp; " US Equity","PX_LAST",$B155,$B155)</f>
        <v>#N/A N/A</v>
      </c>
      <c r="AQ155" t="str" cm="1">
        <f t="array" ref="AQ155">_xll.BDH(AQ$2 &amp; " US Equity","PX_LAST",$B155,$B155)</f>
        <v>#N/A N/A</v>
      </c>
      <c r="AR155" t="str" cm="1">
        <f t="array" ref="AR155">_xll.BDH(AR$2 &amp; " US Equity","PX_LAST",$B155,$B155)</f>
        <v>#N/A N/A</v>
      </c>
      <c r="AS155" t="str" cm="1">
        <f t="array" ref="AS155">_xll.BDH(AS$2 &amp; " US Equity","PX_LAST",$B155,$B155)</f>
        <v>#N/A N/A</v>
      </c>
      <c r="AT155" t="str" cm="1">
        <f t="array" ref="AT155">_xll.BDH(AT$2 &amp; " US Equity","PX_LAST",$B155,$B155)</f>
        <v>#N/A N/A</v>
      </c>
      <c r="AU155" t="str" cm="1">
        <f t="array" ref="AU155">_xll.BDH(AU$2 &amp; " US Equity","PX_LAST",$B155,$B155)</f>
        <v>#N/A N/A</v>
      </c>
      <c r="AV155" t="str" cm="1">
        <f t="array" ref="AV155">_xll.BDH(AV$2 &amp; " US Equity","PX_LAST",$B155,$B155)</f>
        <v>#N/A N/A</v>
      </c>
      <c r="AW155" t="str" cm="1">
        <f t="array" ref="AW155">_xll.BDH(AW$2 &amp; " US Equity","PX_LAST",$B155,$B155)</f>
        <v>#N/A N/A</v>
      </c>
    </row>
    <row r="156" spans="2:49">
      <c r="B156" s="13">
        <v>46054</v>
      </c>
      <c r="C156" t="str" cm="1">
        <f t="array" ref="C156">_xll.BDH(C$2 &amp; " US Equity","PX_LAST",$B156,$B156)</f>
        <v>#N/A N/A</v>
      </c>
      <c r="D156" t="str" cm="1">
        <f t="array" ref="D156">_xll.BDH(D$2 &amp; " PE Equity","PX_LAST",$B156,$B156)</f>
        <v>#N/A N/A</v>
      </c>
      <c r="E156" t="str" cm="1">
        <f t="array" ref="E156">_xll.BDH(E$2 &amp; " PE Equity","PX_LAST",$B156,$B156)</f>
        <v>#N/A N/A</v>
      </c>
      <c r="F156" t="str" cm="1">
        <f t="array" ref="F156">_xll.BDH(F$2 &amp; " PE Equity","PX_LAST",$B156,$B156)</f>
        <v>#N/A N/A</v>
      </c>
      <c r="G156" t="str" cm="1">
        <f t="array" ref="G156">_xll.BDH(G$2 &amp; " US Equity","PX_LAST",$B156,$B156)</f>
        <v>#N/A N/A</v>
      </c>
      <c r="H156" t="str" cm="1">
        <f t="array" ref="H156">_xll.BDH(H$2 &amp; " PE Equity","PX_LAST",$B156,$B156)</f>
        <v>#N/A N/A</v>
      </c>
      <c r="I156" t="str" cm="1">
        <f t="array" ref="I156">_xll.BDH(I$2 &amp; " US Equity","PX_LAST",$B156,$B156)</f>
        <v>#N/A N/A</v>
      </c>
      <c r="J156" t="str" cm="1">
        <f t="array" ref="J156">_xll.BDH(J$2 &amp; " US Equity","PX_LAST",$B156,$B156)</f>
        <v>#N/A N/A</v>
      </c>
      <c r="K156" t="str" cm="1">
        <f t="array" ref="K156">_xll.BDH(K$2 &amp; " US Equity","PX_LAST",$B156,$B156)</f>
        <v>#N/A N/A</v>
      </c>
      <c r="L156" t="str" cm="1">
        <f t="array" ref="L156">_xll.BDH(L$2 &amp; " US Equity","PX_LAST",$B156,$B156)</f>
        <v>#N/A N/A</v>
      </c>
      <c r="M156" t="str" cm="1">
        <f t="array" ref="M156">_xll.BDH(M$2 &amp; " US Equity","PX_LAST",$B156,$B156)</f>
        <v>#N/A N/A</v>
      </c>
      <c r="N156" t="str" cm="1">
        <f t="array" ref="N156">_xll.BDH(N$2 &amp; " US Equity","PX_LAST",$B156,$B156)</f>
        <v>#N/A N/A</v>
      </c>
      <c r="O156" t="str" cm="1">
        <f t="array" ref="O156">_xll.BDH(O$2 &amp; " US Equity","PX_LAST",$B156,$B156)</f>
        <v>#N/A N/A</v>
      </c>
      <c r="P156" t="str" cm="1">
        <f t="array" ref="P156">_xll.BDH(P$2 &amp; " US Equity","PX_LAST",$B156,$B156)</f>
        <v>#N/A N/A</v>
      </c>
      <c r="Q156" t="str" cm="1">
        <f t="array" ref="Q156">_xll.BDH(Q$2 &amp; " US Equity","PX_LAST",$B156,$B156)</f>
        <v>#N/A N/A</v>
      </c>
      <c r="R156" t="str" cm="1">
        <f t="array" ref="R156">_xll.BDH(R$2 &amp; " US Equity","PX_LAST",$B156,$B156)</f>
        <v>#N/A N/A</v>
      </c>
      <c r="S156" t="str" cm="1">
        <f t="array" ref="S156">_xll.BDH(S$2 &amp; " US Equity","PX_LAST",$B156,$B156)</f>
        <v>#N/A N/A</v>
      </c>
      <c r="T156" t="str" cm="1">
        <f t="array" ref="T156">_xll.BDH(T$2 &amp; " US Equity","PX_LAST",$B156,$B156)</f>
        <v>#N/A N/A</v>
      </c>
      <c r="U156" t="str" cm="1">
        <f t="array" ref="U156">_xll.BDH(U$2 &amp; " US Equity","PX_LAST",$B156,$B156)</f>
        <v>#N/A N/A</v>
      </c>
      <c r="V156" t="str" cm="1">
        <f t="array" ref="V156">_xll.BDH(V$2 &amp; " US Equity","PX_LAST",$B156,$B156)</f>
        <v>#N/A N/A</v>
      </c>
      <c r="W156" t="str" cm="1">
        <f t="array" ref="W156">_xll.BDH(W$2 &amp; " US Equity","PX_LAST",$B156,$B156)</f>
        <v>#N/A N/A</v>
      </c>
      <c r="X156" t="str" cm="1">
        <f t="array" ref="X156">_xll.BDH(X$2 &amp; " US Equity","PX_LAST",$B156,$B156)</f>
        <v>#N/A N/A</v>
      </c>
      <c r="Y156" t="str" cm="1">
        <f t="array" ref="Y156">_xll.BDH(Y$2 &amp; " US Equity","PX_LAST",$B156,$B156)</f>
        <v>#N/A N/A</v>
      </c>
      <c r="Z156" t="str" cm="1">
        <f t="array" ref="Z156">_xll.BDH(Z$2 &amp; " US Equity","PX_LAST",$B156,$B156)</f>
        <v>#N/A N/A</v>
      </c>
      <c r="AA156" t="str" cm="1">
        <f t="array" ref="AA156">_xll.BDH(AA$2 &amp; " PE Equity","PX_LAST",$B156,$B156)</f>
        <v>#N/A N/A</v>
      </c>
      <c r="AB156" t="str" cm="1">
        <f t="array" ref="AB156">_xll.BDH(AB$2 &amp; " PE Equity","PX_LAST",$B156,$B156)</f>
        <v>#N/A N/A</v>
      </c>
      <c r="AC156" t="str" cm="1">
        <f t="array" ref="AC156">_xll.BDH(AC$2 &amp; " US Equity","PX_LAST",$B156,$B156)</f>
        <v>#N/A N/A</v>
      </c>
      <c r="AD156" t="str" cm="1">
        <f t="array" ref="AD156">_xll.BDH(AD$2 &amp; " US Equity","PX_LAST",$B156,$B156)</f>
        <v>#N/A N/A</v>
      </c>
      <c r="AE156" t="str" cm="1">
        <f t="array" ref="AE156">_xll.BDH(AE$2 &amp; " PE Equity","PX_LAST",$B156,$B156)</f>
        <v>#N/A Connection</v>
      </c>
      <c r="AF156" t="str" cm="1">
        <f t="array" ref="AF156">_xll.BDH(AF$2 &amp; " US Equity","PX_LAST",$B156,$B156)</f>
        <v>#N/A N/A</v>
      </c>
      <c r="AG156" t="str" cm="1">
        <f t="array" ref="AG156">_xll.BDH(AG$2 &amp; " US Equity","PX_LAST",$B156,$B156)</f>
        <v>#N/A N/A</v>
      </c>
      <c r="AH156" t="str" cm="1">
        <f t="array" ref="AH156">_xll.BDH(AH$2 &amp; " US Equity","PX_LAST",$B156,$B156)</f>
        <v>#N/A N/A</v>
      </c>
      <c r="AI156" t="str" cm="1">
        <f t="array" ref="AI156">_xll.BDH(AI$2 &amp; " US Equity","PX_LAST",$B156,$B156)</f>
        <v>#N/A N/A</v>
      </c>
      <c r="AJ156" t="str" cm="1">
        <f t="array" ref="AJ156">_xll.BDH(AJ$2 &amp; " US Equity","PX_LAST",$B156,$B156)</f>
        <v>#N/A N/A</v>
      </c>
      <c r="AK156" t="str" cm="1">
        <f t="array" ref="AK156">_xll.BDH(AK$2 &amp; " US Equity","PX_LAST",$B156,$B156)</f>
        <v>#N/A N/A</v>
      </c>
      <c r="AL156" t="str" cm="1">
        <f t="array" ref="AL156">_xll.BDH(AL$2 &amp; " US Equity","PX_LAST",$B156,$B156)</f>
        <v>#N/A N/A</v>
      </c>
      <c r="AM156" t="str" cm="1">
        <f t="array" ref="AM156">_xll.BDH(AM$2 &amp; " US Equity","PX_LAST",$B156,$B156)</f>
        <v>#N/A N/A</v>
      </c>
      <c r="AN156" t="str" cm="1">
        <f t="array" ref="AN156">_xll.BDH(AN$2 &amp; " US Equity","PX_LAST",$B156,$B156)</f>
        <v>#N/A N/A</v>
      </c>
      <c r="AO156" t="str" cm="1">
        <f t="array" ref="AO156">_xll.BDH(AO$2 &amp; " US Equity","PX_LAST",$B156,$B156)</f>
        <v>#N/A N/A</v>
      </c>
      <c r="AP156" t="str" cm="1">
        <f t="array" ref="AP156">_xll.BDH(AP$2 &amp; " US Equity","PX_LAST",$B156,$B156)</f>
        <v>#N/A N/A</v>
      </c>
      <c r="AQ156" t="str" cm="1">
        <f t="array" ref="AQ156">_xll.BDH(AQ$2 &amp; " US Equity","PX_LAST",$B156,$B156)</f>
        <v>#N/A N/A</v>
      </c>
      <c r="AR156" t="str" cm="1">
        <f t="array" ref="AR156">_xll.BDH(AR$2 &amp; " US Equity","PX_LAST",$B156,$B156)</f>
        <v>#N/A N/A</v>
      </c>
      <c r="AS156" t="str" cm="1">
        <f t="array" ref="AS156">_xll.BDH(AS$2 &amp; " US Equity","PX_LAST",$B156,$B156)</f>
        <v>#N/A N/A</v>
      </c>
      <c r="AT156" t="str" cm="1">
        <f t="array" ref="AT156">_xll.BDH(AT$2 &amp; " US Equity","PX_LAST",$B156,$B156)</f>
        <v>#N/A N/A</v>
      </c>
      <c r="AU156" t="str" cm="1">
        <f t="array" ref="AU156">_xll.BDH(AU$2 &amp; " US Equity","PX_LAST",$B156,$B156)</f>
        <v>#N/A N/A</v>
      </c>
      <c r="AV156" t="str" cm="1">
        <f t="array" ref="AV156">_xll.BDH(AV$2 &amp; " US Equity","PX_LAST",$B156,$B156)</f>
        <v>#N/A N/A</v>
      </c>
      <c r="AW156" t="str" cm="1">
        <f t="array" ref="AW156">_xll.BDH(AW$2 &amp; " US Equity","PX_LAST",$B156,$B156)</f>
        <v>#N/A N/A</v>
      </c>
    </row>
    <row r="157" spans="2:49">
      <c r="B157" s="13">
        <v>46055</v>
      </c>
      <c r="C157" cm="1">
        <f t="array" ref="C157">_xll.BDH(C$2 &amp; " US Equity","PX_LAST",$B157,$B157)</f>
        <v>335.3</v>
      </c>
      <c r="D157" cm="1">
        <f t="array" ref="D157">_xll.BDH(D$2 &amp; " PE Equity","PX_LAST",$B157,$B157)</f>
        <v>6.65</v>
      </c>
      <c r="E157" cm="1">
        <f t="array" ref="E157">_xll.BDH(E$2 &amp; " PE Equity","PX_LAST",$B157,$B157)</f>
        <v>2.52</v>
      </c>
      <c r="F157" cm="1">
        <f t="array" ref="F157">_xll.BDH(F$2 &amp; " PE Equity","PX_LAST",$B157,$B157)</f>
        <v>3.31</v>
      </c>
      <c r="G157" cm="1">
        <f t="array" ref="G157">_xll.BDH(G$2 &amp; " US Equity","PX_LAST",$B157,$B157)</f>
        <v>16.489999999999998</v>
      </c>
      <c r="H157" cm="1">
        <f t="array" ref="H157">_xll.BDH(H$2 &amp; " PE Equity","PX_LAST",$B157,$B157)</f>
        <v>4.03</v>
      </c>
      <c r="I157" cm="1">
        <f t="array" ref="I157">_xll.BDH(I$2 &amp; " US Equity","PX_LAST",$B157,$B157)</f>
        <v>53.69</v>
      </c>
      <c r="J157" cm="1">
        <f t="array" ref="J157">_xll.BDH(J$2 &amp; " US Equity","PX_LAST",$B157,$B157)</f>
        <v>8.6999999999999993</v>
      </c>
      <c r="K157" cm="1">
        <f t="array" ref="K157">_xll.BDH(K$2 &amp; " US Equity","PX_LAST",$B157,$B157)</f>
        <v>56.86</v>
      </c>
      <c r="L157" cm="1">
        <f t="array" ref="L157">_xll.BDH(L$2 &amp; " US Equity","PX_LAST",$B157,$B157)</f>
        <v>59.28</v>
      </c>
      <c r="M157" cm="1">
        <f t="array" ref="M157">_xll.BDH(M$2 &amp; " US Equity","PX_LAST",$B157,$B157)</f>
        <v>367.91</v>
      </c>
      <c r="N157" cm="1">
        <f t="array" ref="N157">_xll.BDH(N$2 &amp; " US Equity","PX_LAST",$B157,$B157)</f>
        <v>38.85</v>
      </c>
      <c r="O157" cm="1">
        <f t="array" ref="O157">_xll.BDH(O$2 &amp; " US Equity","PX_LAST",$B157,$B157)</f>
        <v>37.450000000000003</v>
      </c>
      <c r="P157" cm="1">
        <f t="array" ref="P157">_xll.BDH(P$2 &amp; " US Equity","PX_LAST",$B157,$B157)</f>
        <v>18.23</v>
      </c>
      <c r="Q157" cm="1">
        <f t="array" ref="Q157">_xll.BDH(Q$2 &amp; " US Equity","PX_LAST",$B157,$B157)</f>
        <v>26.66</v>
      </c>
      <c r="R157" cm="1">
        <f t="array" ref="R157">_xll.BDH(R$2 &amp; " US Equity","PX_LAST",$B157,$B157)</f>
        <v>34.06</v>
      </c>
      <c r="S157" cm="1">
        <f t="array" ref="S157">_xll.BDH(S$2 &amp; " US Equity","PX_LAST",$B157,$B157)</f>
        <v>167.53</v>
      </c>
      <c r="T157" cm="1">
        <f t="array" ref="T157">_xll.BDH(T$2 &amp; " US Equity","PX_LAST",$B157,$B157)</f>
        <v>67.27</v>
      </c>
      <c r="U157" cm="1">
        <f t="array" ref="U157">_xll.BDH(U$2 &amp; " US Equity","PX_LAST",$B157,$B157)</f>
        <v>148.57</v>
      </c>
      <c r="V157" cm="1">
        <f t="array" ref="V157">_xll.BDH(V$2 &amp; " US Equity","PX_LAST",$B157,$B157)</f>
        <v>42.62</v>
      </c>
      <c r="W157" cm="1">
        <f t="array" ref="W157">_xll.BDH(W$2 &amp; " US Equity","PX_LAST",$B157,$B157)</f>
        <v>147.76</v>
      </c>
      <c r="X157" cm="1">
        <f t="array" ref="X157">_xll.BDH(X$2 &amp; " US Equity","PX_LAST",$B157,$B157)</f>
        <v>62.25</v>
      </c>
      <c r="Y157" cm="1">
        <f t="array" ref="Y157">_xll.BDH(Y$2 &amp; " US Equity","PX_LAST",$B157,$B157)</f>
        <v>45.68</v>
      </c>
      <c r="Z157" cm="1">
        <f t="array" ref="Z157">_xll.BDH(Z$2 &amp; " US Equity","PX_LAST",$B157,$B157)</f>
        <v>407.97</v>
      </c>
      <c r="AA157" cm="1">
        <f t="array" ref="AA157">_xll.BDH(AA$2 &amp; " PE Equity","PX_LAST",$B157,$B157)</f>
        <v>0.77</v>
      </c>
      <c r="AB157" cm="1">
        <f t="array" ref="AB157">_xll.BDH(AB$2 &amp; " PE Equity","PX_LAST",$B157,$B157)</f>
        <v>28.79</v>
      </c>
      <c r="AC157" cm="1">
        <f t="array" ref="AC157">_xll.BDH(AC$2 &amp; " US Equity","PX_LAST",$B157,$B157)</f>
        <v>75.58</v>
      </c>
      <c r="AD157" cm="1">
        <f t="array" ref="AD157">_xll.BDH(AD$2 &amp; " US Equity","PX_LAST",$B157,$B157)</f>
        <v>695.41</v>
      </c>
      <c r="AE157" t="str" cm="1">
        <f t="array" ref="AE157">_xll.BDH(AE$2 &amp; " PE Equity","PX_LAST",$B157,$B157)</f>
        <v>#N/A Connection</v>
      </c>
      <c r="AF157" cm="1">
        <f t="array" ref="AF157">_xll.BDH(AF$2 &amp; " US Equity","PX_LAST",$B157,$B157)</f>
        <v>59.060299999999998</v>
      </c>
      <c r="AG157" cm="1">
        <f t="array" ref="AG157">_xll.BDH(AG$2 &amp; " US Equity","PX_LAST",$B157,$B157)</f>
        <v>14.9863</v>
      </c>
      <c r="AH157" cm="1">
        <f t="array" ref="AH157">_xll.BDH(AH$2 &amp; " US Equity","PX_LAST",$B157,$B157)</f>
        <v>626.14</v>
      </c>
      <c r="AI157" cm="1">
        <f t="array" ref="AI157">_xll.BDH(AI$2 &amp; " US Equity","PX_LAST",$B157,$B157)</f>
        <v>111.72</v>
      </c>
      <c r="AJ157" cm="1">
        <f t="array" ref="AJ157">_xll.BDH(AJ$2 &amp; " US Equity","PX_LAST",$B157,$B157)</f>
        <v>104.45</v>
      </c>
      <c r="AK157" cm="1">
        <f t="array" ref="AK157">_xll.BDH(AK$2 &amp; " US Equity","PX_LAST",$B157,$B157)</f>
        <v>121.97</v>
      </c>
      <c r="AL157" cm="1">
        <f t="array" ref="AL157">_xll.BDH(AL$2 &amp; " US Equity","PX_LAST",$B157,$B157)</f>
        <v>242.96</v>
      </c>
      <c r="AM157" cm="1">
        <f t="array" ref="AM157">_xll.BDH(AM$2 &amp; " US Equity","PX_LAST",$B157,$B157)</f>
        <v>55.1</v>
      </c>
      <c r="AN157" cm="1">
        <f t="array" ref="AN157">_xll.BDH(AN$2 &amp; " US Equity","PX_LAST",$B157,$B157)</f>
        <v>24.245000000000001</v>
      </c>
      <c r="AO157" cm="1">
        <f t="array" ref="AO157">_xll.BDH(AO$2 &amp; " US Equity","PX_LAST",$B157,$B157)</f>
        <v>54.86</v>
      </c>
      <c r="AP157" cm="1">
        <f t="array" ref="AP157">_xll.BDH(AP$2 &amp; " US Equity","PX_LAST",$B157,$B157)</f>
        <v>4.8099999999999996</v>
      </c>
      <c r="AQ157" cm="1">
        <f t="array" ref="AQ157">_xll.BDH(AQ$2 &amp; " US Equity","PX_LAST",$B157,$B157)</f>
        <v>99.5</v>
      </c>
      <c r="AR157" cm="1">
        <f t="array" ref="AR157">_xll.BDH(AR$2 &amp; " US Equity","PX_LAST",$B157,$B157)</f>
        <v>82.55</v>
      </c>
      <c r="AS157" cm="1">
        <f t="array" ref="AS157">_xll.BDH(AS$2 &amp; " US Equity","PX_LAST",$B157,$B157)</f>
        <v>82.76</v>
      </c>
      <c r="AT157" cm="1">
        <f t="array" ref="AT157">_xll.BDH(AT$2 &amp; " US Equity","PX_LAST",$B157,$B157)</f>
        <v>4.5199999999999996</v>
      </c>
      <c r="AU157" cm="1">
        <f t="array" ref="AU157">_xll.BDH(AU$2 &amp; " US Equity","PX_LAST",$B157,$B157)</f>
        <v>285.58999999999997</v>
      </c>
      <c r="AV157" cm="1">
        <f t="array" ref="AV157">_xll.BDH(AV$2 &amp; " US Equity","PX_LAST",$B157,$B157)</f>
        <v>221.81</v>
      </c>
      <c r="AW157" cm="1">
        <f t="array" ref="AW157">_xll.BDH(AW$2 &amp; " US Equity","PX_LAST",$B157,$B157)</f>
        <v>114.36</v>
      </c>
    </row>
    <row r="158" spans="2:49">
      <c r="B158" s="13">
        <v>46056</v>
      </c>
      <c r="C158" cm="1">
        <f t="array" ref="C158">_xll.BDH(C$2 &amp; " US Equity","PX_LAST",$B158,$B158)</f>
        <v>353.43</v>
      </c>
      <c r="D158" cm="1">
        <f t="array" ref="D158">_xll.BDH(D$2 &amp; " PE Equity","PX_LAST",$B158,$B158)</f>
        <v>6.93</v>
      </c>
      <c r="E158" cm="1">
        <f t="array" ref="E158">_xll.BDH(E$2 &amp; " PE Equity","PX_LAST",$B158,$B158)</f>
        <v>2.44</v>
      </c>
      <c r="F158" cm="1">
        <f t="array" ref="F158">_xll.BDH(F$2 &amp; " PE Equity","PX_LAST",$B158,$B158)</f>
        <v>3.4</v>
      </c>
      <c r="G158" cm="1">
        <f t="array" ref="G158">_xll.BDH(G$2 &amp; " US Equity","PX_LAST",$B158,$B158)</f>
        <v>17.16</v>
      </c>
      <c r="H158" cm="1">
        <f t="array" ref="H158">_xll.BDH(H$2 &amp; " PE Equity","PX_LAST",$B158,$B158)</f>
        <v>4.1100000000000003</v>
      </c>
      <c r="I158" cm="1">
        <f t="array" ref="I158">_xll.BDH(I$2 &amp; " US Equity","PX_LAST",$B158,$B158)</f>
        <v>55.59</v>
      </c>
      <c r="J158" cm="1">
        <f t="array" ref="J158">_xll.BDH(J$2 &amp; " US Equity","PX_LAST",$B158,$B158)</f>
        <v>8.7899999999999991</v>
      </c>
      <c r="K158" cm="1">
        <f t="array" ref="K158">_xll.BDH(K$2 &amp; " US Equity","PX_LAST",$B158,$B158)</f>
        <v>56.25</v>
      </c>
      <c r="L158" cm="1">
        <f t="array" ref="L158">_xll.BDH(L$2 &amp; " US Equity","PX_LAST",$B158,$B158)</f>
        <v>59.6</v>
      </c>
      <c r="M158" cm="1">
        <f t="array" ref="M158">_xll.BDH(M$2 &amp; " US Equity","PX_LAST",$B158,$B158)</f>
        <v>375.25</v>
      </c>
      <c r="N158" cm="1">
        <f t="array" ref="N158">_xll.BDH(N$2 &amp; " US Equity","PX_LAST",$B158,$B158)</f>
        <v>38.65</v>
      </c>
      <c r="O158" cm="1">
        <f t="array" ref="O158">_xll.BDH(O$2 &amp; " US Equity","PX_LAST",$B158,$B158)</f>
        <v>38.04</v>
      </c>
      <c r="P158" cm="1">
        <f t="array" ref="P158">_xll.BDH(P$2 &amp; " US Equity","PX_LAST",$B158,$B158)</f>
        <v>18.760000000000002</v>
      </c>
      <c r="Q158" cm="1">
        <f t="array" ref="Q158">_xll.BDH(Q$2 &amp; " US Equity","PX_LAST",$B158,$B158)</f>
        <v>25.77</v>
      </c>
      <c r="R158" cm="1">
        <f t="array" ref="R158">_xll.BDH(R$2 &amp; " US Equity","PX_LAST",$B158,$B158)</f>
        <v>36.590000000000003</v>
      </c>
      <c r="S158" cm="1">
        <f t="array" ref="S158">_xll.BDH(S$2 &amp; " US Equity","PX_LAST",$B158,$B158)</f>
        <v>168.94</v>
      </c>
      <c r="T158" cm="1">
        <f t="array" ref="T158">_xll.BDH(T$2 &amp; " US Equity","PX_LAST",$B158,$B158)</f>
        <v>67.069999999999993</v>
      </c>
      <c r="U158" cm="1">
        <f t="array" ref="U158">_xll.BDH(U$2 &amp; " US Equity","PX_LAST",$B158,$B158)</f>
        <v>144.86000000000001</v>
      </c>
      <c r="V158" cm="1">
        <f t="array" ref="V158">_xll.BDH(V$2 &amp; " US Equity","PX_LAST",$B158,$B158)</f>
        <v>43.24</v>
      </c>
      <c r="W158" cm="1">
        <f t="array" ref="W158">_xll.BDH(W$2 &amp; " US Equity","PX_LAST",$B158,$B158)</f>
        <v>157.88</v>
      </c>
      <c r="X158" cm="1">
        <f t="array" ref="X158">_xll.BDH(X$2 &amp; " US Equity","PX_LAST",$B158,$B158)</f>
        <v>61.89</v>
      </c>
      <c r="Y158" cm="1">
        <f t="array" ref="Y158">_xll.BDH(Y$2 &amp; " US Equity","PX_LAST",$B158,$B158)</f>
        <v>45.69</v>
      </c>
      <c r="Z158" cm="1">
        <f t="array" ref="Z158">_xll.BDH(Z$2 &amp; " US Equity","PX_LAST",$B158,$B158)</f>
        <v>397.68</v>
      </c>
      <c r="AA158" cm="1">
        <f t="array" ref="AA158">_xll.BDH(AA$2 &amp; " PE Equity","PX_LAST",$B158,$B158)</f>
        <v>0.82</v>
      </c>
      <c r="AB158" cm="1">
        <f t="array" ref="AB158">_xll.BDH(AB$2 &amp; " PE Equity","PX_LAST",$B158,$B158)</f>
        <v>28.5</v>
      </c>
      <c r="AC158" cm="1">
        <f t="array" ref="AC158">_xll.BDH(AC$2 &amp; " US Equity","PX_LAST",$B158,$B158)</f>
        <v>75.8</v>
      </c>
      <c r="AD158" cm="1">
        <f t="array" ref="AD158">_xll.BDH(AD$2 &amp; " US Equity","PX_LAST",$B158,$B158)</f>
        <v>689.53</v>
      </c>
      <c r="AE158" t="str" cm="1">
        <f t="array" ref="AE158">_xll.BDH(AE$2 &amp; " PE Equity","PX_LAST",$B158,$B158)</f>
        <v>#N/A Connection</v>
      </c>
      <c r="AF158" cm="1">
        <f t="array" ref="AF158">_xll.BDH(AF$2 &amp; " US Equity","PX_LAST",$B158,$B158)</f>
        <v>58.5</v>
      </c>
      <c r="AG158" cm="1">
        <f t="array" ref="AG158">_xll.BDH(AG$2 &amp; " US Equity","PX_LAST",$B158,$B158)</f>
        <v>15.2494</v>
      </c>
      <c r="AH158" cm="1">
        <f t="array" ref="AH158">_xll.BDH(AH$2 &amp; " US Equity","PX_LAST",$B158,$B158)</f>
        <v>616.52</v>
      </c>
      <c r="AI158" cm="1">
        <f t="array" ref="AI158">_xll.BDH(AI$2 &amp; " US Equity","PX_LAST",$B158,$B158)</f>
        <v>107.18</v>
      </c>
      <c r="AJ158" cm="1">
        <f t="array" ref="AJ158">_xll.BDH(AJ$2 &amp; " US Equity","PX_LAST",$B158,$B158)</f>
        <v>104.22</v>
      </c>
      <c r="AK158" cm="1">
        <f t="array" ref="AK158">_xll.BDH(AK$2 &amp; " US Equity","PX_LAST",$B158,$B158)</f>
        <v>120.99</v>
      </c>
      <c r="AL158" cm="1">
        <f t="array" ref="AL158">_xll.BDH(AL$2 &amp; " US Equity","PX_LAST",$B158,$B158)</f>
        <v>238.62</v>
      </c>
      <c r="AM158" cm="1">
        <f t="array" ref="AM158">_xll.BDH(AM$2 &amp; " US Equity","PX_LAST",$B158,$B158)</f>
        <v>52.52</v>
      </c>
      <c r="AN158" cm="1">
        <f t="array" ref="AN158">_xll.BDH(AN$2 &amp; " US Equity","PX_LAST",$B158,$B158)</f>
        <v>24.114999999999998</v>
      </c>
      <c r="AO158" cm="1">
        <f t="array" ref="AO158">_xll.BDH(AO$2 &amp; " US Equity","PX_LAST",$B158,$B158)</f>
        <v>54.22</v>
      </c>
      <c r="AP158" cm="1">
        <f t="array" ref="AP158">_xll.BDH(AP$2 &amp; " US Equity","PX_LAST",$B158,$B158)</f>
        <v>4.67</v>
      </c>
      <c r="AQ158" cm="1">
        <f t="array" ref="AQ158">_xll.BDH(AQ$2 &amp; " US Equity","PX_LAST",$B158,$B158)</f>
        <v>100.77</v>
      </c>
      <c r="AR158" cm="1">
        <f t="array" ref="AR158">_xll.BDH(AR$2 &amp; " US Equity","PX_LAST",$B158,$B158)</f>
        <v>82.68</v>
      </c>
      <c r="AS158" cm="1">
        <f t="array" ref="AS158">_xll.BDH(AS$2 &amp; " US Equity","PX_LAST",$B158,$B158)</f>
        <v>79.94</v>
      </c>
      <c r="AT158" cm="1">
        <f t="array" ref="AT158">_xll.BDH(AT$2 &amp; " US Equity","PX_LAST",$B158,$B158)</f>
        <v>4.55</v>
      </c>
      <c r="AU158" cm="1">
        <f t="array" ref="AU158">_xll.BDH(AU$2 &amp; " US Equity","PX_LAST",$B158,$B158)</f>
        <v>284.18</v>
      </c>
      <c r="AV158" cm="1">
        <f t="array" ref="AV158">_xll.BDH(AV$2 &amp; " US Equity","PX_LAST",$B158,$B158)</f>
        <v>212.17</v>
      </c>
      <c r="AW158" cm="1">
        <f t="array" ref="AW158">_xll.BDH(AW$2 &amp; " US Equity","PX_LAST",$B158,$B158)</f>
        <v>103.28</v>
      </c>
    </row>
    <row r="159" spans="2:49">
      <c r="B159" s="13">
        <v>46057</v>
      </c>
      <c r="C159" cm="1">
        <f t="array" ref="C159">_xll.BDH(C$2 &amp; " US Equity","PX_LAST",$B159,$B159)</f>
        <v>362.54</v>
      </c>
      <c r="D159" cm="1">
        <f t="array" ref="D159">_xll.BDH(D$2 &amp; " PE Equity","PX_LAST",$B159,$B159)</f>
        <v>6.95</v>
      </c>
      <c r="E159" cm="1">
        <f t="array" ref="E159">_xll.BDH(E$2 &amp; " PE Equity","PX_LAST",$B159,$B159)</f>
        <v>2.37</v>
      </c>
      <c r="F159" cm="1">
        <f t="array" ref="F159">_xll.BDH(F$2 &amp; " PE Equity","PX_LAST",$B159,$B159)</f>
        <v>3.15</v>
      </c>
      <c r="G159" cm="1">
        <f t="array" ref="G159">_xll.BDH(G$2 &amp; " US Equity","PX_LAST",$B159,$B159)</f>
        <v>16.77</v>
      </c>
      <c r="H159" cm="1">
        <f t="array" ref="H159">_xll.BDH(H$2 &amp; " PE Equity","PX_LAST",$B159,$B159)</f>
        <v>4.1100000000000003</v>
      </c>
      <c r="I159" cm="1">
        <f t="array" ref="I159">_xll.BDH(I$2 &amp; " US Equity","PX_LAST",$B159,$B159)</f>
        <v>58.1</v>
      </c>
      <c r="J159" cm="1">
        <f t="array" ref="J159">_xll.BDH(J$2 &amp; " US Equity","PX_LAST",$B159,$B159)</f>
        <v>8.49</v>
      </c>
      <c r="K159" cm="1">
        <f t="array" ref="K159">_xll.BDH(K$2 &amp; " US Equity","PX_LAST",$B159,$B159)</f>
        <v>56.68</v>
      </c>
      <c r="L159" cm="1">
        <f t="array" ref="L159">_xll.BDH(L$2 &amp; " US Equity","PX_LAST",$B159,$B159)</f>
        <v>58.8</v>
      </c>
      <c r="M159" cm="1">
        <f t="array" ref="M159">_xll.BDH(M$2 &amp; " US Equity","PX_LAST",$B159,$B159)</f>
        <v>363.63</v>
      </c>
      <c r="N159" cm="1">
        <f t="array" ref="N159">_xll.BDH(N$2 &amp; " US Equity","PX_LAST",$B159,$B159)</f>
        <v>38.479999999999997</v>
      </c>
      <c r="O159" cm="1">
        <f t="array" ref="O159">_xll.BDH(O$2 &amp; " US Equity","PX_LAST",$B159,$B159)</f>
        <v>36.979999999999997</v>
      </c>
      <c r="P159" cm="1">
        <f t="array" ref="P159">_xll.BDH(P$2 &amp; " US Equity","PX_LAST",$B159,$B159)</f>
        <v>18.739999999999998</v>
      </c>
      <c r="Q159" cm="1">
        <f t="array" ref="Q159">_xll.BDH(Q$2 &amp; " US Equity","PX_LAST",$B159,$B159)</f>
        <v>26.78</v>
      </c>
      <c r="R159" cm="1">
        <f t="array" ref="R159">_xll.BDH(R$2 &amp; " US Equity","PX_LAST",$B159,$B159)</f>
        <v>36.549999999999997</v>
      </c>
      <c r="S159" cm="1">
        <f t="array" ref="S159">_xll.BDH(S$2 &amp; " US Equity","PX_LAST",$B159,$B159)</f>
        <v>169.39</v>
      </c>
      <c r="T159" cm="1">
        <f t="array" ref="T159">_xll.BDH(T$2 &amp; " US Equity","PX_LAST",$B159,$B159)</f>
        <v>66.88</v>
      </c>
      <c r="U159" cm="1">
        <f t="array" ref="U159">_xll.BDH(U$2 &amp; " US Equity","PX_LAST",$B159,$B159)</f>
        <v>137.94999999999999</v>
      </c>
      <c r="V159" cm="1">
        <f t="array" ref="V159">_xll.BDH(V$2 &amp; " US Equity","PX_LAST",$B159,$B159)</f>
        <v>43.08</v>
      </c>
      <c r="W159" cm="1">
        <f t="array" ref="W159">_xll.BDH(W$2 &amp; " US Equity","PX_LAST",$B159,$B159)</f>
        <v>139.54</v>
      </c>
      <c r="X159" cm="1">
        <f t="array" ref="X159">_xll.BDH(X$2 &amp; " US Equity","PX_LAST",$B159,$B159)</f>
        <v>62.47</v>
      </c>
      <c r="Y159" cm="1">
        <f t="array" ref="Y159">_xll.BDH(Y$2 &amp; " US Equity","PX_LAST",$B159,$B159)</f>
        <v>46.03</v>
      </c>
      <c r="Z159" cm="1">
        <f t="array" ref="Z159">_xll.BDH(Z$2 &amp; " US Equity","PX_LAST",$B159,$B159)</f>
        <v>382.02</v>
      </c>
      <c r="AA159" cm="1">
        <f t="array" ref="AA159">_xll.BDH(AA$2 &amp; " PE Equity","PX_LAST",$B159,$B159)</f>
        <v>0.79</v>
      </c>
      <c r="AB159" cm="1">
        <f t="array" ref="AB159">_xll.BDH(AB$2 &amp; " PE Equity","PX_LAST",$B159,$B159)</f>
        <v>28.51</v>
      </c>
      <c r="AC159" cm="1">
        <f t="array" ref="AC159">_xll.BDH(AC$2 &amp; " US Equity","PX_LAST",$B159,$B159)</f>
        <v>76.14</v>
      </c>
      <c r="AD159" cm="1">
        <f t="array" ref="AD159">_xll.BDH(AD$2 &amp; " US Equity","PX_LAST",$B159,$B159)</f>
        <v>686.19</v>
      </c>
      <c r="AE159" t="str" cm="1">
        <f t="array" ref="AE159">_xll.BDH(AE$2 &amp; " PE Equity","PX_LAST",$B159,$B159)</f>
        <v>#N/A Connection</v>
      </c>
      <c r="AF159" cm="1">
        <f t="array" ref="AF159">_xll.BDH(AF$2 &amp; " US Equity","PX_LAST",$B159,$B159)</f>
        <v>58.398899999999998</v>
      </c>
      <c r="AG159" cm="1">
        <f t="array" ref="AG159">_xll.BDH(AG$2 &amp; " US Equity","PX_LAST",$B159,$B159)</f>
        <v>14.7872</v>
      </c>
      <c r="AH159" cm="1">
        <f t="array" ref="AH159">_xll.BDH(AH$2 &amp; " US Equity","PX_LAST",$B159,$B159)</f>
        <v>605.75</v>
      </c>
      <c r="AI159" cm="1">
        <f t="array" ref="AI159">_xll.BDH(AI$2 &amp; " US Equity","PX_LAST",$B159,$B159)</f>
        <v>102.17</v>
      </c>
      <c r="AJ159" cm="1">
        <f t="array" ref="AJ159">_xll.BDH(AJ$2 &amp; " US Equity","PX_LAST",$B159,$B159)</f>
        <v>107.05</v>
      </c>
      <c r="AK159" cm="1">
        <f t="array" ref="AK159">_xll.BDH(AK$2 &amp; " US Equity","PX_LAST",$B159,$B159)</f>
        <v>120.1</v>
      </c>
      <c r="AL159" cm="1">
        <f t="array" ref="AL159">_xll.BDH(AL$2 &amp; " US Equity","PX_LAST",$B159,$B159)</f>
        <v>232.99</v>
      </c>
      <c r="AM159" cm="1">
        <f t="array" ref="AM159">_xll.BDH(AM$2 &amp; " US Equity","PX_LAST",$B159,$B159)</f>
        <v>49.76</v>
      </c>
      <c r="AN159" cm="1">
        <f t="array" ref="AN159">_xll.BDH(AN$2 &amp; " US Equity","PX_LAST",$B159,$B159)</f>
        <v>23.605</v>
      </c>
      <c r="AO159" cm="1">
        <f t="array" ref="AO159">_xll.BDH(AO$2 &amp; " US Equity","PX_LAST",$B159,$B159)</f>
        <v>52.5</v>
      </c>
      <c r="AP159" cm="1">
        <f t="array" ref="AP159">_xll.BDH(AP$2 &amp; " US Equity","PX_LAST",$B159,$B159)</f>
        <v>4.5999999999999996</v>
      </c>
      <c r="AQ159" cm="1">
        <f t="array" ref="AQ159">_xll.BDH(AQ$2 &amp; " US Equity","PX_LAST",$B159,$B159)</f>
        <v>103.21</v>
      </c>
      <c r="AR159" cm="1">
        <f t="array" ref="AR159">_xll.BDH(AR$2 &amp; " US Equity","PX_LAST",$B159,$B159)</f>
        <v>77.94</v>
      </c>
      <c r="AS159" cm="1">
        <f t="array" ref="AS159">_xll.BDH(AS$2 &amp; " US Equity","PX_LAST",$B159,$B159)</f>
        <v>80.16</v>
      </c>
      <c r="AT159" cm="1">
        <f t="array" ref="AT159">_xll.BDH(AT$2 &amp; " US Equity","PX_LAST",$B159,$B159)</f>
        <v>4.4400000000000004</v>
      </c>
      <c r="AU159" cm="1">
        <f t="array" ref="AU159">_xll.BDH(AU$2 &amp; " US Equity","PX_LAST",$B159,$B159)</f>
        <v>275.92</v>
      </c>
      <c r="AV159" cm="1">
        <f t="array" ref="AV159">_xll.BDH(AV$2 &amp; " US Equity","PX_LAST",$B159,$B159)</f>
        <v>200.76</v>
      </c>
      <c r="AW159" cm="1">
        <f t="array" ref="AW159">_xll.BDH(AW$2 &amp; " US Equity","PX_LAST",$B159,$B159)</f>
        <v>104.77</v>
      </c>
    </row>
    <row r="160" spans="2:49">
      <c r="B160" s="13">
        <v>46058</v>
      </c>
      <c r="C160" cm="1">
        <f t="array" ref="C160">_xll.BDH(C$2 &amp; " US Equity","PX_LAST",$B160,$B160)</f>
        <v>363.96</v>
      </c>
      <c r="D160" cm="1">
        <f t="array" ref="D160">_xll.BDH(D$2 &amp; " PE Equity","PX_LAST",$B160,$B160)</f>
        <v>6.95</v>
      </c>
      <c r="E160" cm="1">
        <f t="array" ref="E160">_xll.BDH(E$2 &amp; " PE Equity","PX_LAST",$B160,$B160)</f>
        <v>2.36</v>
      </c>
      <c r="F160" cm="1">
        <f t="array" ref="F160">_xll.BDH(F$2 &amp; " PE Equity","PX_LAST",$B160,$B160)</f>
        <v>3.21</v>
      </c>
      <c r="G160" cm="1">
        <f t="array" ref="G160">_xll.BDH(G$2 &amp; " US Equity","PX_LAST",$B160,$B160)</f>
        <v>16.88</v>
      </c>
      <c r="H160" cm="1">
        <f t="array" ref="H160">_xll.BDH(H$2 &amp; " PE Equity","PX_LAST",$B160,$B160)</f>
        <v>4.1500000000000004</v>
      </c>
      <c r="I160" cm="1">
        <f t="array" ref="I160">_xll.BDH(I$2 &amp; " US Equity","PX_LAST",$B160,$B160)</f>
        <v>55.83</v>
      </c>
      <c r="J160" cm="1">
        <f t="array" ref="J160">_xll.BDH(J$2 &amp; " US Equity","PX_LAST",$B160,$B160)</f>
        <v>8.68</v>
      </c>
      <c r="K160" cm="1">
        <f t="array" ref="K160">_xll.BDH(K$2 &amp; " US Equity","PX_LAST",$B160,$B160)</f>
        <v>55.21</v>
      </c>
      <c r="L160" cm="1">
        <f t="array" ref="L160">_xll.BDH(L$2 &amp; " US Equity","PX_LAST",$B160,$B160)</f>
        <v>58.53</v>
      </c>
      <c r="M160" cm="1">
        <f t="array" ref="M160">_xll.BDH(M$2 &amp; " US Equity","PX_LAST",$B160,$B160)</f>
        <v>356.4</v>
      </c>
      <c r="N160" cm="1">
        <f t="array" ref="N160">_xll.BDH(N$2 &amp; " US Equity","PX_LAST",$B160,$B160)</f>
        <v>37.409999999999997</v>
      </c>
      <c r="O160" cm="1">
        <f t="array" ref="O160">_xll.BDH(O$2 &amp; " US Equity","PX_LAST",$B160,$B160)</f>
        <v>36.909999999999997</v>
      </c>
      <c r="P160" cm="1">
        <f t="array" ref="P160">_xll.BDH(P$2 &amp; " US Equity","PX_LAST",$B160,$B160)</f>
        <v>18.11</v>
      </c>
      <c r="Q160" cm="1">
        <f t="array" ref="Q160">_xll.BDH(Q$2 &amp; " US Equity","PX_LAST",$B160,$B160)</f>
        <v>26.49</v>
      </c>
      <c r="R160" cm="1">
        <f t="array" ref="R160">_xll.BDH(R$2 &amp; " US Equity","PX_LAST",$B160,$B160)</f>
        <v>35</v>
      </c>
      <c r="S160" cm="1">
        <f t="array" ref="S160">_xll.BDH(S$2 &amp; " US Equity","PX_LAST",$B160,$B160)</f>
        <v>168.37</v>
      </c>
      <c r="T160" cm="1">
        <f t="array" ref="T160">_xll.BDH(T$2 &amp; " US Equity","PX_LAST",$B160,$B160)</f>
        <v>66.16</v>
      </c>
      <c r="U160" cm="1">
        <f t="array" ref="U160">_xll.BDH(U$2 &amp; " US Equity","PX_LAST",$B160,$B160)</f>
        <v>138.96</v>
      </c>
      <c r="V160" cm="1">
        <f t="array" ref="V160">_xll.BDH(V$2 &amp; " US Equity","PX_LAST",$B160,$B160)</f>
        <v>43.1</v>
      </c>
      <c r="W160" cm="1">
        <f t="array" ref="W160">_xll.BDH(W$2 &amp; " US Equity","PX_LAST",$B160,$B160)</f>
        <v>130.01</v>
      </c>
      <c r="X160" cm="1">
        <f t="array" ref="X160">_xll.BDH(X$2 &amp; " US Equity","PX_LAST",$B160,$B160)</f>
        <v>62.24</v>
      </c>
      <c r="Y160" cm="1">
        <f t="array" ref="Y160">_xll.BDH(Y$2 &amp; " US Equity","PX_LAST",$B160,$B160)</f>
        <v>45.73</v>
      </c>
      <c r="Z160" cm="1">
        <f t="array" ref="Z160">_xll.BDH(Z$2 &amp; " US Equity","PX_LAST",$B160,$B160)</f>
        <v>381.07</v>
      </c>
      <c r="AA160" cm="1">
        <f t="array" ref="AA160">_xll.BDH(AA$2 &amp; " PE Equity","PX_LAST",$B160,$B160)</f>
        <v>0.78</v>
      </c>
      <c r="AB160" cm="1">
        <f t="array" ref="AB160">_xll.BDH(AB$2 &amp; " PE Equity","PX_LAST",$B160,$B160)</f>
        <v>28.61</v>
      </c>
      <c r="AC160" cm="1">
        <f t="array" ref="AC160">_xll.BDH(AC$2 &amp; " US Equity","PX_LAST",$B160,$B160)</f>
        <v>75.489999999999995</v>
      </c>
      <c r="AD160" cm="1">
        <f t="array" ref="AD160">_xll.BDH(AD$2 &amp; " US Equity","PX_LAST",$B160,$B160)</f>
        <v>677.62</v>
      </c>
      <c r="AE160" t="str" cm="1">
        <f t="array" ref="AE160">_xll.BDH(AE$2 &amp; " PE Equity","PX_LAST",$B160,$B160)</f>
        <v>#N/A Connection</v>
      </c>
      <c r="AF160" cm="1">
        <f t="array" ref="AF160">_xll.BDH(AF$2 &amp; " US Equity","PX_LAST",$B160,$B160)</f>
        <v>57.848399999999998</v>
      </c>
      <c r="AG160" cm="1">
        <f t="array" ref="AG160">_xll.BDH(AG$2 &amp; " US Equity","PX_LAST",$B160,$B160)</f>
        <v>14.7301</v>
      </c>
      <c r="AH160" cm="1">
        <f t="array" ref="AH160">_xll.BDH(AH$2 &amp; " US Equity","PX_LAST",$B160,$B160)</f>
        <v>597.03</v>
      </c>
      <c r="AI160" cm="1">
        <f t="array" ref="AI160">_xll.BDH(AI$2 &amp; " US Equity","PX_LAST",$B160,$B160)</f>
        <v>99.82</v>
      </c>
      <c r="AJ160" cm="1">
        <f t="array" ref="AJ160">_xll.BDH(AJ$2 &amp; " US Equity","PX_LAST",$B160,$B160)</f>
        <v>104.97</v>
      </c>
      <c r="AK160" cm="1">
        <f t="array" ref="AK160">_xll.BDH(AK$2 &amp; " US Equity","PX_LAST",$B160,$B160)</f>
        <v>117.51</v>
      </c>
      <c r="AL160" cm="1">
        <f t="array" ref="AL160">_xll.BDH(AL$2 &amp; " US Equity","PX_LAST",$B160,$B160)</f>
        <v>222.69</v>
      </c>
      <c r="AM160" cm="1">
        <f t="array" ref="AM160">_xll.BDH(AM$2 &amp; " US Equity","PX_LAST",$B160,$B160)</f>
        <v>47.64</v>
      </c>
      <c r="AN160" cm="1">
        <f t="array" ref="AN160">_xll.BDH(AN$2 &amp; " US Equity","PX_LAST",$B160,$B160)</f>
        <v>23.45</v>
      </c>
      <c r="AO160" cm="1">
        <f t="array" ref="AO160">_xll.BDH(AO$2 &amp; " US Equity","PX_LAST",$B160,$B160)</f>
        <v>52.15</v>
      </c>
      <c r="AP160" cm="1">
        <f t="array" ref="AP160">_xll.BDH(AP$2 &amp; " US Equity","PX_LAST",$B160,$B160)</f>
        <v>4.51</v>
      </c>
      <c r="AQ160" cm="1">
        <f t="array" ref="AQ160">_xll.BDH(AQ$2 &amp; " US Equity","PX_LAST",$B160,$B160)</f>
        <v>104.26</v>
      </c>
      <c r="AR160" cm="1">
        <f t="array" ref="AR160">_xll.BDH(AR$2 &amp; " US Equity","PX_LAST",$B160,$B160)</f>
        <v>76.31</v>
      </c>
      <c r="AS160" cm="1">
        <f t="array" ref="AS160">_xll.BDH(AS$2 &amp; " US Equity","PX_LAST",$B160,$B160)</f>
        <v>80.87</v>
      </c>
      <c r="AT160" cm="1">
        <f t="array" ref="AT160">_xll.BDH(AT$2 &amp; " US Equity","PX_LAST",$B160,$B160)</f>
        <v>4.7</v>
      </c>
      <c r="AU160" cm="1">
        <f t="array" ref="AU160">_xll.BDH(AU$2 &amp; " US Equity","PX_LAST",$B160,$B160)</f>
        <v>268.55</v>
      </c>
      <c r="AV160" cm="1">
        <f t="array" ref="AV160">_xll.BDH(AV$2 &amp; " US Equity","PX_LAST",$B160,$B160)</f>
        <v>193.24</v>
      </c>
      <c r="AW160" cm="1">
        <f t="array" ref="AW160">_xll.BDH(AW$2 &amp; " US Equity","PX_LAST",$B160,$B160)</f>
        <v>99.17</v>
      </c>
    </row>
    <row r="161" spans="2:49">
      <c r="B161" s="13">
        <v>46059</v>
      </c>
      <c r="C161" cm="1">
        <f t="array" ref="C161">_xll.BDH(C$2 &amp; " US Equity","PX_LAST",$B161,$B161)</f>
        <v>369.23</v>
      </c>
      <c r="D161" cm="1">
        <f t="array" ref="D161">_xll.BDH(D$2 &amp; " PE Equity","PX_LAST",$B161,$B161)</f>
        <v>6.88</v>
      </c>
      <c r="E161" cm="1">
        <f t="array" ref="E161">_xll.BDH(E$2 &amp; " PE Equity","PX_LAST",$B161,$B161)</f>
        <v>2.38</v>
      </c>
      <c r="F161" cm="1">
        <f t="array" ref="F161">_xll.BDH(F$2 &amp; " PE Equity","PX_LAST",$B161,$B161)</f>
        <v>3.3</v>
      </c>
      <c r="G161" cm="1">
        <f t="array" ref="G161">_xll.BDH(G$2 &amp; " US Equity","PX_LAST",$B161,$B161)</f>
        <v>17.72</v>
      </c>
      <c r="H161" cm="1">
        <f t="array" ref="H161">_xll.BDH(H$2 &amp; " PE Equity","PX_LAST",$B161,$B161)</f>
        <v>4.25</v>
      </c>
      <c r="I161" cm="1">
        <f t="array" ref="I161">_xll.BDH(I$2 &amp; " US Equity","PX_LAST",$B161,$B161)</f>
        <v>57.74</v>
      </c>
      <c r="J161" cm="1">
        <f t="array" ref="J161">_xll.BDH(J$2 &amp; " US Equity","PX_LAST",$B161,$B161)</f>
        <v>8.99</v>
      </c>
      <c r="K161" cm="1">
        <f t="array" ref="K161">_xll.BDH(K$2 &amp; " US Equity","PX_LAST",$B161,$B161)</f>
        <v>56.46</v>
      </c>
      <c r="L161" cm="1">
        <f t="array" ref="L161">_xll.BDH(L$2 &amp; " US Equity","PX_LAST",$B161,$B161)</f>
        <v>60.07</v>
      </c>
      <c r="M161" cm="1">
        <f t="array" ref="M161">_xll.BDH(M$2 &amp; " US Equity","PX_LAST",$B161,$B161)</f>
        <v>353.3</v>
      </c>
      <c r="N161" cm="1">
        <f t="array" ref="N161">_xll.BDH(N$2 &amp; " US Equity","PX_LAST",$B161,$B161)</f>
        <v>38.21</v>
      </c>
      <c r="O161" cm="1">
        <f t="array" ref="O161">_xll.BDH(O$2 &amp; " US Equity","PX_LAST",$B161,$B161)</f>
        <v>37.56</v>
      </c>
      <c r="P161" cm="1">
        <f t="array" ref="P161">_xll.BDH(P$2 &amp; " US Equity","PX_LAST",$B161,$B161)</f>
        <v>18.61</v>
      </c>
      <c r="Q161" cm="1">
        <f t="array" ref="Q161">_xll.BDH(Q$2 &amp; " US Equity","PX_LAST",$B161,$B161)</f>
        <v>27.22</v>
      </c>
      <c r="R161" cm="1">
        <f t="array" ref="R161">_xll.BDH(R$2 &amp; " US Equity","PX_LAST",$B161,$B161)</f>
        <v>36.950000000000003</v>
      </c>
      <c r="S161" cm="1">
        <f t="array" ref="S161">_xll.BDH(S$2 &amp; " US Equity","PX_LAST",$B161,$B161)</f>
        <v>173.18</v>
      </c>
      <c r="T161" cm="1">
        <f t="array" ref="T161">_xll.BDH(T$2 &amp; " US Equity","PX_LAST",$B161,$B161)</f>
        <v>67.349999999999994</v>
      </c>
      <c r="U161" cm="1">
        <f t="array" ref="U161">_xll.BDH(U$2 &amp; " US Equity","PX_LAST",$B161,$B161)</f>
        <v>145.93</v>
      </c>
      <c r="V161" cm="1">
        <f t="array" ref="V161">_xll.BDH(V$2 &amp; " US Equity","PX_LAST",$B161,$B161)</f>
        <v>43.35</v>
      </c>
      <c r="W161" cm="1">
        <f t="array" ref="W161">_xll.BDH(W$2 &amp; " US Equity","PX_LAST",$B161,$B161)</f>
        <v>135.9</v>
      </c>
      <c r="X161" cm="1">
        <f t="array" ref="X161">_xll.BDH(X$2 &amp; " US Equity","PX_LAST",$B161,$B161)</f>
        <v>63.09</v>
      </c>
      <c r="Y161" cm="1">
        <f t="array" ref="Y161">_xll.BDH(Y$2 &amp; " US Equity","PX_LAST",$B161,$B161)</f>
        <v>46.4</v>
      </c>
      <c r="Z161" cm="1">
        <f t="array" ref="Z161">_xll.BDH(Z$2 &amp; " US Equity","PX_LAST",$B161,$B161)</f>
        <v>401.65</v>
      </c>
      <c r="AA161" cm="1">
        <f t="array" ref="AA161">_xll.BDH(AA$2 &amp; " PE Equity","PX_LAST",$B161,$B161)</f>
        <v>0.8</v>
      </c>
      <c r="AB161" cm="1">
        <f t="array" ref="AB161">_xll.BDH(AB$2 &amp; " PE Equity","PX_LAST",$B161,$B161)</f>
        <v>28.9</v>
      </c>
      <c r="AC161" cm="1">
        <f t="array" ref="AC161">_xll.BDH(AC$2 &amp; " US Equity","PX_LAST",$B161,$B161)</f>
        <v>76.84</v>
      </c>
      <c r="AD161" cm="1">
        <f t="array" ref="AD161">_xll.BDH(AD$2 &amp; " US Equity","PX_LAST",$B161,$B161)</f>
        <v>690.62</v>
      </c>
      <c r="AE161" t="str" cm="1">
        <f t="array" ref="AE161">_xll.BDH(AE$2 &amp; " PE Equity","PX_LAST",$B161,$B161)</f>
        <v>#N/A Connection</v>
      </c>
      <c r="AF161" cm="1">
        <f t="array" ref="AF161">_xll.BDH(AF$2 &amp; " US Equity","PX_LAST",$B161,$B161)</f>
        <v>58.9039</v>
      </c>
      <c r="AG161" cm="1">
        <f t="array" ref="AG161">_xll.BDH(AG$2 &amp; " US Equity","PX_LAST",$B161,$B161)</f>
        <v>14.9717</v>
      </c>
      <c r="AH161" cm="1">
        <f t="array" ref="AH161">_xll.BDH(AH$2 &amp; " US Equity","PX_LAST",$B161,$B161)</f>
        <v>609.65</v>
      </c>
      <c r="AI161" cm="1">
        <f t="array" ref="AI161">_xll.BDH(AI$2 &amp; " US Equity","PX_LAST",$B161,$B161)</f>
        <v>102.8</v>
      </c>
      <c r="AJ161" cm="1">
        <f t="array" ref="AJ161">_xll.BDH(AJ$2 &amp; " US Equity","PX_LAST",$B161,$B161)</f>
        <v>108.7</v>
      </c>
      <c r="AK161" cm="1">
        <f t="array" ref="AK161">_xll.BDH(AK$2 &amp; " US Equity","PX_LAST",$B161,$B161)</f>
        <v>117.99</v>
      </c>
      <c r="AL161" cm="1">
        <f t="array" ref="AL161">_xll.BDH(AL$2 &amp; " US Equity","PX_LAST",$B161,$B161)</f>
        <v>210.32</v>
      </c>
      <c r="AM161" cm="1">
        <f t="array" ref="AM161">_xll.BDH(AM$2 &amp; " US Equity","PX_LAST",$B161,$B161)</f>
        <v>50.59</v>
      </c>
      <c r="AN161" cm="1">
        <f t="array" ref="AN161">_xll.BDH(AN$2 &amp; " US Equity","PX_LAST",$B161,$B161)</f>
        <v>23.994399999999999</v>
      </c>
      <c r="AO161" cm="1">
        <f t="array" ref="AO161">_xll.BDH(AO$2 &amp; " US Equity","PX_LAST",$B161,$B161)</f>
        <v>53.8</v>
      </c>
      <c r="AP161" cm="1">
        <f t="array" ref="AP161">_xll.BDH(AP$2 &amp; " US Equity","PX_LAST",$B161,$B161)</f>
        <v>4.76</v>
      </c>
      <c r="AQ161" cm="1">
        <f t="array" ref="AQ161">_xll.BDH(AQ$2 &amp; " US Equity","PX_LAST",$B161,$B161)</f>
        <v>104.33</v>
      </c>
      <c r="AR161" cm="1">
        <f t="array" ref="AR161">_xll.BDH(AR$2 &amp; " US Equity","PX_LAST",$B161,$B161)</f>
        <v>78.36</v>
      </c>
      <c r="AS161" cm="1">
        <f t="array" ref="AS161">_xll.BDH(AS$2 &amp; " US Equity","PX_LAST",$B161,$B161)</f>
        <v>82.2</v>
      </c>
      <c r="AT161" cm="1">
        <f t="array" ref="AT161">_xll.BDH(AT$2 &amp; " US Equity","PX_LAST",$B161,$B161)</f>
        <v>5.04</v>
      </c>
      <c r="AU161" cm="1">
        <f t="array" ref="AU161">_xll.BDH(AU$2 &amp; " US Equity","PX_LAST",$B161,$B161)</f>
        <v>276.64999999999998</v>
      </c>
      <c r="AV161" cm="1">
        <f t="array" ref="AV161">_xll.BDH(AV$2 &amp; " US Equity","PX_LAST",$B161,$B161)</f>
        <v>195.59</v>
      </c>
      <c r="AW161" cm="1">
        <f t="array" ref="AW161">_xll.BDH(AW$2 &amp; " US Equity","PX_LAST",$B161,$B161)</f>
        <v>103.2</v>
      </c>
    </row>
    <row r="162" spans="2:49">
      <c r="B162" s="13">
        <v>46060</v>
      </c>
      <c r="C162" t="str" cm="1">
        <f t="array" ref="C162">_xll.BDH(C$2 &amp; " US Equity","PX_LAST",$B162,$B162)</f>
        <v>#N/A N/A</v>
      </c>
      <c r="D162" t="str" cm="1">
        <f t="array" ref="D162">_xll.BDH(D$2 &amp; " PE Equity","PX_LAST",$B162,$B162)</f>
        <v>#N/A N/A</v>
      </c>
      <c r="E162" t="str" cm="1">
        <f t="array" ref="E162">_xll.BDH(E$2 &amp; " PE Equity","PX_LAST",$B162,$B162)</f>
        <v>#N/A N/A</v>
      </c>
      <c r="F162" t="str" cm="1">
        <f t="array" ref="F162">_xll.BDH(F$2 &amp; " PE Equity","PX_LAST",$B162,$B162)</f>
        <v>#N/A N/A</v>
      </c>
      <c r="G162" t="str" cm="1">
        <f t="array" ref="G162">_xll.BDH(G$2 &amp; " US Equity","PX_LAST",$B162,$B162)</f>
        <v>#N/A N/A</v>
      </c>
      <c r="H162" t="str" cm="1">
        <f t="array" ref="H162">_xll.BDH(H$2 &amp; " PE Equity","PX_LAST",$B162,$B162)</f>
        <v>#N/A N/A</v>
      </c>
      <c r="I162" t="str" cm="1">
        <f t="array" ref="I162">_xll.BDH(I$2 &amp; " US Equity","PX_LAST",$B162,$B162)</f>
        <v>#N/A N/A</v>
      </c>
      <c r="J162" t="str" cm="1">
        <f t="array" ref="J162">_xll.BDH(J$2 &amp; " US Equity","PX_LAST",$B162,$B162)</f>
        <v>#N/A N/A</v>
      </c>
      <c r="K162" t="str" cm="1">
        <f t="array" ref="K162">_xll.BDH(K$2 &amp; " US Equity","PX_LAST",$B162,$B162)</f>
        <v>#N/A N/A</v>
      </c>
      <c r="L162" t="str" cm="1">
        <f t="array" ref="L162">_xll.BDH(L$2 &amp; " US Equity","PX_LAST",$B162,$B162)</f>
        <v>#N/A N/A</v>
      </c>
      <c r="M162" t="str" cm="1">
        <f t="array" ref="M162">_xll.BDH(M$2 &amp; " US Equity","PX_LAST",$B162,$B162)</f>
        <v>#N/A N/A</v>
      </c>
      <c r="N162" t="str" cm="1">
        <f t="array" ref="N162">_xll.BDH(N$2 &amp; " US Equity","PX_LAST",$B162,$B162)</f>
        <v>#N/A N/A</v>
      </c>
      <c r="O162" t="str" cm="1">
        <f t="array" ref="O162">_xll.BDH(O$2 &amp; " US Equity","PX_LAST",$B162,$B162)</f>
        <v>#N/A N/A</v>
      </c>
      <c r="P162" t="str" cm="1">
        <f t="array" ref="P162">_xll.BDH(P$2 &amp; " US Equity","PX_LAST",$B162,$B162)</f>
        <v>#N/A N/A</v>
      </c>
      <c r="Q162" t="str" cm="1">
        <f t="array" ref="Q162">_xll.BDH(Q$2 &amp; " US Equity","PX_LAST",$B162,$B162)</f>
        <v>#N/A N/A</v>
      </c>
      <c r="R162" t="str" cm="1">
        <f t="array" ref="R162">_xll.BDH(R$2 &amp; " US Equity","PX_LAST",$B162,$B162)</f>
        <v>#N/A N/A</v>
      </c>
      <c r="S162" t="str" cm="1">
        <f t="array" ref="S162">_xll.BDH(S$2 &amp; " US Equity","PX_LAST",$B162,$B162)</f>
        <v>#N/A N/A</v>
      </c>
      <c r="T162" t="str" cm="1">
        <f t="array" ref="T162">_xll.BDH(T$2 &amp; " US Equity","PX_LAST",$B162,$B162)</f>
        <v>#N/A N/A</v>
      </c>
      <c r="U162" t="str" cm="1">
        <f t="array" ref="U162">_xll.BDH(U$2 &amp; " US Equity","PX_LAST",$B162,$B162)</f>
        <v>#N/A N/A</v>
      </c>
      <c r="V162" t="str" cm="1">
        <f t="array" ref="V162">_xll.BDH(V$2 &amp; " US Equity","PX_LAST",$B162,$B162)</f>
        <v>#N/A N/A</v>
      </c>
      <c r="W162" t="str" cm="1">
        <f t="array" ref="W162">_xll.BDH(W$2 &amp; " US Equity","PX_LAST",$B162,$B162)</f>
        <v>#N/A N/A</v>
      </c>
      <c r="X162" t="str" cm="1">
        <f t="array" ref="X162">_xll.BDH(X$2 &amp; " US Equity","PX_LAST",$B162,$B162)</f>
        <v>#N/A N/A</v>
      </c>
      <c r="Y162" t="str" cm="1">
        <f t="array" ref="Y162">_xll.BDH(Y$2 &amp; " US Equity","PX_LAST",$B162,$B162)</f>
        <v>#N/A N/A</v>
      </c>
      <c r="Z162" t="str" cm="1">
        <f t="array" ref="Z162">_xll.BDH(Z$2 &amp; " US Equity","PX_LAST",$B162,$B162)</f>
        <v>#N/A N/A</v>
      </c>
      <c r="AA162" t="str" cm="1">
        <f t="array" ref="AA162">_xll.BDH(AA$2 &amp; " PE Equity","PX_LAST",$B162,$B162)</f>
        <v>#N/A N/A</v>
      </c>
      <c r="AB162" t="str" cm="1">
        <f t="array" ref="AB162">_xll.BDH(AB$2 &amp; " PE Equity","PX_LAST",$B162,$B162)</f>
        <v>#N/A N/A</v>
      </c>
      <c r="AC162" t="str" cm="1">
        <f t="array" ref="AC162">_xll.BDH(AC$2 &amp; " US Equity","PX_LAST",$B162,$B162)</f>
        <v>#N/A N/A</v>
      </c>
      <c r="AD162" t="str" cm="1">
        <f t="array" ref="AD162">_xll.BDH(AD$2 &amp; " US Equity","PX_LAST",$B162,$B162)</f>
        <v>#N/A N/A</v>
      </c>
      <c r="AE162" t="str" cm="1">
        <f t="array" ref="AE162">_xll.BDH(AE$2 &amp; " PE Equity","PX_LAST",$B162,$B162)</f>
        <v>#N/A Connection</v>
      </c>
      <c r="AF162" t="str" cm="1">
        <f t="array" ref="AF162">_xll.BDH(AF$2 &amp; " US Equity","PX_LAST",$B162,$B162)</f>
        <v>#N/A N/A</v>
      </c>
      <c r="AG162" t="str" cm="1">
        <f t="array" ref="AG162">_xll.BDH(AG$2 &amp; " US Equity","PX_LAST",$B162,$B162)</f>
        <v>#N/A N/A</v>
      </c>
      <c r="AH162" t="str" cm="1">
        <f t="array" ref="AH162">_xll.BDH(AH$2 &amp; " US Equity","PX_LAST",$B162,$B162)</f>
        <v>#N/A N/A</v>
      </c>
      <c r="AI162" t="str" cm="1">
        <f t="array" ref="AI162">_xll.BDH(AI$2 &amp; " US Equity","PX_LAST",$B162,$B162)</f>
        <v>#N/A N/A</v>
      </c>
      <c r="AJ162" t="str" cm="1">
        <f t="array" ref="AJ162">_xll.BDH(AJ$2 &amp; " US Equity","PX_LAST",$B162,$B162)</f>
        <v>#N/A N/A</v>
      </c>
      <c r="AK162" t="str" cm="1">
        <f t="array" ref="AK162">_xll.BDH(AK$2 &amp; " US Equity","PX_LAST",$B162,$B162)</f>
        <v>#N/A N/A</v>
      </c>
      <c r="AL162" t="str" cm="1">
        <f t="array" ref="AL162">_xll.BDH(AL$2 &amp; " US Equity","PX_LAST",$B162,$B162)</f>
        <v>#N/A N/A</v>
      </c>
      <c r="AM162" t="str" cm="1">
        <f t="array" ref="AM162">_xll.BDH(AM$2 &amp; " US Equity","PX_LAST",$B162,$B162)</f>
        <v>#N/A N/A</v>
      </c>
      <c r="AN162" t="str" cm="1">
        <f t="array" ref="AN162">_xll.BDH(AN$2 &amp; " US Equity","PX_LAST",$B162,$B162)</f>
        <v>#N/A N/A</v>
      </c>
      <c r="AO162" t="str" cm="1">
        <f t="array" ref="AO162">_xll.BDH(AO$2 &amp; " US Equity","PX_LAST",$B162,$B162)</f>
        <v>#N/A N/A</v>
      </c>
      <c r="AP162" t="str" cm="1">
        <f t="array" ref="AP162">_xll.BDH(AP$2 &amp; " US Equity","PX_LAST",$B162,$B162)</f>
        <v>#N/A N/A</v>
      </c>
      <c r="AQ162" t="str" cm="1">
        <f t="array" ref="AQ162">_xll.BDH(AQ$2 &amp; " US Equity","PX_LAST",$B162,$B162)</f>
        <v>#N/A N/A</v>
      </c>
      <c r="AR162" t="str" cm="1">
        <f t="array" ref="AR162">_xll.BDH(AR$2 &amp; " US Equity","PX_LAST",$B162,$B162)</f>
        <v>#N/A N/A</v>
      </c>
      <c r="AS162" t="str" cm="1">
        <f t="array" ref="AS162">_xll.BDH(AS$2 &amp; " US Equity","PX_LAST",$B162,$B162)</f>
        <v>#N/A N/A</v>
      </c>
      <c r="AT162" t="str" cm="1">
        <f t="array" ref="AT162">_xll.BDH(AT$2 &amp; " US Equity","PX_LAST",$B162,$B162)</f>
        <v>#N/A N/A</v>
      </c>
      <c r="AU162" t="str" cm="1">
        <f t="array" ref="AU162">_xll.BDH(AU$2 &amp; " US Equity","PX_LAST",$B162,$B162)</f>
        <v>#N/A N/A</v>
      </c>
      <c r="AV162" t="str" cm="1">
        <f t="array" ref="AV162">_xll.BDH(AV$2 &amp; " US Equity","PX_LAST",$B162,$B162)</f>
        <v>#N/A N/A</v>
      </c>
      <c r="AW162" t="str" cm="1">
        <f t="array" ref="AW162">_xll.BDH(AW$2 &amp; " US Equity","PX_LAST",$B162,$B162)</f>
        <v>#N/A N/A</v>
      </c>
    </row>
    <row r="163" spans="2:49">
      <c r="B163" s="13">
        <v>46061</v>
      </c>
      <c r="C163" t="str" cm="1">
        <f t="array" ref="C163">_xll.BDH(C$2 &amp; " US Equity","PX_LAST",$B163,$B163)</f>
        <v>#N/A N/A</v>
      </c>
      <c r="D163" t="str" cm="1">
        <f t="array" ref="D163">_xll.BDH(D$2 &amp; " PE Equity","PX_LAST",$B163,$B163)</f>
        <v>#N/A N/A</v>
      </c>
      <c r="E163" t="str" cm="1">
        <f t="array" ref="E163">_xll.BDH(E$2 &amp; " PE Equity","PX_LAST",$B163,$B163)</f>
        <v>#N/A N/A</v>
      </c>
      <c r="F163" t="str" cm="1">
        <f t="array" ref="F163">_xll.BDH(F$2 &amp; " PE Equity","PX_LAST",$B163,$B163)</f>
        <v>#N/A N/A</v>
      </c>
      <c r="G163" t="str" cm="1">
        <f t="array" ref="G163">_xll.BDH(G$2 &amp; " US Equity","PX_LAST",$B163,$B163)</f>
        <v>#N/A N/A</v>
      </c>
      <c r="H163" t="str" cm="1">
        <f t="array" ref="H163">_xll.BDH(H$2 &amp; " PE Equity","PX_LAST",$B163,$B163)</f>
        <v>#N/A N/A</v>
      </c>
      <c r="I163" t="str" cm="1">
        <f t="array" ref="I163">_xll.BDH(I$2 &amp; " US Equity","PX_LAST",$B163,$B163)</f>
        <v>#N/A N/A</v>
      </c>
      <c r="J163" t="str" cm="1">
        <f t="array" ref="J163">_xll.BDH(J$2 &amp; " US Equity","PX_LAST",$B163,$B163)</f>
        <v>#N/A N/A</v>
      </c>
      <c r="K163" t="str" cm="1">
        <f t="array" ref="K163">_xll.BDH(K$2 &amp; " US Equity","PX_LAST",$B163,$B163)</f>
        <v>#N/A N/A</v>
      </c>
      <c r="L163" t="str" cm="1">
        <f t="array" ref="L163">_xll.BDH(L$2 &amp; " US Equity","PX_LAST",$B163,$B163)</f>
        <v>#N/A N/A</v>
      </c>
      <c r="M163" t="str" cm="1">
        <f t="array" ref="M163">_xll.BDH(M$2 &amp; " US Equity","PX_LAST",$B163,$B163)</f>
        <v>#N/A N/A</v>
      </c>
      <c r="N163" t="str" cm="1">
        <f t="array" ref="N163">_xll.BDH(N$2 &amp; " US Equity","PX_LAST",$B163,$B163)</f>
        <v>#N/A N/A</v>
      </c>
      <c r="O163" t="str" cm="1">
        <f t="array" ref="O163">_xll.BDH(O$2 &amp; " US Equity","PX_LAST",$B163,$B163)</f>
        <v>#N/A N/A</v>
      </c>
      <c r="P163" t="str" cm="1">
        <f t="array" ref="P163">_xll.BDH(P$2 &amp; " US Equity","PX_LAST",$B163,$B163)</f>
        <v>#N/A N/A</v>
      </c>
      <c r="Q163" t="str" cm="1">
        <f t="array" ref="Q163">_xll.BDH(Q$2 &amp; " US Equity","PX_LAST",$B163,$B163)</f>
        <v>#N/A N/A</v>
      </c>
      <c r="R163" t="str" cm="1">
        <f t="array" ref="R163">_xll.BDH(R$2 &amp; " US Equity","PX_LAST",$B163,$B163)</f>
        <v>#N/A N/A</v>
      </c>
      <c r="S163" t="str" cm="1">
        <f t="array" ref="S163">_xll.BDH(S$2 &amp; " US Equity","PX_LAST",$B163,$B163)</f>
        <v>#N/A N/A</v>
      </c>
      <c r="T163" t="str" cm="1">
        <f t="array" ref="T163">_xll.BDH(T$2 &amp; " US Equity","PX_LAST",$B163,$B163)</f>
        <v>#N/A N/A</v>
      </c>
      <c r="U163" t="str" cm="1">
        <f t="array" ref="U163">_xll.BDH(U$2 &amp; " US Equity","PX_LAST",$B163,$B163)</f>
        <v>#N/A N/A</v>
      </c>
      <c r="V163" t="str" cm="1">
        <f t="array" ref="V163">_xll.BDH(V$2 &amp; " US Equity","PX_LAST",$B163,$B163)</f>
        <v>#N/A N/A</v>
      </c>
      <c r="W163" t="str" cm="1">
        <f t="array" ref="W163">_xll.BDH(W$2 &amp; " US Equity","PX_LAST",$B163,$B163)</f>
        <v>#N/A N/A</v>
      </c>
      <c r="X163" t="str" cm="1">
        <f t="array" ref="X163">_xll.BDH(X$2 &amp; " US Equity","PX_LAST",$B163,$B163)</f>
        <v>#N/A N/A</v>
      </c>
      <c r="Y163" t="str" cm="1">
        <f t="array" ref="Y163">_xll.BDH(Y$2 &amp; " US Equity","PX_LAST",$B163,$B163)</f>
        <v>#N/A N/A</v>
      </c>
      <c r="Z163" t="str" cm="1">
        <f t="array" ref="Z163">_xll.BDH(Z$2 &amp; " US Equity","PX_LAST",$B163,$B163)</f>
        <v>#N/A N/A</v>
      </c>
      <c r="AA163" t="str" cm="1">
        <f t="array" ref="AA163">_xll.BDH(AA$2 &amp; " PE Equity","PX_LAST",$B163,$B163)</f>
        <v>#N/A N/A</v>
      </c>
      <c r="AB163" t="str" cm="1">
        <f t="array" ref="AB163">_xll.BDH(AB$2 &amp; " PE Equity","PX_LAST",$B163,$B163)</f>
        <v>#N/A N/A</v>
      </c>
      <c r="AC163" t="str" cm="1">
        <f t="array" ref="AC163">_xll.BDH(AC$2 &amp; " US Equity","PX_LAST",$B163,$B163)</f>
        <v>#N/A N/A</v>
      </c>
      <c r="AD163" t="str" cm="1">
        <f t="array" ref="AD163">_xll.BDH(AD$2 &amp; " US Equity","PX_LAST",$B163,$B163)</f>
        <v>#N/A N/A</v>
      </c>
      <c r="AE163" t="str" cm="1">
        <f t="array" ref="AE163">_xll.BDH(AE$2 &amp; " PE Equity","PX_LAST",$B163,$B163)</f>
        <v>#N/A Connection</v>
      </c>
      <c r="AF163" t="str" cm="1">
        <f t="array" ref="AF163">_xll.BDH(AF$2 &amp; " US Equity","PX_LAST",$B163,$B163)</f>
        <v>#N/A N/A</v>
      </c>
      <c r="AG163" t="str" cm="1">
        <f t="array" ref="AG163">_xll.BDH(AG$2 &amp; " US Equity","PX_LAST",$B163,$B163)</f>
        <v>#N/A N/A</v>
      </c>
      <c r="AH163" t="str" cm="1">
        <f t="array" ref="AH163">_xll.BDH(AH$2 &amp; " US Equity","PX_LAST",$B163,$B163)</f>
        <v>#N/A N/A</v>
      </c>
      <c r="AI163" t="str" cm="1">
        <f t="array" ref="AI163">_xll.BDH(AI$2 &amp; " US Equity","PX_LAST",$B163,$B163)</f>
        <v>#N/A N/A</v>
      </c>
      <c r="AJ163" t="str" cm="1">
        <f t="array" ref="AJ163">_xll.BDH(AJ$2 &amp; " US Equity","PX_LAST",$B163,$B163)</f>
        <v>#N/A N/A</v>
      </c>
      <c r="AK163" t="str" cm="1">
        <f t="array" ref="AK163">_xll.BDH(AK$2 &amp; " US Equity","PX_LAST",$B163,$B163)</f>
        <v>#N/A N/A</v>
      </c>
      <c r="AL163" t="str" cm="1">
        <f t="array" ref="AL163">_xll.BDH(AL$2 &amp; " US Equity","PX_LAST",$B163,$B163)</f>
        <v>#N/A N/A</v>
      </c>
      <c r="AM163" t="str" cm="1">
        <f t="array" ref="AM163">_xll.BDH(AM$2 &amp; " US Equity","PX_LAST",$B163,$B163)</f>
        <v>#N/A N/A</v>
      </c>
      <c r="AN163" t="str" cm="1">
        <f t="array" ref="AN163">_xll.BDH(AN$2 &amp; " US Equity","PX_LAST",$B163,$B163)</f>
        <v>#N/A N/A</v>
      </c>
      <c r="AO163" t="str" cm="1">
        <f t="array" ref="AO163">_xll.BDH(AO$2 &amp; " US Equity","PX_LAST",$B163,$B163)</f>
        <v>#N/A N/A</v>
      </c>
      <c r="AP163" t="str" cm="1">
        <f t="array" ref="AP163">_xll.BDH(AP$2 &amp; " US Equity","PX_LAST",$B163,$B163)</f>
        <v>#N/A N/A</v>
      </c>
      <c r="AQ163" t="str" cm="1">
        <f t="array" ref="AQ163">_xll.BDH(AQ$2 &amp; " US Equity","PX_LAST",$B163,$B163)</f>
        <v>#N/A N/A</v>
      </c>
      <c r="AR163" t="str" cm="1">
        <f t="array" ref="AR163">_xll.BDH(AR$2 &amp; " US Equity","PX_LAST",$B163,$B163)</f>
        <v>#N/A N/A</v>
      </c>
      <c r="AS163" t="str" cm="1">
        <f t="array" ref="AS163">_xll.BDH(AS$2 &amp; " US Equity","PX_LAST",$B163,$B163)</f>
        <v>#N/A N/A</v>
      </c>
      <c r="AT163" t="str" cm="1">
        <f t="array" ref="AT163">_xll.BDH(AT$2 &amp; " US Equity","PX_LAST",$B163,$B163)</f>
        <v>#N/A N/A</v>
      </c>
      <c r="AU163" t="str" cm="1">
        <f t="array" ref="AU163">_xll.BDH(AU$2 &amp; " US Equity","PX_LAST",$B163,$B163)</f>
        <v>#N/A N/A</v>
      </c>
      <c r="AV163" t="str" cm="1">
        <f t="array" ref="AV163">_xll.BDH(AV$2 &amp; " US Equity","PX_LAST",$B163,$B163)</f>
        <v>#N/A N/A</v>
      </c>
      <c r="AW163" t="str" cm="1">
        <f t="array" ref="AW163">_xll.BDH(AW$2 &amp; " US Equity","PX_LAST",$B163,$B163)</f>
        <v>#N/A N/A</v>
      </c>
    </row>
    <row r="164" spans="2:49">
      <c r="B164" s="13">
        <v>46062</v>
      </c>
      <c r="C164" cm="1">
        <f t="array" ref="C164">_xll.BDH(C$2 &amp; " US Equity","PX_LAST",$B164,$B164)</f>
        <v>364.6</v>
      </c>
      <c r="D164" cm="1">
        <f t="array" ref="D164">_xll.BDH(D$2 &amp; " PE Equity","PX_LAST",$B164,$B164)</f>
        <v>6.95</v>
      </c>
      <c r="E164" t="str" cm="1">
        <f t="array" ref="E164">_xll.BDH(E$2 &amp; " PE Equity","PX_LAST",$B164,$B164)</f>
        <v>#N/A N/A</v>
      </c>
      <c r="F164" cm="1">
        <f t="array" ref="F164">_xll.BDH(F$2 &amp; " PE Equity","PX_LAST",$B164,$B164)</f>
        <v>3.16</v>
      </c>
      <c r="G164" cm="1">
        <f t="array" ref="G164">_xll.BDH(G$2 &amp; " US Equity","PX_LAST",$B164,$B164)</f>
        <v>17.54</v>
      </c>
      <c r="H164" cm="1">
        <f t="array" ref="H164">_xll.BDH(H$2 &amp; " PE Equity","PX_LAST",$B164,$B164)</f>
        <v>4.24</v>
      </c>
      <c r="I164" cm="1">
        <f t="array" ref="I164">_xll.BDH(I$2 &amp; " US Equity","PX_LAST",$B164,$B164)</f>
        <v>58.72</v>
      </c>
      <c r="J164" cm="1">
        <f t="array" ref="J164">_xll.BDH(J$2 &amp; " US Equity","PX_LAST",$B164,$B164)</f>
        <v>9.32</v>
      </c>
      <c r="K164" cm="1">
        <f t="array" ref="K164">_xll.BDH(K$2 &amp; " US Equity","PX_LAST",$B164,$B164)</f>
        <v>57.51</v>
      </c>
      <c r="L164" cm="1">
        <f t="array" ref="L164">_xll.BDH(L$2 &amp; " US Equity","PX_LAST",$B164,$B164)</f>
        <v>60.51</v>
      </c>
      <c r="M164" cm="1">
        <f t="array" ref="M164">_xll.BDH(M$2 &amp; " US Equity","PX_LAST",$B164,$B164)</f>
        <v>356.74</v>
      </c>
      <c r="N164" cm="1">
        <f t="array" ref="N164">_xll.BDH(N$2 &amp; " US Equity","PX_LAST",$B164,$B164)</f>
        <v>38.75</v>
      </c>
      <c r="O164" cm="1">
        <f t="array" ref="O164">_xll.BDH(O$2 &amp; " US Equity","PX_LAST",$B164,$B164)</f>
        <v>38.42</v>
      </c>
      <c r="P164" cm="1">
        <f t="array" ref="P164">_xll.BDH(P$2 &amp; " US Equity","PX_LAST",$B164,$B164)</f>
        <v>19.04</v>
      </c>
      <c r="Q164" cm="1">
        <f t="array" ref="Q164">_xll.BDH(Q$2 &amp; " US Equity","PX_LAST",$B164,$B164)</f>
        <v>27.05</v>
      </c>
      <c r="R164" cm="1">
        <f t="array" ref="R164">_xll.BDH(R$2 &amp; " US Equity","PX_LAST",$B164,$B164)</f>
        <v>39.119999999999997</v>
      </c>
      <c r="S164" cm="1">
        <f t="array" ref="S164">_xll.BDH(S$2 &amp; " US Equity","PX_LAST",$B164,$B164)</f>
        <v>173.7</v>
      </c>
      <c r="T164" cm="1">
        <f t="array" ref="T164">_xll.BDH(T$2 &amp; " US Equity","PX_LAST",$B164,$B164)</f>
        <v>68.39</v>
      </c>
      <c r="U164" cm="1">
        <f t="array" ref="U164">_xll.BDH(U$2 &amp; " US Equity","PX_LAST",$B164,$B164)</f>
        <v>146.97</v>
      </c>
      <c r="V164" cm="1">
        <f t="array" ref="V164">_xll.BDH(V$2 &amp; " US Equity","PX_LAST",$B164,$B164)</f>
        <v>43.48</v>
      </c>
      <c r="W164" cm="1">
        <f t="array" ref="W164">_xll.BDH(W$2 &amp; " US Equity","PX_LAST",$B164,$B164)</f>
        <v>142.91</v>
      </c>
      <c r="X164" cm="1">
        <f t="array" ref="X164">_xll.BDH(X$2 &amp; " US Equity","PX_LAST",$B164,$B164)</f>
        <v>63.45</v>
      </c>
      <c r="Y164" cm="1">
        <f t="array" ref="Y164">_xll.BDH(Y$2 &amp; " US Equity","PX_LAST",$B164,$B164)</f>
        <v>46.99</v>
      </c>
      <c r="Z164" cm="1">
        <f t="array" ref="Z164">_xll.BDH(Z$2 &amp; " US Equity","PX_LAST",$B164,$B164)</f>
        <v>406.65</v>
      </c>
      <c r="AA164" cm="1">
        <f t="array" ref="AA164">_xll.BDH(AA$2 &amp; " PE Equity","PX_LAST",$B164,$B164)</f>
        <v>0.87</v>
      </c>
      <c r="AB164" cm="1">
        <f t="array" ref="AB164">_xll.BDH(AB$2 &amp; " PE Equity","PX_LAST",$B164,$B164)</f>
        <v>28.9</v>
      </c>
      <c r="AC164" cm="1">
        <f t="array" ref="AC164">_xll.BDH(AC$2 &amp; " US Equity","PX_LAST",$B164,$B164)</f>
        <v>76.84</v>
      </c>
      <c r="AD164" cm="1">
        <f t="array" ref="AD164">_xll.BDH(AD$2 &amp; " US Equity","PX_LAST",$B164,$B164)</f>
        <v>693.95</v>
      </c>
      <c r="AE164" t="str" cm="1">
        <f t="array" ref="AE164">_xll.BDH(AE$2 &amp; " PE Equity","PX_LAST",$B164,$B164)</f>
        <v>#N/A Connection</v>
      </c>
      <c r="AF164" cm="1">
        <f t="array" ref="AF164">_xll.BDH(AF$2 &amp; " US Equity","PX_LAST",$B164,$B164)</f>
        <v>58.494300000000003</v>
      </c>
      <c r="AG164" cm="1">
        <f t="array" ref="AG164">_xll.BDH(AG$2 &amp; " US Equity","PX_LAST",$B164,$B164)</f>
        <v>15.270300000000001</v>
      </c>
      <c r="AH164" cm="1">
        <f t="array" ref="AH164">_xll.BDH(AH$2 &amp; " US Equity","PX_LAST",$B164,$B164)</f>
        <v>614.32000000000005</v>
      </c>
      <c r="AI164" cm="1">
        <f t="array" ref="AI164">_xll.BDH(AI$2 &amp; " US Equity","PX_LAST",$B164,$B164)</f>
        <v>102.2</v>
      </c>
      <c r="AJ164" cm="1">
        <f t="array" ref="AJ164">_xll.BDH(AJ$2 &amp; " US Equity","PX_LAST",$B164,$B164)</f>
        <v>107.13</v>
      </c>
      <c r="AK164" cm="1">
        <f t="array" ref="AK164">_xll.BDH(AK$2 &amp; " US Equity","PX_LAST",$B164,$B164)</f>
        <v>117.55</v>
      </c>
      <c r="AL164" cm="1">
        <f t="array" ref="AL164">_xll.BDH(AL$2 &amp; " US Equity","PX_LAST",$B164,$B164)</f>
        <v>208.72</v>
      </c>
      <c r="AM164" cm="1">
        <f t="array" ref="AM164">_xll.BDH(AM$2 &amp; " US Equity","PX_LAST",$B164,$B164)</f>
        <v>51.74</v>
      </c>
      <c r="AN164" cm="1">
        <f t="array" ref="AN164">_xll.BDH(AN$2 &amp; " US Equity","PX_LAST",$B164,$B164)</f>
        <v>24.184999999999999</v>
      </c>
      <c r="AO164" cm="1">
        <f t="array" ref="AO164">_xll.BDH(AO$2 &amp; " US Equity","PX_LAST",$B164,$B164)</f>
        <v>54.09</v>
      </c>
      <c r="AP164" cm="1">
        <f t="array" ref="AP164">_xll.BDH(AP$2 &amp; " US Equity","PX_LAST",$B164,$B164)</f>
        <v>4.8</v>
      </c>
      <c r="AQ164" cm="1">
        <f t="array" ref="AQ164">_xll.BDH(AQ$2 &amp; " US Equity","PX_LAST",$B164,$B164)</f>
        <v>104.7</v>
      </c>
      <c r="AR164" cm="1">
        <f t="array" ref="AR164">_xll.BDH(AR$2 &amp; " US Equity","PX_LAST",$B164,$B164)</f>
        <v>79.91</v>
      </c>
      <c r="AS164" cm="1">
        <f t="array" ref="AS164">_xll.BDH(AS$2 &amp; " US Equity","PX_LAST",$B164,$B164)</f>
        <v>81.47</v>
      </c>
      <c r="AT164" cm="1">
        <f t="array" ref="AT164">_xll.BDH(AT$2 &amp; " US Equity","PX_LAST",$B164,$B164)</f>
        <v>4.8899999999999997</v>
      </c>
      <c r="AU164" cm="1">
        <f t="array" ref="AU164">_xll.BDH(AU$2 &amp; " US Equity","PX_LAST",$B164,$B164)</f>
        <v>275.7</v>
      </c>
      <c r="AV164" cm="1">
        <f t="array" ref="AV164">_xll.BDH(AV$2 &amp; " US Equity","PX_LAST",$B164,$B164)</f>
        <v>205.03</v>
      </c>
      <c r="AW164" cm="1">
        <f t="array" ref="AW164">_xll.BDH(AW$2 &amp; " US Equity","PX_LAST",$B164,$B164)</f>
        <v>107.29</v>
      </c>
    </row>
    <row r="165" spans="2:49">
      <c r="B165" s="13">
        <v>46063</v>
      </c>
      <c r="C165" cm="1">
        <f t="array" ref="C165">_xll.BDH(C$2 &amp; " US Equity","PX_LAST",$B165,$B165)</f>
        <v>367.95</v>
      </c>
      <c r="D165" cm="1">
        <f t="array" ref="D165">_xll.BDH(D$2 &amp; " PE Equity","PX_LAST",$B165,$B165)</f>
        <v>7</v>
      </c>
      <c r="E165" cm="1">
        <f t="array" ref="E165">_xll.BDH(E$2 &amp; " PE Equity","PX_LAST",$B165,$B165)</f>
        <v>2.48</v>
      </c>
      <c r="F165" cm="1">
        <f t="array" ref="F165">_xll.BDH(F$2 &amp; " PE Equity","PX_LAST",$B165,$B165)</f>
        <v>3.21</v>
      </c>
      <c r="G165" cm="1">
        <f t="array" ref="G165">_xll.BDH(G$2 &amp; " US Equity","PX_LAST",$B165,$B165)</f>
        <v>17.82</v>
      </c>
      <c r="H165" cm="1">
        <f t="array" ref="H165">_xll.BDH(H$2 &amp; " PE Equity","PX_LAST",$B165,$B165)</f>
        <v>4.21</v>
      </c>
      <c r="I165" cm="1">
        <f t="array" ref="I165">_xll.BDH(I$2 &amp; " US Equity","PX_LAST",$B165,$B165)</f>
        <v>58.59</v>
      </c>
      <c r="J165" cm="1">
        <f t="array" ref="J165">_xll.BDH(J$2 &amp; " US Equity","PX_LAST",$B165,$B165)</f>
        <v>9.3000000000000007</v>
      </c>
      <c r="K165" cm="1">
        <f t="array" ref="K165">_xll.BDH(K$2 &amp; " US Equity","PX_LAST",$B165,$B165)</f>
        <v>57.11</v>
      </c>
      <c r="L165" cm="1">
        <f t="array" ref="L165">_xll.BDH(L$2 &amp; " US Equity","PX_LAST",$B165,$B165)</f>
        <v>60.6</v>
      </c>
      <c r="M165" cm="1">
        <f t="array" ref="M165">_xll.BDH(M$2 &amp; " US Equity","PX_LAST",$B165,$B165)</f>
        <v>348.54</v>
      </c>
      <c r="N165" cm="1">
        <f t="array" ref="N165">_xll.BDH(N$2 &amp; " US Equity","PX_LAST",$B165,$B165)</f>
        <v>38.17</v>
      </c>
      <c r="O165" cm="1">
        <f t="array" ref="O165">_xll.BDH(O$2 &amp; " US Equity","PX_LAST",$B165,$B165)</f>
        <v>38.32</v>
      </c>
      <c r="P165" cm="1">
        <f t="array" ref="P165">_xll.BDH(P$2 &amp; " US Equity","PX_LAST",$B165,$B165)</f>
        <v>18.850000000000001</v>
      </c>
      <c r="Q165" cm="1">
        <f t="array" ref="Q165">_xll.BDH(Q$2 &amp; " US Equity","PX_LAST",$B165,$B165)</f>
        <v>27.61</v>
      </c>
      <c r="R165" cm="1">
        <f t="array" ref="R165">_xll.BDH(R$2 &amp; " US Equity","PX_LAST",$B165,$B165)</f>
        <v>39.01</v>
      </c>
      <c r="S165" cm="1">
        <f t="array" ref="S165">_xll.BDH(S$2 &amp; " US Equity","PX_LAST",$B165,$B165)</f>
        <v>173.91</v>
      </c>
      <c r="T165" cm="1">
        <f t="array" ref="T165">_xll.BDH(T$2 &amp; " US Equity","PX_LAST",$B165,$B165)</f>
        <v>68.2</v>
      </c>
      <c r="U165" cm="1">
        <f t="array" ref="U165">_xll.BDH(U$2 &amp; " US Equity","PX_LAST",$B165,$B165)</f>
        <v>147.66</v>
      </c>
      <c r="V165" cm="1">
        <f t="array" ref="V165">_xll.BDH(V$2 &amp; " US Equity","PX_LAST",$B165,$B165)</f>
        <v>44.2</v>
      </c>
      <c r="W165" cm="1">
        <f t="array" ref="W165">_xll.BDH(W$2 &amp; " US Equity","PX_LAST",$B165,$B165)</f>
        <v>139.51</v>
      </c>
      <c r="X165" cm="1">
        <f t="array" ref="X165">_xll.BDH(X$2 &amp; " US Equity","PX_LAST",$B165,$B165)</f>
        <v>63.43</v>
      </c>
      <c r="Y165" cm="1">
        <f t="array" ref="Y165">_xll.BDH(Y$2 &amp; " US Equity","PX_LAST",$B165,$B165)</f>
        <v>46.83</v>
      </c>
      <c r="Z165" cm="1">
        <f t="array" ref="Z165">_xll.BDH(Z$2 &amp; " US Equity","PX_LAST",$B165,$B165)</f>
        <v>404.76</v>
      </c>
      <c r="AA165" cm="1">
        <f t="array" ref="AA165">_xll.BDH(AA$2 &amp; " PE Equity","PX_LAST",$B165,$B165)</f>
        <v>0.89</v>
      </c>
      <c r="AB165" cm="1">
        <f t="array" ref="AB165">_xll.BDH(AB$2 &amp; " PE Equity","PX_LAST",$B165,$B165)</f>
        <v>28.95</v>
      </c>
      <c r="AC165" cm="1">
        <f t="array" ref="AC165">_xll.BDH(AC$2 &amp; " US Equity","PX_LAST",$B165,$B165)</f>
        <v>76.540000000000006</v>
      </c>
      <c r="AD165" cm="1">
        <f t="array" ref="AD165">_xll.BDH(AD$2 &amp; " US Equity","PX_LAST",$B165,$B165)</f>
        <v>692.12</v>
      </c>
      <c r="AE165" t="str" cm="1">
        <f t="array" ref="AE165">_xll.BDH(AE$2 &amp; " PE Equity","PX_LAST",$B165,$B165)</f>
        <v>#N/A Connection</v>
      </c>
      <c r="AF165" cm="1">
        <f t="array" ref="AF165">_xll.BDH(AF$2 &amp; " US Equity","PX_LAST",$B165,$B165)</f>
        <v>58.42</v>
      </c>
      <c r="AG165" cm="1">
        <f t="array" ref="AG165">_xll.BDH(AG$2 &amp; " US Equity","PX_LAST",$B165,$B165)</f>
        <v>15.2372</v>
      </c>
      <c r="AH165" cm="1">
        <f t="array" ref="AH165">_xll.BDH(AH$2 &amp; " US Equity","PX_LAST",$B165,$B165)</f>
        <v>611.47</v>
      </c>
      <c r="AI165" cm="1">
        <f t="array" ref="AI165">_xll.BDH(AI$2 &amp; " US Equity","PX_LAST",$B165,$B165)</f>
        <v>103.33</v>
      </c>
      <c r="AJ165" cm="1">
        <f t="array" ref="AJ165">_xll.BDH(AJ$2 &amp; " US Equity","PX_LAST",$B165,$B165)</f>
        <v>109.96</v>
      </c>
      <c r="AK165" cm="1">
        <f t="array" ref="AK165">_xll.BDH(AK$2 &amp; " US Equity","PX_LAST",$B165,$B165)</f>
        <v>118.33</v>
      </c>
      <c r="AL165" cm="1">
        <f t="array" ref="AL165">_xll.BDH(AL$2 &amp; " US Equity","PX_LAST",$B165,$B165)</f>
        <v>206.96</v>
      </c>
      <c r="AM165" cm="1">
        <f t="array" ref="AM165">_xll.BDH(AM$2 &amp; " US Equity","PX_LAST",$B165,$B165)</f>
        <v>51.02</v>
      </c>
      <c r="AN165" cm="1">
        <f t="array" ref="AN165">_xll.BDH(AN$2 &amp; " US Equity","PX_LAST",$B165,$B165)</f>
        <v>24.26</v>
      </c>
      <c r="AO165" cm="1">
        <f t="array" ref="AO165">_xll.BDH(AO$2 &amp; " US Equity","PX_LAST",$B165,$B165)</f>
        <v>54.02</v>
      </c>
      <c r="AP165" cm="1">
        <f t="array" ref="AP165">_xll.BDH(AP$2 &amp; " US Equity","PX_LAST",$B165,$B165)</f>
        <v>4.76</v>
      </c>
      <c r="AQ165" cm="1">
        <f t="array" ref="AQ165">_xll.BDH(AQ$2 &amp; " US Equity","PX_LAST",$B165,$B165)</f>
        <v>105.88</v>
      </c>
      <c r="AR165" cm="1">
        <f t="array" ref="AR165">_xll.BDH(AR$2 &amp; " US Equity","PX_LAST",$B165,$B165)</f>
        <v>79.819999999999993</v>
      </c>
      <c r="AS165" cm="1">
        <f t="array" ref="AS165">_xll.BDH(AS$2 &amp; " US Equity","PX_LAST",$B165,$B165)</f>
        <v>82.21</v>
      </c>
      <c r="AT165" cm="1">
        <f t="array" ref="AT165">_xll.BDH(AT$2 &amp; " US Equity","PX_LAST",$B165,$B165)</f>
        <v>4.96</v>
      </c>
      <c r="AU165" cm="1">
        <f t="array" ref="AU165">_xll.BDH(AU$2 &amp; " US Equity","PX_LAST",$B165,$B165)</f>
        <v>273.22000000000003</v>
      </c>
      <c r="AV165" cm="1">
        <f t="array" ref="AV165">_xll.BDH(AV$2 &amp; " US Equity","PX_LAST",$B165,$B165)</f>
        <v>210.71</v>
      </c>
      <c r="AW165" cm="1">
        <f t="array" ref="AW165">_xll.BDH(AW$2 &amp; " US Equity","PX_LAST",$B165,$B165)</f>
        <v>107.21</v>
      </c>
    </row>
    <row r="166" spans="2:49">
      <c r="B166" s="13">
        <v>46064</v>
      </c>
      <c r="C166" cm="1">
        <f t="array" ref="C166">_xll.BDH(C$2 &amp; " US Equity","PX_LAST",$B166,$B166)</f>
        <v>367.16</v>
      </c>
      <c r="D166" cm="1">
        <f t="array" ref="D166">_xll.BDH(D$2 &amp; " PE Equity","PX_LAST",$B166,$B166)</f>
        <v>6.79</v>
      </c>
      <c r="E166" cm="1">
        <f t="array" ref="E166">_xll.BDH(E$2 &amp; " PE Equity","PX_LAST",$B166,$B166)</f>
        <v>2.4500000000000002</v>
      </c>
      <c r="F166" cm="1">
        <f t="array" ref="F166">_xll.BDH(F$2 &amp; " PE Equity","PX_LAST",$B166,$B166)</f>
        <v>3.24</v>
      </c>
      <c r="G166" cm="1">
        <f t="array" ref="G166">_xll.BDH(G$2 &amp; " US Equity","PX_LAST",$B166,$B166)</f>
        <v>18.11</v>
      </c>
      <c r="H166" cm="1">
        <f t="array" ref="H166">_xll.BDH(H$2 &amp; " PE Equity","PX_LAST",$B166,$B166)</f>
        <v>4.2</v>
      </c>
      <c r="I166" cm="1">
        <f t="array" ref="I166">_xll.BDH(I$2 &amp; " US Equity","PX_LAST",$B166,$B166)</f>
        <v>58.38</v>
      </c>
      <c r="J166" cm="1">
        <f t="array" ref="J166">_xll.BDH(J$2 &amp; " US Equity","PX_LAST",$B166,$B166)</f>
        <v>9.57</v>
      </c>
      <c r="K166" cm="1">
        <f t="array" ref="K166">_xll.BDH(K$2 &amp; " US Equity","PX_LAST",$B166,$B166)</f>
        <v>56.87</v>
      </c>
      <c r="L166" cm="1">
        <f t="array" ref="L166">_xll.BDH(L$2 &amp; " US Equity","PX_LAST",$B166,$B166)</f>
        <v>61.56</v>
      </c>
      <c r="M166" cm="1">
        <f t="array" ref="M166">_xll.BDH(M$2 &amp; " US Equity","PX_LAST",$B166,$B166)</f>
        <v>343.68</v>
      </c>
      <c r="N166" cm="1">
        <f t="array" ref="N166">_xll.BDH(N$2 &amp; " US Equity","PX_LAST",$B166,$B166)</f>
        <v>37.700000000000003</v>
      </c>
      <c r="O166" cm="1">
        <f t="array" ref="O166">_xll.BDH(O$2 &amp; " US Equity","PX_LAST",$B166,$B166)</f>
        <v>39.159999999999997</v>
      </c>
      <c r="P166" cm="1">
        <f t="array" ref="P166">_xll.BDH(P$2 &amp; " US Equity","PX_LAST",$B166,$B166)</f>
        <v>19.04</v>
      </c>
      <c r="Q166" cm="1">
        <f t="array" ref="Q166">_xll.BDH(Q$2 &amp; " US Equity","PX_LAST",$B166,$B166)</f>
        <v>27.73</v>
      </c>
      <c r="R166" cm="1">
        <f t="array" ref="R166">_xll.BDH(R$2 &amp; " US Equity","PX_LAST",$B166,$B166)</f>
        <v>40.479999999999997</v>
      </c>
      <c r="S166" cm="1">
        <f t="array" ref="S166">_xll.BDH(S$2 &amp; " US Equity","PX_LAST",$B166,$B166)</f>
        <v>174.84</v>
      </c>
      <c r="T166" cm="1">
        <f t="array" ref="T166">_xll.BDH(T$2 &amp; " US Equity","PX_LAST",$B166,$B166)</f>
        <v>68.260000000000005</v>
      </c>
      <c r="U166" cm="1">
        <f t="array" ref="U166">_xll.BDH(U$2 &amp; " US Equity","PX_LAST",$B166,$B166)</f>
        <v>145.12</v>
      </c>
      <c r="V166" cm="1">
        <f t="array" ref="V166">_xll.BDH(V$2 &amp; " US Equity","PX_LAST",$B166,$B166)</f>
        <v>44.59</v>
      </c>
      <c r="W166" cm="1">
        <f t="array" ref="W166">_xll.BDH(W$2 &amp; " US Equity","PX_LAST",$B166,$B166)</f>
        <v>135.68</v>
      </c>
      <c r="X166" cm="1">
        <f t="array" ref="X166">_xll.BDH(X$2 &amp; " US Equity","PX_LAST",$B166,$B166)</f>
        <v>63.24</v>
      </c>
      <c r="Y166" cm="1">
        <f t="array" ref="Y166">_xll.BDH(Y$2 &amp; " US Equity","PX_LAST",$B166,$B166)</f>
        <v>47.08</v>
      </c>
      <c r="Z166" cm="1">
        <f t="array" ref="Z166">_xll.BDH(Z$2 &amp; " US Equity","PX_LAST",$B166,$B166)</f>
        <v>414.78</v>
      </c>
      <c r="AA166" cm="1">
        <f t="array" ref="AA166">_xll.BDH(AA$2 &amp; " PE Equity","PX_LAST",$B166,$B166)</f>
        <v>0.89</v>
      </c>
      <c r="AB166" cm="1">
        <f t="array" ref="AB166">_xll.BDH(AB$2 &amp; " PE Equity","PX_LAST",$B166,$B166)</f>
        <v>28.8</v>
      </c>
      <c r="AC166" cm="1">
        <f t="array" ref="AC166">_xll.BDH(AC$2 &amp; " US Equity","PX_LAST",$B166,$B166)</f>
        <v>76.62</v>
      </c>
      <c r="AD166" cm="1">
        <f t="array" ref="AD166">_xll.BDH(AD$2 &amp; " US Equity","PX_LAST",$B166,$B166)</f>
        <v>691.96</v>
      </c>
      <c r="AE166" t="str" cm="1">
        <f t="array" ref="AE166">_xll.BDH(AE$2 &amp; " PE Equity","PX_LAST",$B166,$B166)</f>
        <v>#N/A Connection</v>
      </c>
      <c r="AF166" cm="1">
        <f t="array" ref="AF166">_xll.BDH(AF$2 &amp; " US Equity","PX_LAST",$B166,$B166)</f>
        <v>58.825400000000002</v>
      </c>
      <c r="AG166" cm="1">
        <f t="array" ref="AG166">_xll.BDH(AG$2 &amp; " US Equity","PX_LAST",$B166,$B166)</f>
        <v>15.5549</v>
      </c>
      <c r="AH166" cm="1">
        <f t="array" ref="AH166">_xll.BDH(AH$2 &amp; " US Equity","PX_LAST",$B166,$B166)</f>
        <v>613.11</v>
      </c>
      <c r="AI166" cm="1">
        <f t="array" ref="AI166">_xll.BDH(AI$2 &amp; " US Equity","PX_LAST",$B166,$B166)</f>
        <v>105.26</v>
      </c>
      <c r="AJ166" cm="1">
        <f t="array" ref="AJ166">_xll.BDH(AJ$2 &amp; " US Equity","PX_LAST",$B166,$B166)</f>
        <v>108.12</v>
      </c>
      <c r="AK166" cm="1">
        <f t="array" ref="AK166">_xll.BDH(AK$2 &amp; " US Equity","PX_LAST",$B166,$B166)</f>
        <v>117.76</v>
      </c>
      <c r="AL166" cm="1">
        <f t="array" ref="AL166">_xll.BDH(AL$2 &amp; " US Equity","PX_LAST",$B166,$B166)</f>
        <v>204.08</v>
      </c>
      <c r="AM166" cm="1">
        <f t="array" ref="AM166">_xll.BDH(AM$2 &amp; " US Equity","PX_LAST",$B166,$B166)</f>
        <v>51.4</v>
      </c>
      <c r="AN166" cm="1">
        <f t="array" ref="AN166">_xll.BDH(AN$2 &amp; " US Equity","PX_LAST",$B166,$B166)</f>
        <v>24.135100000000001</v>
      </c>
      <c r="AO166" cm="1">
        <f t="array" ref="AO166">_xll.BDH(AO$2 &amp; " US Equity","PX_LAST",$B166,$B166)</f>
        <v>53.94</v>
      </c>
      <c r="AP166" cm="1">
        <f t="array" ref="AP166">_xll.BDH(AP$2 &amp; " US Equity","PX_LAST",$B166,$B166)</f>
        <v>4.8600000000000003</v>
      </c>
      <c r="AQ166" cm="1">
        <f t="array" ref="AQ166">_xll.BDH(AQ$2 &amp; " US Equity","PX_LAST",$B166,$B166)</f>
        <v>107.6</v>
      </c>
      <c r="AR166" cm="1">
        <f t="array" ref="AR166">_xll.BDH(AR$2 &amp; " US Equity","PX_LAST",$B166,$B166)</f>
        <v>79.19</v>
      </c>
      <c r="AS166" cm="1">
        <f t="array" ref="AS166">_xll.BDH(AS$2 &amp; " US Equity","PX_LAST",$B166,$B166)</f>
        <v>79.62</v>
      </c>
      <c r="AT166" cm="1">
        <f t="array" ref="AT166">_xll.BDH(AT$2 &amp; " US Equity","PX_LAST",$B166,$B166)</f>
        <v>5.07</v>
      </c>
      <c r="AU166" cm="1">
        <f t="array" ref="AU166">_xll.BDH(AU$2 &amp; " US Equity","PX_LAST",$B166,$B166)</f>
        <v>278.91000000000003</v>
      </c>
      <c r="AV166" cm="1">
        <f t="array" ref="AV166">_xll.BDH(AV$2 &amp; " US Equity","PX_LAST",$B166,$B166)</f>
        <v>203.89</v>
      </c>
      <c r="AW166" cm="1">
        <f t="array" ref="AW166">_xll.BDH(AW$2 &amp; " US Equity","PX_LAST",$B166,$B166)</f>
        <v>105.06</v>
      </c>
    </row>
    <row r="167" spans="2:49">
      <c r="B167" s="13">
        <v>46065</v>
      </c>
      <c r="C167" cm="1">
        <f t="array" ref="C167">_xll.BDH(C$2 &amp; " US Equity","PX_LAST",$B167,$B167)</f>
        <v>369.46</v>
      </c>
      <c r="D167" cm="1">
        <f t="array" ref="D167">_xll.BDH(D$2 &amp; " PE Equity","PX_LAST",$B167,$B167)</f>
        <v>6.8</v>
      </c>
      <c r="E167" cm="1">
        <f t="array" ref="E167">_xll.BDH(E$2 &amp; " PE Equity","PX_LAST",$B167,$B167)</f>
        <v>2.4500000000000002</v>
      </c>
      <c r="F167" cm="1">
        <f t="array" ref="F167">_xll.BDH(F$2 &amp; " PE Equity","PX_LAST",$B167,$B167)</f>
        <v>3.15</v>
      </c>
      <c r="G167" cm="1">
        <f t="array" ref="G167">_xll.BDH(G$2 &amp; " US Equity","PX_LAST",$B167,$B167)</f>
        <v>17.7</v>
      </c>
      <c r="H167" cm="1">
        <f t="array" ref="H167">_xll.BDH(H$2 &amp; " PE Equity","PX_LAST",$B167,$B167)</f>
        <v>4.16</v>
      </c>
      <c r="I167" cm="1">
        <f t="array" ref="I167">_xll.BDH(I$2 &amp; " US Equity","PX_LAST",$B167,$B167)</f>
        <v>56.86</v>
      </c>
      <c r="J167" cm="1">
        <f t="array" ref="J167">_xll.BDH(J$2 &amp; " US Equity","PX_LAST",$B167,$B167)</f>
        <v>9.2799999999999994</v>
      </c>
      <c r="K167" cm="1">
        <f t="array" ref="K167">_xll.BDH(K$2 &amp; " US Equity","PX_LAST",$B167,$B167)</f>
        <v>56.16</v>
      </c>
      <c r="L167" cm="1">
        <f t="array" ref="L167">_xll.BDH(L$2 &amp; " US Equity","PX_LAST",$B167,$B167)</f>
        <v>60.86</v>
      </c>
      <c r="M167" cm="1">
        <f t="array" ref="M167">_xll.BDH(M$2 &amp; " US Equity","PX_LAST",$B167,$B167)</f>
        <v>341.05</v>
      </c>
      <c r="N167" cm="1">
        <f t="array" ref="N167">_xll.BDH(N$2 &amp; " US Equity","PX_LAST",$B167,$B167)</f>
        <v>37.17</v>
      </c>
      <c r="O167" cm="1">
        <f t="array" ref="O167">_xll.BDH(O$2 &amp; " US Equity","PX_LAST",$B167,$B167)</f>
        <v>38.49</v>
      </c>
      <c r="P167" cm="1">
        <f t="array" ref="P167">_xll.BDH(P$2 &amp; " US Equity","PX_LAST",$B167,$B167)</f>
        <v>18.38</v>
      </c>
      <c r="Q167" cm="1">
        <f t="array" ref="Q167">_xll.BDH(Q$2 &amp; " US Equity","PX_LAST",$B167,$B167)</f>
        <v>27.47</v>
      </c>
      <c r="R167" cm="1">
        <f t="array" ref="R167">_xll.BDH(R$2 &amp; " US Equity","PX_LAST",$B167,$B167)</f>
        <v>37.54</v>
      </c>
      <c r="S167" cm="1">
        <f t="array" ref="S167">_xll.BDH(S$2 &amp; " US Equity","PX_LAST",$B167,$B167)</f>
        <v>172.75</v>
      </c>
      <c r="T167" cm="1">
        <f t="array" ref="T167">_xll.BDH(T$2 &amp; " US Equity","PX_LAST",$B167,$B167)</f>
        <v>67.63</v>
      </c>
      <c r="U167" cm="1">
        <f t="array" ref="U167">_xll.BDH(U$2 &amp; " US Equity","PX_LAST",$B167,$B167)</f>
        <v>138.38</v>
      </c>
      <c r="V167" cm="1">
        <f t="array" ref="V167">_xll.BDH(V$2 &amp; " US Equity","PX_LAST",$B167,$B167)</f>
        <v>45.25</v>
      </c>
      <c r="W167" cm="1">
        <f t="array" ref="W167">_xll.BDH(W$2 &amp; " US Equity","PX_LAST",$B167,$B167)</f>
        <v>129.13</v>
      </c>
      <c r="X167" cm="1">
        <f t="array" ref="X167">_xll.BDH(X$2 &amp; " US Equity","PX_LAST",$B167,$B167)</f>
        <v>63.46</v>
      </c>
      <c r="Y167" cm="1">
        <f t="array" ref="Y167">_xll.BDH(Y$2 &amp; " US Equity","PX_LAST",$B167,$B167)</f>
        <v>46.68</v>
      </c>
      <c r="Z167" cm="1">
        <f t="array" ref="Z167">_xll.BDH(Z$2 &amp; " US Equity","PX_LAST",$B167,$B167)</f>
        <v>406.11</v>
      </c>
      <c r="AA167" cm="1">
        <f t="array" ref="AA167">_xll.BDH(AA$2 &amp; " PE Equity","PX_LAST",$B167,$B167)</f>
        <v>0.84</v>
      </c>
      <c r="AB167" cm="1">
        <f t="array" ref="AB167">_xll.BDH(AB$2 &amp; " PE Equity","PX_LAST",$B167,$B167)</f>
        <v>28.68</v>
      </c>
      <c r="AC167" cm="1">
        <f t="array" ref="AC167">_xll.BDH(AC$2 &amp; " US Equity","PX_LAST",$B167,$B167)</f>
        <v>75.75</v>
      </c>
      <c r="AD167" cm="1">
        <f t="array" ref="AD167">_xll.BDH(AD$2 &amp; " US Equity","PX_LAST",$B167,$B167)</f>
        <v>681.27</v>
      </c>
      <c r="AE167" t="str" cm="1">
        <f t="array" ref="AE167">_xll.BDH(AE$2 &amp; " PE Equity","PX_LAST",$B167,$B167)</f>
        <v>#N/A Connection</v>
      </c>
      <c r="AF167" cm="1">
        <f t="array" ref="AF167">_xll.BDH(AF$2 &amp; " US Equity","PX_LAST",$B167,$B167)</f>
        <v>58.6768</v>
      </c>
      <c r="AG167" cm="1">
        <f t="array" ref="AG167">_xll.BDH(AG$2 &amp; " US Equity","PX_LAST",$B167,$B167)</f>
        <v>15.16</v>
      </c>
      <c r="AH167" cm="1">
        <f t="array" ref="AH167">_xll.BDH(AH$2 &amp; " US Equity","PX_LAST",$B167,$B167)</f>
        <v>600.64</v>
      </c>
      <c r="AI167" cm="1">
        <f t="array" ref="AI167">_xll.BDH(AI$2 &amp; " US Equity","PX_LAST",$B167,$B167)</f>
        <v>104.15</v>
      </c>
      <c r="AJ167" cm="1">
        <f t="array" ref="AJ167">_xll.BDH(AJ$2 &amp; " US Equity","PX_LAST",$B167,$B167)</f>
        <v>102.38</v>
      </c>
      <c r="AK167" cm="1">
        <f t="array" ref="AK167">_xll.BDH(AK$2 &amp; " US Equity","PX_LAST",$B167,$B167)</f>
        <v>116.13</v>
      </c>
      <c r="AL167" cm="1">
        <f t="array" ref="AL167">_xll.BDH(AL$2 &amp; " US Equity","PX_LAST",$B167,$B167)</f>
        <v>199.6</v>
      </c>
      <c r="AM167" cm="1">
        <f t="array" ref="AM167">_xll.BDH(AM$2 &amp; " US Equity","PX_LAST",$B167,$B167)</f>
        <v>48.26</v>
      </c>
      <c r="AN167" cm="1">
        <f t="array" ref="AN167">_xll.BDH(AN$2 &amp; " US Equity","PX_LAST",$B167,$B167)</f>
        <v>23.75</v>
      </c>
      <c r="AO167" cm="1">
        <f t="array" ref="AO167">_xll.BDH(AO$2 &amp; " US Equity","PX_LAST",$B167,$B167)</f>
        <v>52.6</v>
      </c>
      <c r="AP167" cm="1">
        <f t="array" ref="AP167">_xll.BDH(AP$2 &amp; " US Equity","PX_LAST",$B167,$B167)</f>
        <v>4.92</v>
      </c>
      <c r="AQ167" cm="1">
        <f t="array" ref="AQ167">_xll.BDH(AQ$2 &amp; " US Equity","PX_LAST",$B167,$B167)</f>
        <v>108.26</v>
      </c>
      <c r="AR167" cm="1">
        <f t="array" ref="AR167">_xll.BDH(AR$2 &amp; " US Equity","PX_LAST",$B167,$B167)</f>
        <v>76.7</v>
      </c>
      <c r="AS167" cm="1">
        <f t="array" ref="AS167">_xll.BDH(AS$2 &amp; " US Equity","PX_LAST",$B167,$B167)</f>
        <v>75.86</v>
      </c>
      <c r="AT167" cm="1">
        <f t="array" ref="AT167">_xll.BDH(AT$2 &amp; " US Equity","PX_LAST",$B167,$B167)</f>
        <v>4.95</v>
      </c>
      <c r="AU167" cm="1">
        <f t="array" ref="AU167">_xll.BDH(AU$2 &amp; " US Equity","PX_LAST",$B167,$B167)</f>
        <v>284.37</v>
      </c>
      <c r="AV167" cm="1">
        <f t="array" ref="AV167">_xll.BDH(AV$2 &amp; " US Equity","PX_LAST",$B167,$B167)</f>
        <v>190.36</v>
      </c>
      <c r="AW167" cm="1">
        <f t="array" ref="AW167">_xll.BDH(AW$2 &amp; " US Equity","PX_LAST",$B167,$B167)</f>
        <v>101.12</v>
      </c>
    </row>
    <row r="168" spans="2:49">
      <c r="B168" s="13">
        <v>46066</v>
      </c>
      <c r="C168" cm="1">
        <f t="array" ref="C168">_xll.BDH(C$2 &amp; " US Equity","PX_LAST",$B168,$B168)</f>
        <v>374.72</v>
      </c>
      <c r="D168" cm="1">
        <f t="array" ref="D168">_xll.BDH(D$2 &amp; " PE Equity","PX_LAST",$B168,$B168)</f>
        <v>6.77</v>
      </c>
      <c r="E168" cm="1">
        <f t="array" ref="E168">_xll.BDH(E$2 &amp; " PE Equity","PX_LAST",$B168,$B168)</f>
        <v>2.4500000000000002</v>
      </c>
      <c r="F168" cm="1">
        <f t="array" ref="F168">_xll.BDH(F$2 &amp; " PE Equity","PX_LAST",$B168,$B168)</f>
        <v>3.18</v>
      </c>
      <c r="G168" cm="1">
        <f t="array" ref="G168">_xll.BDH(G$2 &amp; " US Equity","PX_LAST",$B168,$B168)</f>
        <v>17.940000000000001</v>
      </c>
      <c r="H168" cm="1">
        <f t="array" ref="H168">_xll.BDH(H$2 &amp; " PE Equity","PX_LAST",$B168,$B168)</f>
        <v>4.1399999999999997</v>
      </c>
      <c r="I168" cm="1">
        <f t="array" ref="I168">_xll.BDH(I$2 &amp; " US Equity","PX_LAST",$B168,$B168)</f>
        <v>57.92</v>
      </c>
      <c r="J168" cm="1">
        <f t="array" ref="J168">_xll.BDH(J$2 &amp; " US Equity","PX_LAST",$B168,$B168)</f>
        <v>9.16</v>
      </c>
      <c r="K168" cm="1">
        <f t="array" ref="K168">_xll.BDH(K$2 &amp; " US Equity","PX_LAST",$B168,$B168)</f>
        <v>55.61</v>
      </c>
      <c r="L168" cm="1">
        <f t="array" ref="L168">_xll.BDH(L$2 &amp; " US Equity","PX_LAST",$B168,$B168)</f>
        <v>61.12</v>
      </c>
      <c r="M168" cm="1">
        <f t="array" ref="M168">_xll.BDH(M$2 &amp; " US Equity","PX_LAST",$B168,$B168)</f>
        <v>329.81</v>
      </c>
      <c r="N168" cm="1">
        <f t="array" ref="N168">_xll.BDH(N$2 &amp; " US Equity","PX_LAST",$B168,$B168)</f>
        <v>36.61</v>
      </c>
      <c r="O168" cm="1">
        <f t="array" ref="O168">_xll.BDH(O$2 &amp; " US Equity","PX_LAST",$B168,$B168)</f>
        <v>38.06</v>
      </c>
      <c r="P168" cm="1">
        <f t="array" ref="P168">_xll.BDH(P$2 &amp; " US Equity","PX_LAST",$B168,$B168)</f>
        <v>18.420000000000002</v>
      </c>
      <c r="Q168" cm="1">
        <f t="array" ref="Q168">_xll.BDH(Q$2 &amp; " US Equity","PX_LAST",$B168,$B168)</f>
        <v>27.58</v>
      </c>
      <c r="R168" cm="1">
        <f t="array" ref="R168">_xll.BDH(R$2 &amp; " US Equity","PX_LAST",$B168,$B168)</f>
        <v>37.96</v>
      </c>
      <c r="S168" cm="1">
        <f t="array" ref="S168">_xll.BDH(S$2 &amp; " US Equity","PX_LAST",$B168,$B168)</f>
        <v>174.17</v>
      </c>
      <c r="T168" cm="1">
        <f t="array" ref="T168">_xll.BDH(T$2 &amp; " US Equity","PX_LAST",$B168,$B168)</f>
        <v>67.37</v>
      </c>
      <c r="U168" cm="1">
        <f t="array" ref="U168">_xll.BDH(U$2 &amp; " US Equity","PX_LAST",$B168,$B168)</f>
        <v>137.01</v>
      </c>
      <c r="V168" cm="1">
        <f t="array" ref="V168">_xll.BDH(V$2 &amp; " US Equity","PX_LAST",$B168,$B168)</f>
        <v>46.5</v>
      </c>
      <c r="W168" cm="1">
        <f t="array" ref="W168">_xll.BDH(W$2 &amp; " US Equity","PX_LAST",$B168,$B168)</f>
        <v>131.41</v>
      </c>
      <c r="X168" cm="1">
        <f t="array" ref="X168">_xll.BDH(X$2 &amp; " US Equity","PX_LAST",$B168,$B168)</f>
        <v>63.79</v>
      </c>
      <c r="Y168" cm="1">
        <f t="array" ref="Y168">_xll.BDH(Y$2 &amp; " US Equity","PX_LAST",$B168,$B168)</f>
        <v>46.7</v>
      </c>
      <c r="Z168" cm="1">
        <f t="array" ref="Z168">_xll.BDH(Z$2 &amp; " US Equity","PX_LAST",$B168,$B168)</f>
        <v>407.72</v>
      </c>
      <c r="AA168" cm="1">
        <f t="array" ref="AA168">_xll.BDH(AA$2 &amp; " PE Equity","PX_LAST",$B168,$B168)</f>
        <v>0.83</v>
      </c>
      <c r="AB168" cm="1">
        <f t="array" ref="AB168">_xll.BDH(AB$2 &amp; " PE Equity","PX_LAST",$B168,$B168)</f>
        <v>28.3</v>
      </c>
      <c r="AC168" cm="1">
        <f t="array" ref="AC168">_xll.BDH(AC$2 &amp; " US Equity","PX_LAST",$B168,$B168)</f>
        <v>76.17</v>
      </c>
      <c r="AD168" cm="1">
        <f t="array" ref="AD168">_xll.BDH(AD$2 &amp; " US Equity","PX_LAST",$B168,$B168)</f>
        <v>681.75</v>
      </c>
      <c r="AE168" t="str" cm="1">
        <f t="array" ref="AE168">_xll.BDH(AE$2 &amp; " PE Equity","PX_LAST",$B168,$B168)</f>
        <v>#N/A Connection</v>
      </c>
      <c r="AF168" cm="1">
        <f t="array" ref="AF168">_xll.BDH(AF$2 &amp; " US Equity","PX_LAST",$B168,$B168)</f>
        <v>58.985399999999998</v>
      </c>
      <c r="AG168" cm="1">
        <f t="array" ref="AG168">_xll.BDH(AG$2 &amp; " US Equity","PX_LAST",$B168,$B168)</f>
        <v>15.035</v>
      </c>
      <c r="AH168" cm="1">
        <f t="array" ref="AH168">_xll.BDH(AH$2 &amp; " US Equity","PX_LAST",$B168,$B168)</f>
        <v>601.91999999999996</v>
      </c>
      <c r="AI168" cm="1">
        <f t="array" ref="AI168">_xll.BDH(AI$2 &amp; " US Equity","PX_LAST",$B168,$B168)</f>
        <v>104.61</v>
      </c>
      <c r="AJ168" cm="1">
        <f t="array" ref="AJ168">_xll.BDH(AJ$2 &amp; " US Equity","PX_LAST",$B168,$B168)</f>
        <v>105.45</v>
      </c>
      <c r="AK168" cm="1">
        <f t="array" ref="AK168">_xll.BDH(AK$2 &amp; " US Equity","PX_LAST",$B168,$B168)</f>
        <v>116.18</v>
      </c>
      <c r="AL168" cm="1">
        <f t="array" ref="AL168">_xll.BDH(AL$2 &amp; " US Equity","PX_LAST",$B168,$B168)</f>
        <v>198.79</v>
      </c>
      <c r="AM168" cm="1">
        <f t="array" ref="AM168">_xll.BDH(AM$2 &amp; " US Equity","PX_LAST",$B168,$B168)</f>
        <v>48.47</v>
      </c>
      <c r="AN168" cm="1">
        <f t="array" ref="AN168">_xll.BDH(AN$2 &amp; " US Equity","PX_LAST",$B168,$B168)</f>
        <v>23.844999999999999</v>
      </c>
      <c r="AO168" cm="1">
        <f t="array" ref="AO168">_xll.BDH(AO$2 &amp; " US Equity","PX_LAST",$B168,$B168)</f>
        <v>53.16</v>
      </c>
      <c r="AP168" cm="1">
        <f t="array" ref="AP168">_xll.BDH(AP$2 &amp; " US Equity","PX_LAST",$B168,$B168)</f>
        <v>4.96</v>
      </c>
      <c r="AQ168" cm="1">
        <f t="array" ref="AQ168">_xll.BDH(AQ$2 &amp; " US Equity","PX_LAST",$B168,$B168)</f>
        <v>109.41</v>
      </c>
      <c r="AR168" cm="1">
        <f t="array" ref="AR168">_xll.BDH(AR$2 &amp; " US Equity","PX_LAST",$B168,$B168)</f>
        <v>77</v>
      </c>
      <c r="AS168" cm="1">
        <f t="array" ref="AS168">_xll.BDH(AS$2 &amp; " US Equity","PX_LAST",$B168,$B168)</f>
        <v>76.87</v>
      </c>
      <c r="AT168" cm="1">
        <f t="array" ref="AT168">_xll.BDH(AT$2 &amp; " US Equity","PX_LAST",$B168,$B168)</f>
        <v>4.95</v>
      </c>
      <c r="AU168" cm="1">
        <f t="array" ref="AU168">_xll.BDH(AU$2 &amp; " US Equity","PX_LAST",$B168,$B168)</f>
        <v>293.19</v>
      </c>
      <c r="AV168" cm="1">
        <f t="array" ref="AV168">_xll.BDH(AV$2 &amp; " US Equity","PX_LAST",$B168,$B168)</f>
        <v>193.67</v>
      </c>
      <c r="AW168" cm="1">
        <f t="array" ref="AW168">_xll.BDH(AW$2 &amp; " US Equity","PX_LAST",$B168,$B168)</f>
        <v>101.73</v>
      </c>
    </row>
    <row r="169" spans="2:49">
      <c r="B169" s="13">
        <v>46067</v>
      </c>
      <c r="C169" t="str" cm="1">
        <f t="array" ref="C169">_xll.BDH(C$2 &amp; " US Equity","PX_LAST",$B169,$B169)</f>
        <v>#N/A N/A</v>
      </c>
      <c r="D169" t="str" cm="1">
        <f t="array" ref="D169">_xll.BDH(D$2 &amp; " PE Equity","PX_LAST",$B169,$B169)</f>
        <v>#N/A N/A</v>
      </c>
      <c r="E169" t="str" cm="1">
        <f t="array" ref="E169">_xll.BDH(E$2 &amp; " PE Equity","PX_LAST",$B169,$B169)</f>
        <v>#N/A N/A</v>
      </c>
      <c r="F169" t="str" cm="1">
        <f t="array" ref="F169">_xll.BDH(F$2 &amp; " PE Equity","PX_LAST",$B169,$B169)</f>
        <v>#N/A N/A</v>
      </c>
      <c r="G169" t="str" cm="1">
        <f t="array" ref="G169">_xll.BDH(G$2 &amp; " US Equity","PX_LAST",$B169,$B169)</f>
        <v>#N/A N/A</v>
      </c>
      <c r="H169" t="str" cm="1">
        <f t="array" ref="H169">_xll.BDH(H$2 &amp; " PE Equity","PX_LAST",$B169,$B169)</f>
        <v>#N/A N/A</v>
      </c>
      <c r="I169" t="str" cm="1">
        <f t="array" ref="I169">_xll.BDH(I$2 &amp; " US Equity","PX_LAST",$B169,$B169)</f>
        <v>#N/A N/A</v>
      </c>
      <c r="J169" t="str" cm="1">
        <f t="array" ref="J169">_xll.BDH(J$2 &amp; " US Equity","PX_LAST",$B169,$B169)</f>
        <v>#N/A N/A</v>
      </c>
      <c r="K169" t="str" cm="1">
        <f t="array" ref="K169">_xll.BDH(K$2 &amp; " US Equity","PX_LAST",$B169,$B169)</f>
        <v>#N/A N/A</v>
      </c>
      <c r="L169" t="str" cm="1">
        <f t="array" ref="L169">_xll.BDH(L$2 &amp; " US Equity","PX_LAST",$B169,$B169)</f>
        <v>#N/A N/A</v>
      </c>
      <c r="M169" t="str" cm="1">
        <f t="array" ref="M169">_xll.BDH(M$2 &amp; " US Equity","PX_LAST",$B169,$B169)</f>
        <v>#N/A N/A</v>
      </c>
      <c r="N169" t="str" cm="1">
        <f t="array" ref="N169">_xll.BDH(N$2 &amp; " US Equity","PX_LAST",$B169,$B169)</f>
        <v>#N/A N/A</v>
      </c>
      <c r="O169" t="str" cm="1">
        <f t="array" ref="O169">_xll.BDH(O$2 &amp; " US Equity","PX_LAST",$B169,$B169)</f>
        <v>#N/A N/A</v>
      </c>
      <c r="P169" t="str" cm="1">
        <f t="array" ref="P169">_xll.BDH(P$2 &amp; " US Equity","PX_LAST",$B169,$B169)</f>
        <v>#N/A N/A</v>
      </c>
      <c r="Q169" t="str" cm="1">
        <f t="array" ref="Q169">_xll.BDH(Q$2 &amp; " US Equity","PX_LAST",$B169,$B169)</f>
        <v>#N/A N/A</v>
      </c>
      <c r="R169" t="str" cm="1">
        <f t="array" ref="R169">_xll.BDH(R$2 &amp; " US Equity","PX_LAST",$B169,$B169)</f>
        <v>#N/A N/A</v>
      </c>
      <c r="S169" t="str" cm="1">
        <f t="array" ref="S169">_xll.BDH(S$2 &amp; " US Equity","PX_LAST",$B169,$B169)</f>
        <v>#N/A N/A</v>
      </c>
      <c r="T169" t="str" cm="1">
        <f t="array" ref="T169">_xll.BDH(T$2 &amp; " US Equity","PX_LAST",$B169,$B169)</f>
        <v>#N/A N/A</v>
      </c>
      <c r="U169" t="str" cm="1">
        <f t="array" ref="U169">_xll.BDH(U$2 &amp; " US Equity","PX_LAST",$B169,$B169)</f>
        <v>#N/A N/A</v>
      </c>
      <c r="V169" t="str" cm="1">
        <f t="array" ref="V169">_xll.BDH(V$2 &amp; " US Equity","PX_LAST",$B169,$B169)</f>
        <v>#N/A N/A</v>
      </c>
      <c r="W169" t="str" cm="1">
        <f t="array" ref="W169">_xll.BDH(W$2 &amp; " US Equity","PX_LAST",$B169,$B169)</f>
        <v>#N/A N/A</v>
      </c>
      <c r="X169" t="str" cm="1">
        <f t="array" ref="X169">_xll.BDH(X$2 &amp; " US Equity","PX_LAST",$B169,$B169)</f>
        <v>#N/A N/A</v>
      </c>
      <c r="Y169" t="str" cm="1">
        <f t="array" ref="Y169">_xll.BDH(Y$2 &amp; " US Equity","PX_LAST",$B169,$B169)</f>
        <v>#N/A N/A</v>
      </c>
      <c r="Z169" t="str" cm="1">
        <f t="array" ref="Z169">_xll.BDH(Z$2 &amp; " US Equity","PX_LAST",$B169,$B169)</f>
        <v>#N/A N/A</v>
      </c>
      <c r="AA169" t="str" cm="1">
        <f t="array" ref="AA169">_xll.BDH(AA$2 &amp; " PE Equity","PX_LAST",$B169,$B169)</f>
        <v>#N/A N/A</v>
      </c>
      <c r="AB169" t="str" cm="1">
        <f t="array" ref="AB169">_xll.BDH(AB$2 &amp; " PE Equity","PX_LAST",$B169,$B169)</f>
        <v>#N/A N/A</v>
      </c>
      <c r="AC169" t="str" cm="1">
        <f t="array" ref="AC169">_xll.BDH(AC$2 &amp; " US Equity","PX_LAST",$B169,$B169)</f>
        <v>#N/A N/A</v>
      </c>
      <c r="AD169" t="str" cm="1">
        <f t="array" ref="AD169">_xll.BDH(AD$2 &amp; " US Equity","PX_LAST",$B169,$B169)</f>
        <v>#N/A N/A</v>
      </c>
      <c r="AE169" t="str" cm="1">
        <f t="array" ref="AE169">_xll.BDH(AE$2 &amp; " PE Equity","PX_LAST",$B169,$B169)</f>
        <v>#N/A Connection</v>
      </c>
      <c r="AF169" t="str" cm="1">
        <f t="array" ref="AF169">_xll.BDH(AF$2 &amp; " US Equity","PX_LAST",$B169,$B169)</f>
        <v>#N/A N/A</v>
      </c>
      <c r="AG169" t="str" cm="1">
        <f t="array" ref="AG169">_xll.BDH(AG$2 &amp; " US Equity","PX_LAST",$B169,$B169)</f>
        <v>#N/A N/A</v>
      </c>
      <c r="AH169" t="str" cm="1">
        <f t="array" ref="AH169">_xll.BDH(AH$2 &amp; " US Equity","PX_LAST",$B169,$B169)</f>
        <v>#N/A N/A</v>
      </c>
      <c r="AI169" t="str" cm="1">
        <f t="array" ref="AI169">_xll.BDH(AI$2 &amp; " US Equity","PX_LAST",$B169,$B169)</f>
        <v>#N/A N/A</v>
      </c>
      <c r="AJ169" t="str" cm="1">
        <f t="array" ref="AJ169">_xll.BDH(AJ$2 &amp; " US Equity","PX_LAST",$B169,$B169)</f>
        <v>#N/A N/A</v>
      </c>
      <c r="AK169" t="str" cm="1">
        <f t="array" ref="AK169">_xll.BDH(AK$2 &amp; " US Equity","PX_LAST",$B169,$B169)</f>
        <v>#N/A N/A</v>
      </c>
      <c r="AL169" t="str" cm="1">
        <f t="array" ref="AL169">_xll.BDH(AL$2 &amp; " US Equity","PX_LAST",$B169,$B169)</f>
        <v>#N/A N/A</v>
      </c>
      <c r="AM169" t="str" cm="1">
        <f t="array" ref="AM169">_xll.BDH(AM$2 &amp; " US Equity","PX_LAST",$B169,$B169)</f>
        <v>#N/A N/A</v>
      </c>
      <c r="AN169" t="str" cm="1">
        <f t="array" ref="AN169">_xll.BDH(AN$2 &amp; " US Equity","PX_LAST",$B169,$B169)</f>
        <v>#N/A N/A</v>
      </c>
      <c r="AO169" t="str" cm="1">
        <f t="array" ref="AO169">_xll.BDH(AO$2 &amp; " US Equity","PX_LAST",$B169,$B169)</f>
        <v>#N/A N/A</v>
      </c>
      <c r="AP169" t="str" cm="1">
        <f t="array" ref="AP169">_xll.BDH(AP$2 &amp; " US Equity","PX_LAST",$B169,$B169)</f>
        <v>#N/A N/A</v>
      </c>
      <c r="AQ169" t="str" cm="1">
        <f t="array" ref="AQ169">_xll.BDH(AQ$2 &amp; " US Equity","PX_LAST",$B169,$B169)</f>
        <v>#N/A N/A</v>
      </c>
      <c r="AR169" t="str" cm="1">
        <f t="array" ref="AR169">_xll.BDH(AR$2 &amp; " US Equity","PX_LAST",$B169,$B169)</f>
        <v>#N/A N/A</v>
      </c>
      <c r="AS169" t="str" cm="1">
        <f t="array" ref="AS169">_xll.BDH(AS$2 &amp; " US Equity","PX_LAST",$B169,$B169)</f>
        <v>#N/A N/A</v>
      </c>
      <c r="AT169" t="str" cm="1">
        <f t="array" ref="AT169">_xll.BDH(AT$2 &amp; " US Equity","PX_LAST",$B169,$B169)</f>
        <v>#N/A N/A</v>
      </c>
      <c r="AU169" t="str" cm="1">
        <f t="array" ref="AU169">_xll.BDH(AU$2 &amp; " US Equity","PX_LAST",$B169,$B169)</f>
        <v>#N/A N/A</v>
      </c>
      <c r="AV169" t="str" cm="1">
        <f t="array" ref="AV169">_xll.BDH(AV$2 &amp; " US Equity","PX_LAST",$B169,$B169)</f>
        <v>#N/A N/A</v>
      </c>
      <c r="AW169" t="str" cm="1">
        <f t="array" ref="AW169">_xll.BDH(AW$2 &amp; " US Equity","PX_LAST",$B169,$B169)</f>
        <v>#N/A N/A</v>
      </c>
    </row>
    <row r="170" spans="2:49">
      <c r="B170" s="13">
        <v>46068</v>
      </c>
      <c r="C170" t="str" cm="1">
        <f t="array" ref="C170">_xll.BDH(C$2 &amp; " US Equity","PX_LAST",$B170,$B170)</f>
        <v>#N/A N/A</v>
      </c>
      <c r="D170" t="str" cm="1">
        <f t="array" ref="D170">_xll.BDH(D$2 &amp; " PE Equity","PX_LAST",$B170,$B170)</f>
        <v>#N/A N/A</v>
      </c>
      <c r="E170" t="str" cm="1">
        <f t="array" ref="E170">_xll.BDH(E$2 &amp; " PE Equity","PX_LAST",$B170,$B170)</f>
        <v>#N/A N/A</v>
      </c>
      <c r="F170" t="str" cm="1">
        <f t="array" ref="F170">_xll.BDH(F$2 &amp; " PE Equity","PX_LAST",$B170,$B170)</f>
        <v>#N/A N/A</v>
      </c>
      <c r="G170" t="str" cm="1">
        <f t="array" ref="G170">_xll.BDH(G$2 &amp; " US Equity","PX_LAST",$B170,$B170)</f>
        <v>#N/A N/A</v>
      </c>
      <c r="H170" t="str" cm="1">
        <f t="array" ref="H170">_xll.BDH(H$2 &amp; " PE Equity","PX_LAST",$B170,$B170)</f>
        <v>#N/A N/A</v>
      </c>
      <c r="I170" t="str" cm="1">
        <f t="array" ref="I170">_xll.BDH(I$2 &amp; " US Equity","PX_LAST",$B170,$B170)</f>
        <v>#N/A N/A</v>
      </c>
      <c r="J170" t="str" cm="1">
        <f t="array" ref="J170">_xll.BDH(J$2 &amp; " US Equity","PX_LAST",$B170,$B170)</f>
        <v>#N/A N/A</v>
      </c>
      <c r="K170" t="str" cm="1">
        <f t="array" ref="K170">_xll.BDH(K$2 &amp; " US Equity","PX_LAST",$B170,$B170)</f>
        <v>#N/A N/A</v>
      </c>
      <c r="L170" t="str" cm="1">
        <f t="array" ref="L170">_xll.BDH(L$2 &amp; " US Equity","PX_LAST",$B170,$B170)</f>
        <v>#N/A N/A</v>
      </c>
      <c r="M170" t="str" cm="1">
        <f t="array" ref="M170">_xll.BDH(M$2 &amp; " US Equity","PX_LAST",$B170,$B170)</f>
        <v>#N/A N/A</v>
      </c>
      <c r="N170" t="str" cm="1">
        <f t="array" ref="N170">_xll.BDH(N$2 &amp; " US Equity","PX_LAST",$B170,$B170)</f>
        <v>#N/A N/A</v>
      </c>
      <c r="O170" t="str" cm="1">
        <f t="array" ref="O170">_xll.BDH(O$2 &amp; " US Equity","PX_LAST",$B170,$B170)</f>
        <v>#N/A N/A</v>
      </c>
      <c r="P170" t="str" cm="1">
        <f t="array" ref="P170">_xll.BDH(P$2 &amp; " US Equity","PX_LAST",$B170,$B170)</f>
        <v>#N/A N/A</v>
      </c>
      <c r="Q170" t="str" cm="1">
        <f t="array" ref="Q170">_xll.BDH(Q$2 &amp; " US Equity","PX_LAST",$B170,$B170)</f>
        <v>#N/A N/A</v>
      </c>
      <c r="R170" t="str" cm="1">
        <f t="array" ref="R170">_xll.BDH(R$2 &amp; " US Equity","PX_LAST",$B170,$B170)</f>
        <v>#N/A N/A</v>
      </c>
      <c r="S170" t="str" cm="1">
        <f t="array" ref="S170">_xll.BDH(S$2 &amp; " US Equity","PX_LAST",$B170,$B170)</f>
        <v>#N/A N/A</v>
      </c>
      <c r="T170" t="str" cm="1">
        <f t="array" ref="T170">_xll.BDH(T$2 &amp; " US Equity","PX_LAST",$B170,$B170)</f>
        <v>#N/A N/A</v>
      </c>
      <c r="U170" t="str" cm="1">
        <f t="array" ref="U170">_xll.BDH(U$2 &amp; " US Equity","PX_LAST",$B170,$B170)</f>
        <v>#N/A N/A</v>
      </c>
      <c r="V170" t="str" cm="1">
        <f t="array" ref="V170">_xll.BDH(V$2 &amp; " US Equity","PX_LAST",$B170,$B170)</f>
        <v>#N/A N/A</v>
      </c>
      <c r="W170" t="str" cm="1">
        <f t="array" ref="W170">_xll.BDH(W$2 &amp; " US Equity","PX_LAST",$B170,$B170)</f>
        <v>#N/A N/A</v>
      </c>
      <c r="X170" t="str" cm="1">
        <f t="array" ref="X170">_xll.BDH(X$2 &amp; " US Equity","PX_LAST",$B170,$B170)</f>
        <v>#N/A N/A</v>
      </c>
      <c r="Y170" t="str" cm="1">
        <f t="array" ref="Y170">_xll.BDH(Y$2 &amp; " US Equity","PX_LAST",$B170,$B170)</f>
        <v>#N/A N/A</v>
      </c>
      <c r="Z170" t="str" cm="1">
        <f t="array" ref="Z170">_xll.BDH(Z$2 &amp; " US Equity","PX_LAST",$B170,$B170)</f>
        <v>#N/A N/A</v>
      </c>
      <c r="AA170" t="str" cm="1">
        <f t="array" ref="AA170">_xll.BDH(AA$2 &amp; " PE Equity","PX_LAST",$B170,$B170)</f>
        <v>#N/A N/A</v>
      </c>
      <c r="AB170" t="str" cm="1">
        <f t="array" ref="AB170">_xll.BDH(AB$2 &amp; " PE Equity","PX_LAST",$B170,$B170)</f>
        <v>#N/A N/A</v>
      </c>
      <c r="AC170" t="str" cm="1">
        <f t="array" ref="AC170">_xll.BDH(AC$2 &amp; " US Equity","PX_LAST",$B170,$B170)</f>
        <v>#N/A N/A</v>
      </c>
      <c r="AD170" t="str" cm="1">
        <f t="array" ref="AD170">_xll.BDH(AD$2 &amp; " US Equity","PX_LAST",$B170,$B170)</f>
        <v>#N/A N/A</v>
      </c>
      <c r="AE170" t="str" cm="1">
        <f t="array" ref="AE170">_xll.BDH(AE$2 &amp; " PE Equity","PX_LAST",$B170,$B170)</f>
        <v>#N/A Connection</v>
      </c>
      <c r="AF170" t="str" cm="1">
        <f t="array" ref="AF170">_xll.BDH(AF$2 &amp; " US Equity","PX_LAST",$B170,$B170)</f>
        <v>#N/A N/A</v>
      </c>
      <c r="AG170" t="str" cm="1">
        <f t="array" ref="AG170">_xll.BDH(AG$2 &amp; " US Equity","PX_LAST",$B170,$B170)</f>
        <v>#N/A N/A</v>
      </c>
      <c r="AH170" t="str" cm="1">
        <f t="array" ref="AH170">_xll.BDH(AH$2 &amp; " US Equity","PX_LAST",$B170,$B170)</f>
        <v>#N/A N/A</v>
      </c>
      <c r="AI170" t="str" cm="1">
        <f t="array" ref="AI170">_xll.BDH(AI$2 &amp; " US Equity","PX_LAST",$B170,$B170)</f>
        <v>#N/A N/A</v>
      </c>
      <c r="AJ170" t="str" cm="1">
        <f t="array" ref="AJ170">_xll.BDH(AJ$2 &amp; " US Equity","PX_LAST",$B170,$B170)</f>
        <v>#N/A N/A</v>
      </c>
      <c r="AK170" t="str" cm="1">
        <f t="array" ref="AK170">_xll.BDH(AK$2 &amp; " US Equity","PX_LAST",$B170,$B170)</f>
        <v>#N/A N/A</v>
      </c>
      <c r="AL170" t="str" cm="1">
        <f t="array" ref="AL170">_xll.BDH(AL$2 &amp; " US Equity","PX_LAST",$B170,$B170)</f>
        <v>#N/A N/A</v>
      </c>
      <c r="AM170" t="str" cm="1">
        <f t="array" ref="AM170">_xll.BDH(AM$2 &amp; " US Equity","PX_LAST",$B170,$B170)</f>
        <v>#N/A N/A</v>
      </c>
      <c r="AN170" t="str" cm="1">
        <f t="array" ref="AN170">_xll.BDH(AN$2 &amp; " US Equity","PX_LAST",$B170,$B170)</f>
        <v>#N/A N/A</v>
      </c>
      <c r="AO170" t="str" cm="1">
        <f t="array" ref="AO170">_xll.BDH(AO$2 &amp; " US Equity","PX_LAST",$B170,$B170)</f>
        <v>#N/A N/A</v>
      </c>
      <c r="AP170" t="str" cm="1">
        <f t="array" ref="AP170">_xll.BDH(AP$2 &amp; " US Equity","PX_LAST",$B170,$B170)</f>
        <v>#N/A N/A</v>
      </c>
      <c r="AQ170" t="str" cm="1">
        <f t="array" ref="AQ170">_xll.BDH(AQ$2 &amp; " US Equity","PX_LAST",$B170,$B170)</f>
        <v>#N/A N/A</v>
      </c>
      <c r="AR170" t="str" cm="1">
        <f t="array" ref="AR170">_xll.BDH(AR$2 &amp; " US Equity","PX_LAST",$B170,$B170)</f>
        <v>#N/A N/A</v>
      </c>
      <c r="AS170" t="str" cm="1">
        <f t="array" ref="AS170">_xll.BDH(AS$2 &amp; " US Equity","PX_LAST",$B170,$B170)</f>
        <v>#N/A N/A</v>
      </c>
      <c r="AT170" t="str" cm="1">
        <f t="array" ref="AT170">_xll.BDH(AT$2 &amp; " US Equity","PX_LAST",$B170,$B170)</f>
        <v>#N/A N/A</v>
      </c>
      <c r="AU170" t="str" cm="1">
        <f t="array" ref="AU170">_xll.BDH(AU$2 &amp; " US Equity","PX_LAST",$B170,$B170)</f>
        <v>#N/A N/A</v>
      </c>
      <c r="AV170" t="str" cm="1">
        <f t="array" ref="AV170">_xll.BDH(AV$2 &amp; " US Equity","PX_LAST",$B170,$B170)</f>
        <v>#N/A N/A</v>
      </c>
      <c r="AW170" t="str" cm="1">
        <f t="array" ref="AW170">_xll.BDH(AW$2 &amp; " US Equity","PX_LAST",$B170,$B170)</f>
        <v>#N/A N/A</v>
      </c>
    </row>
    <row r="171" spans="2:49">
      <c r="B171" s="13">
        <v>46069</v>
      </c>
      <c r="C171" t="str" cm="1">
        <f t="array" ref="C171">_xll.BDH(C$2 &amp; " US Equity","PX_LAST",$B171,$B171)</f>
        <v>#N/A N/A</v>
      </c>
      <c r="D171" cm="1">
        <f t="array" ref="D171">_xll.BDH(D$2 &amp; " PE Equity","PX_LAST",$B171,$B171)</f>
        <v>6.75</v>
      </c>
      <c r="E171" t="str" cm="1">
        <f t="array" ref="E171">_xll.BDH(E$2 &amp; " PE Equity","PX_LAST",$B171,$B171)</f>
        <v>#N/A N/A</v>
      </c>
      <c r="F171" cm="1">
        <f t="array" ref="F171">_xll.BDH(F$2 &amp; " PE Equity","PX_LAST",$B171,$B171)</f>
        <v>3.09</v>
      </c>
      <c r="G171" t="str" cm="1">
        <f t="array" ref="G171">_xll.BDH(G$2 &amp; " US Equity","PX_LAST",$B171,$B171)</f>
        <v>#N/A N/A</v>
      </c>
      <c r="H171" cm="1">
        <f t="array" ref="H171">_xll.BDH(H$2 &amp; " PE Equity","PX_LAST",$B171,$B171)</f>
        <v>4.0999999999999996</v>
      </c>
      <c r="I171" t="str" cm="1">
        <f t="array" ref="I171">_xll.BDH(I$2 &amp; " US Equity","PX_LAST",$B171,$B171)</f>
        <v>#N/A N/A</v>
      </c>
      <c r="J171" t="str" cm="1">
        <f t="array" ref="J171">_xll.BDH(J$2 &amp; " US Equity","PX_LAST",$B171,$B171)</f>
        <v>#N/A N/A</v>
      </c>
      <c r="K171" t="str" cm="1">
        <f t="array" ref="K171">_xll.BDH(K$2 &amp; " US Equity","PX_LAST",$B171,$B171)</f>
        <v>#N/A N/A</v>
      </c>
      <c r="L171" t="str" cm="1">
        <f t="array" ref="L171">_xll.BDH(L$2 &amp; " US Equity","PX_LAST",$B171,$B171)</f>
        <v>#N/A N/A</v>
      </c>
      <c r="M171" t="str" cm="1">
        <f t="array" ref="M171">_xll.BDH(M$2 &amp; " US Equity","PX_LAST",$B171,$B171)</f>
        <v>#N/A N/A</v>
      </c>
      <c r="N171" t="str" cm="1">
        <f t="array" ref="N171">_xll.BDH(N$2 &amp; " US Equity","PX_LAST",$B171,$B171)</f>
        <v>#N/A N/A</v>
      </c>
      <c r="O171" t="str" cm="1">
        <f t="array" ref="O171">_xll.BDH(O$2 &amp; " US Equity","PX_LAST",$B171,$B171)</f>
        <v>#N/A N/A</v>
      </c>
      <c r="P171" t="str" cm="1">
        <f t="array" ref="P171">_xll.BDH(P$2 &amp; " US Equity","PX_LAST",$B171,$B171)</f>
        <v>#N/A N/A</v>
      </c>
      <c r="Q171" t="str" cm="1">
        <f t="array" ref="Q171">_xll.BDH(Q$2 &amp; " US Equity","PX_LAST",$B171,$B171)</f>
        <v>#N/A N/A</v>
      </c>
      <c r="R171" t="str" cm="1">
        <f t="array" ref="R171">_xll.BDH(R$2 &amp; " US Equity","PX_LAST",$B171,$B171)</f>
        <v>#N/A N/A</v>
      </c>
      <c r="S171" t="str" cm="1">
        <f t="array" ref="S171">_xll.BDH(S$2 &amp; " US Equity","PX_LAST",$B171,$B171)</f>
        <v>#N/A N/A</v>
      </c>
      <c r="T171" t="str" cm="1">
        <f t="array" ref="T171">_xll.BDH(T$2 &amp; " US Equity","PX_LAST",$B171,$B171)</f>
        <v>#N/A N/A</v>
      </c>
      <c r="U171" t="str" cm="1">
        <f t="array" ref="U171">_xll.BDH(U$2 &amp; " US Equity","PX_LAST",$B171,$B171)</f>
        <v>#N/A N/A</v>
      </c>
      <c r="V171" t="str" cm="1">
        <f t="array" ref="V171">_xll.BDH(V$2 &amp; " US Equity","PX_LAST",$B171,$B171)</f>
        <v>#N/A N/A</v>
      </c>
      <c r="W171" t="str" cm="1">
        <f t="array" ref="W171">_xll.BDH(W$2 &amp; " US Equity","PX_LAST",$B171,$B171)</f>
        <v>#N/A N/A</v>
      </c>
      <c r="X171" t="str" cm="1">
        <f t="array" ref="X171">_xll.BDH(X$2 &amp; " US Equity","PX_LAST",$B171,$B171)</f>
        <v>#N/A N/A</v>
      </c>
      <c r="Y171" t="str" cm="1">
        <f t="array" ref="Y171">_xll.BDH(Y$2 &amp; " US Equity","PX_LAST",$B171,$B171)</f>
        <v>#N/A N/A</v>
      </c>
      <c r="Z171" t="str" cm="1">
        <f t="array" ref="Z171">_xll.BDH(Z$2 &amp; " US Equity","PX_LAST",$B171,$B171)</f>
        <v>#N/A N/A</v>
      </c>
      <c r="AA171" cm="1">
        <f t="array" ref="AA171">_xll.BDH(AA$2 &amp; " PE Equity","PX_LAST",$B171,$B171)</f>
        <v>0.83</v>
      </c>
      <c r="AB171" cm="1">
        <f t="array" ref="AB171">_xll.BDH(AB$2 &amp; " PE Equity","PX_LAST",$B171,$B171)</f>
        <v>28.2</v>
      </c>
      <c r="AC171" t="str" cm="1">
        <f t="array" ref="AC171">_xll.BDH(AC$2 &amp; " US Equity","PX_LAST",$B171,$B171)</f>
        <v>#N/A N/A</v>
      </c>
      <c r="AD171" t="str" cm="1">
        <f t="array" ref="AD171">_xll.BDH(AD$2 &amp; " US Equity","PX_LAST",$B171,$B171)</f>
        <v>#N/A N/A</v>
      </c>
      <c r="AE171" t="str" cm="1">
        <f t="array" ref="AE171">_xll.BDH(AE$2 &amp; " PE Equity","PX_LAST",$B171,$B171)</f>
        <v>#N/A Connection</v>
      </c>
      <c r="AF171" t="str" cm="1">
        <f t="array" ref="AF171">_xll.BDH(AF$2 &amp; " US Equity","PX_LAST",$B171,$B171)</f>
        <v>#N/A N/A</v>
      </c>
      <c r="AG171" t="str" cm="1">
        <f t="array" ref="AG171">_xll.BDH(AG$2 &amp; " US Equity","PX_LAST",$B171,$B171)</f>
        <v>#N/A N/A</v>
      </c>
      <c r="AH171" t="str" cm="1">
        <f t="array" ref="AH171">_xll.BDH(AH$2 &amp; " US Equity","PX_LAST",$B171,$B171)</f>
        <v>#N/A N/A</v>
      </c>
      <c r="AI171" t="str" cm="1">
        <f t="array" ref="AI171">_xll.BDH(AI$2 &amp; " US Equity","PX_LAST",$B171,$B171)</f>
        <v>#N/A N/A</v>
      </c>
      <c r="AJ171" t="str" cm="1">
        <f t="array" ref="AJ171">_xll.BDH(AJ$2 &amp; " US Equity","PX_LAST",$B171,$B171)</f>
        <v>#N/A N/A</v>
      </c>
      <c r="AK171" t="str" cm="1">
        <f t="array" ref="AK171">_xll.BDH(AK$2 &amp; " US Equity","PX_LAST",$B171,$B171)</f>
        <v>#N/A N/A</v>
      </c>
      <c r="AL171" t="str" cm="1">
        <f t="array" ref="AL171">_xll.BDH(AL$2 &amp; " US Equity","PX_LAST",$B171,$B171)</f>
        <v>#N/A N/A</v>
      </c>
      <c r="AM171" t="str" cm="1">
        <f t="array" ref="AM171">_xll.BDH(AM$2 &amp; " US Equity","PX_LAST",$B171,$B171)</f>
        <v>#N/A N/A</v>
      </c>
      <c r="AN171" t="str" cm="1">
        <f t="array" ref="AN171">_xll.BDH(AN$2 &amp; " US Equity","PX_LAST",$B171,$B171)</f>
        <v>#N/A N/A</v>
      </c>
      <c r="AO171" t="str" cm="1">
        <f t="array" ref="AO171">_xll.BDH(AO$2 &amp; " US Equity","PX_LAST",$B171,$B171)</f>
        <v>#N/A N/A</v>
      </c>
      <c r="AP171" t="str" cm="1">
        <f t="array" ref="AP171">_xll.BDH(AP$2 &amp; " US Equity","PX_LAST",$B171,$B171)</f>
        <v>#N/A N/A</v>
      </c>
      <c r="AQ171" t="str" cm="1">
        <f t="array" ref="AQ171">_xll.BDH(AQ$2 &amp; " US Equity","PX_LAST",$B171,$B171)</f>
        <v>#N/A N/A</v>
      </c>
      <c r="AR171" t="str" cm="1">
        <f t="array" ref="AR171">_xll.BDH(AR$2 &amp; " US Equity","PX_LAST",$B171,$B171)</f>
        <v>#N/A N/A</v>
      </c>
      <c r="AS171" t="str" cm="1">
        <f t="array" ref="AS171">_xll.BDH(AS$2 &amp; " US Equity","PX_LAST",$B171,$B171)</f>
        <v>#N/A N/A</v>
      </c>
      <c r="AT171" t="str" cm="1">
        <f t="array" ref="AT171">_xll.BDH(AT$2 &amp; " US Equity","PX_LAST",$B171,$B171)</f>
        <v>#N/A N/A</v>
      </c>
      <c r="AU171" t="str" cm="1">
        <f t="array" ref="AU171">_xll.BDH(AU$2 &amp; " US Equity","PX_LAST",$B171,$B171)</f>
        <v>#N/A N/A</v>
      </c>
      <c r="AV171" t="str" cm="1">
        <f t="array" ref="AV171">_xll.BDH(AV$2 &amp; " US Equity","PX_LAST",$B171,$B171)</f>
        <v>#N/A N/A</v>
      </c>
      <c r="AW171" t="str" cm="1">
        <f t="array" ref="AW171">_xll.BDH(AW$2 &amp; " US Equity","PX_LAST",$B171,$B171)</f>
        <v>#N/A N/A</v>
      </c>
    </row>
    <row r="172" spans="2:49">
      <c r="B172" s="13">
        <v>46070</v>
      </c>
      <c r="C172" cm="1">
        <f t="array" ref="C172">_xll.BDH(C$2 &amp; " US Equity","PX_LAST",$B172,$B172)</f>
        <v>375.3</v>
      </c>
      <c r="D172" cm="1">
        <f t="array" ref="D172">_xll.BDH(D$2 &amp; " PE Equity","PX_LAST",$B172,$B172)</f>
        <v>6.71</v>
      </c>
      <c r="E172" cm="1">
        <f t="array" ref="E172">_xll.BDH(E$2 &amp; " PE Equity","PX_LAST",$B172,$B172)</f>
        <v>2.38</v>
      </c>
      <c r="F172" cm="1">
        <f t="array" ref="F172">_xll.BDH(F$2 &amp; " PE Equity","PX_LAST",$B172,$B172)</f>
        <v>3</v>
      </c>
      <c r="G172" cm="1">
        <f t="array" ref="G172">_xll.BDH(G$2 &amp; " US Equity","PX_LAST",$B172,$B172)</f>
        <v>17.84</v>
      </c>
      <c r="H172" cm="1">
        <f t="array" ref="H172">_xll.BDH(H$2 &amp; " PE Equity","PX_LAST",$B172,$B172)</f>
        <v>4.1500000000000004</v>
      </c>
      <c r="I172" cm="1">
        <f t="array" ref="I172">_xll.BDH(I$2 &amp; " US Equity","PX_LAST",$B172,$B172)</f>
        <v>59.87</v>
      </c>
      <c r="J172" cm="1">
        <f t="array" ref="J172">_xll.BDH(J$2 &amp; " US Equity","PX_LAST",$B172,$B172)</f>
        <v>9.17</v>
      </c>
      <c r="K172" cm="1">
        <f t="array" ref="K172">_xll.BDH(K$2 &amp; " US Equity","PX_LAST",$B172,$B172)</f>
        <v>56.5</v>
      </c>
      <c r="L172" cm="1">
        <f t="array" ref="L172">_xll.BDH(L$2 &amp; " US Equity","PX_LAST",$B172,$B172)</f>
        <v>60.87</v>
      </c>
      <c r="M172" cm="1">
        <f t="array" ref="M172">_xll.BDH(M$2 &amp; " US Equity","PX_LAST",$B172,$B172)</f>
        <v>333.18</v>
      </c>
      <c r="N172" cm="1">
        <f t="array" ref="N172">_xll.BDH(N$2 &amp; " US Equity","PX_LAST",$B172,$B172)</f>
        <v>37.33</v>
      </c>
      <c r="O172" cm="1">
        <f t="array" ref="O172">_xll.BDH(O$2 &amp; " US Equity","PX_LAST",$B172,$B172)</f>
        <v>37.74</v>
      </c>
      <c r="P172" cm="1">
        <f t="array" ref="P172">_xll.BDH(P$2 &amp; " US Equity","PX_LAST",$B172,$B172)</f>
        <v>18.73</v>
      </c>
      <c r="Q172" cm="1">
        <f t="array" ref="Q172">_xll.BDH(Q$2 &amp; " US Equity","PX_LAST",$B172,$B172)</f>
        <v>27.37</v>
      </c>
      <c r="R172" cm="1">
        <f t="array" ref="R172">_xll.BDH(R$2 &amp; " US Equity","PX_LAST",$B172,$B172)</f>
        <v>37.340000000000003</v>
      </c>
      <c r="S172" cm="1">
        <f t="array" ref="S172">_xll.BDH(S$2 &amp; " US Equity","PX_LAST",$B172,$B172)</f>
        <v>175.08</v>
      </c>
      <c r="T172" cm="1">
        <f t="array" ref="T172">_xll.BDH(T$2 &amp; " US Equity","PX_LAST",$B172,$B172)</f>
        <v>67.88</v>
      </c>
      <c r="U172" cm="1">
        <f t="array" ref="U172">_xll.BDH(U$2 &amp; " US Equity","PX_LAST",$B172,$B172)</f>
        <v>137.33000000000001</v>
      </c>
      <c r="V172" cm="1">
        <f t="array" ref="V172">_xll.BDH(V$2 &amp; " US Equity","PX_LAST",$B172,$B172)</f>
        <v>46.38</v>
      </c>
      <c r="W172" cm="1">
        <f t="array" ref="W172">_xll.BDH(W$2 &amp; " US Equity","PX_LAST",$B172,$B172)</f>
        <v>133.02000000000001</v>
      </c>
      <c r="X172" cm="1">
        <f t="array" ref="X172">_xll.BDH(X$2 &amp; " US Equity","PX_LAST",$B172,$B172)</f>
        <v>64.44</v>
      </c>
      <c r="Y172" cm="1">
        <f t="array" ref="Y172">_xll.BDH(Y$2 &amp; " US Equity","PX_LAST",$B172,$B172)</f>
        <v>47.05</v>
      </c>
      <c r="Z172" cm="1">
        <f t="array" ref="Z172">_xll.BDH(Z$2 &amp; " US Equity","PX_LAST",$B172,$B172)</f>
        <v>407.51</v>
      </c>
      <c r="AA172" cm="1">
        <f t="array" ref="AA172">_xll.BDH(AA$2 &amp; " PE Equity","PX_LAST",$B172,$B172)</f>
        <v>0.78</v>
      </c>
      <c r="AB172" cm="1">
        <f t="array" ref="AB172">_xll.BDH(AB$2 &amp; " PE Equity","PX_LAST",$B172,$B172)</f>
        <v>28.15</v>
      </c>
      <c r="AC172" cm="1">
        <f t="array" ref="AC172">_xll.BDH(AC$2 &amp; " US Equity","PX_LAST",$B172,$B172)</f>
        <v>75.92</v>
      </c>
      <c r="AD172" cm="1">
        <f t="array" ref="AD172">_xll.BDH(AD$2 &amp; " US Equity","PX_LAST",$B172,$B172)</f>
        <v>682.85</v>
      </c>
      <c r="AE172" t="str" cm="1">
        <f t="array" ref="AE172">_xll.BDH(AE$2 &amp; " PE Equity","PX_LAST",$B172,$B172)</f>
        <v>#N/A Connection</v>
      </c>
      <c r="AF172" cm="1">
        <f t="array" ref="AF172">_xll.BDH(AF$2 &amp; " US Equity","PX_LAST",$B172,$B172)</f>
        <v>59.2194</v>
      </c>
      <c r="AG172" cm="1">
        <f t="array" ref="AG172">_xll.BDH(AG$2 &amp; " US Equity","PX_LAST",$B172,$B172)</f>
        <v>14.94</v>
      </c>
      <c r="AH172" cm="1">
        <f t="array" ref="AH172">_xll.BDH(AH$2 &amp; " US Equity","PX_LAST",$B172,$B172)</f>
        <v>601.29999999999995</v>
      </c>
      <c r="AI172" cm="1">
        <f t="array" ref="AI172">_xll.BDH(AI$2 &amp; " US Equity","PX_LAST",$B172,$B172)</f>
        <v>103.27</v>
      </c>
      <c r="AJ172" cm="1">
        <f t="array" ref="AJ172">_xll.BDH(AJ$2 &amp; " US Equity","PX_LAST",$B172,$B172)</f>
        <v>105.44</v>
      </c>
      <c r="AK172" cm="1">
        <f t="array" ref="AK172">_xll.BDH(AK$2 &amp; " US Equity","PX_LAST",$B172,$B172)</f>
        <v>116.04</v>
      </c>
      <c r="AL172" cm="1">
        <f t="array" ref="AL172">_xll.BDH(AL$2 &amp; " US Equity","PX_LAST",$B172,$B172)</f>
        <v>201.15</v>
      </c>
      <c r="AM172" cm="1">
        <f t="array" ref="AM172">_xll.BDH(AM$2 &amp; " US Equity","PX_LAST",$B172,$B172)</f>
        <v>48.35</v>
      </c>
      <c r="AN172" cm="1">
        <f t="array" ref="AN172">_xll.BDH(AN$2 &amp; " US Equity","PX_LAST",$B172,$B172)</f>
        <v>23.932700000000001</v>
      </c>
      <c r="AO172" cm="1">
        <f t="array" ref="AO172">_xll.BDH(AO$2 &amp; " US Equity","PX_LAST",$B172,$B172)</f>
        <v>53.26</v>
      </c>
      <c r="AP172" cm="1">
        <f t="array" ref="AP172">_xll.BDH(AP$2 &amp; " US Equity","PX_LAST",$B172,$B172)</f>
        <v>4.96</v>
      </c>
      <c r="AQ172" cm="1">
        <f t="array" ref="AQ172">_xll.BDH(AQ$2 &amp; " US Equity","PX_LAST",$B172,$B172)</f>
        <v>107.52</v>
      </c>
      <c r="AR172" cm="1">
        <f t="array" ref="AR172">_xll.BDH(AR$2 &amp; " US Equity","PX_LAST",$B172,$B172)</f>
        <v>77.930000000000007</v>
      </c>
      <c r="AS172" cm="1">
        <f t="array" ref="AS172">_xll.BDH(AS$2 &amp; " US Equity","PX_LAST",$B172,$B172)</f>
        <v>77</v>
      </c>
      <c r="AT172" cm="1">
        <f t="array" ref="AT172">_xll.BDH(AT$2 &amp; " US Equity","PX_LAST",$B172,$B172)</f>
        <v>4.92</v>
      </c>
      <c r="AU172" cm="1">
        <f t="array" ref="AU172">_xll.BDH(AU$2 &amp; " US Equity","PX_LAST",$B172,$B172)</f>
        <v>289.08999999999997</v>
      </c>
      <c r="AV172" cm="1">
        <f t="array" ref="AV172">_xll.BDH(AV$2 &amp; " US Equity","PX_LAST",$B172,$B172)</f>
        <v>193.87</v>
      </c>
      <c r="AW172" cm="1">
        <f t="array" ref="AW172">_xll.BDH(AW$2 &amp; " US Equity","PX_LAST",$B172,$B172)</f>
        <v>102.55</v>
      </c>
    </row>
    <row r="173" spans="2:49">
      <c r="B173" s="13">
        <v>46071</v>
      </c>
      <c r="C173" cm="1">
        <f t="array" ref="C173">_xll.BDH(C$2 &amp; " US Equity","PX_LAST",$B173,$B173)</f>
        <v>383.08</v>
      </c>
      <c r="D173" cm="1">
        <f t="array" ref="D173">_xll.BDH(D$2 &amp; " PE Equity","PX_LAST",$B173,$B173)</f>
        <v>6.75</v>
      </c>
      <c r="E173" t="str" cm="1">
        <f t="array" ref="E173">_xll.BDH(E$2 &amp; " PE Equity","PX_LAST",$B173,$B173)</f>
        <v>#N/A N/A</v>
      </c>
      <c r="F173" cm="1">
        <f t="array" ref="F173">_xll.BDH(F$2 &amp; " PE Equity","PX_LAST",$B173,$B173)</f>
        <v>3.17</v>
      </c>
      <c r="G173" cm="1">
        <f t="array" ref="G173">_xll.BDH(G$2 &amp; " US Equity","PX_LAST",$B173,$B173)</f>
        <v>17.82</v>
      </c>
      <c r="H173" cm="1">
        <f t="array" ref="H173">_xll.BDH(H$2 &amp; " PE Equity","PX_LAST",$B173,$B173)</f>
        <v>4.1900000000000004</v>
      </c>
      <c r="I173" cm="1">
        <f t="array" ref="I173">_xll.BDH(I$2 &amp; " US Equity","PX_LAST",$B173,$B173)</f>
        <v>60.43</v>
      </c>
      <c r="J173" cm="1">
        <f t="array" ref="J173">_xll.BDH(J$2 &amp; " US Equity","PX_LAST",$B173,$B173)</f>
        <v>9.17</v>
      </c>
      <c r="K173" cm="1">
        <f t="array" ref="K173">_xll.BDH(K$2 &amp; " US Equity","PX_LAST",$B173,$B173)</f>
        <v>56.83</v>
      </c>
      <c r="L173" cm="1">
        <f t="array" ref="L173">_xll.BDH(L$2 &amp; " US Equity","PX_LAST",$B173,$B173)</f>
        <v>61.19</v>
      </c>
      <c r="M173" cm="1">
        <f t="array" ref="M173">_xll.BDH(M$2 &amp; " US Equity","PX_LAST",$B173,$B173)</f>
        <v>346</v>
      </c>
      <c r="N173" cm="1">
        <f t="array" ref="N173">_xll.BDH(N$2 &amp; " US Equity","PX_LAST",$B173,$B173)</f>
        <v>37.619999999999997</v>
      </c>
      <c r="O173" cm="1">
        <f t="array" ref="O173">_xll.BDH(O$2 &amp; " US Equity","PX_LAST",$B173,$B173)</f>
        <v>38.03</v>
      </c>
      <c r="P173" cm="1">
        <f t="array" ref="P173">_xll.BDH(P$2 &amp; " US Equity","PX_LAST",$B173,$B173)</f>
        <v>19.03</v>
      </c>
      <c r="Q173" cm="1">
        <f t="array" ref="Q173">_xll.BDH(Q$2 &amp; " US Equity","PX_LAST",$B173,$B173)</f>
        <v>27.37</v>
      </c>
      <c r="R173" cm="1">
        <f t="array" ref="R173">_xll.BDH(R$2 &amp; " US Equity","PX_LAST",$B173,$B173)</f>
        <v>37.79</v>
      </c>
      <c r="S173" cm="1">
        <f t="array" ref="S173">_xll.BDH(S$2 &amp; " US Equity","PX_LAST",$B173,$B173)</f>
        <v>175.04</v>
      </c>
      <c r="T173" cm="1">
        <f t="array" ref="T173">_xll.BDH(T$2 &amp; " US Equity","PX_LAST",$B173,$B173)</f>
        <v>68.12</v>
      </c>
      <c r="U173" cm="1">
        <f t="array" ref="U173">_xll.BDH(U$2 &amp; " US Equity","PX_LAST",$B173,$B173)</f>
        <v>137.87</v>
      </c>
      <c r="V173" cm="1">
        <f t="array" ref="V173">_xll.BDH(V$2 &amp; " US Equity","PX_LAST",$B173,$B173)</f>
        <v>45.61</v>
      </c>
      <c r="W173" cm="1">
        <f t="array" ref="W173">_xll.BDH(W$2 &amp; " US Equity","PX_LAST",$B173,$B173)</f>
        <v>135.38</v>
      </c>
      <c r="X173" cm="1">
        <f t="array" ref="X173">_xll.BDH(X$2 &amp; " US Equity","PX_LAST",$B173,$B173)</f>
        <v>64.260000000000005</v>
      </c>
      <c r="Y173" cm="1">
        <f t="array" ref="Y173">_xll.BDH(Y$2 &amp; " US Equity","PX_LAST",$B173,$B173)</f>
        <v>47.03</v>
      </c>
      <c r="Z173" cm="1">
        <f t="array" ref="Z173">_xll.BDH(Z$2 &amp; " US Equity","PX_LAST",$B173,$B173)</f>
        <v>412.55</v>
      </c>
      <c r="AA173" cm="1">
        <f t="array" ref="AA173">_xll.BDH(AA$2 &amp; " PE Equity","PX_LAST",$B173,$B173)</f>
        <v>0.78</v>
      </c>
      <c r="AB173" cm="1">
        <f t="array" ref="AB173">_xll.BDH(AB$2 &amp; " PE Equity","PX_LAST",$B173,$B173)</f>
        <v>28.1</v>
      </c>
      <c r="AC173" cm="1">
        <f t="array" ref="AC173">_xll.BDH(AC$2 &amp; " US Equity","PX_LAST",$B173,$B173)</f>
        <v>76.39</v>
      </c>
      <c r="AD173" cm="1">
        <f t="array" ref="AD173">_xll.BDH(AD$2 &amp; " US Equity","PX_LAST",$B173,$B173)</f>
        <v>686.29</v>
      </c>
      <c r="AE173" t="str" cm="1">
        <f t="array" ref="AE173">_xll.BDH(AE$2 &amp; " PE Equity","PX_LAST",$B173,$B173)</f>
        <v>#N/A Connection</v>
      </c>
      <c r="AF173" cm="1">
        <f t="array" ref="AF173">_xll.BDH(AF$2 &amp; " US Equity","PX_LAST",$B173,$B173)</f>
        <v>59.138500000000001</v>
      </c>
      <c r="AG173" cm="1">
        <f t="array" ref="AG173">_xll.BDH(AG$2 &amp; " US Equity","PX_LAST",$B173,$B173)</f>
        <v>15.1</v>
      </c>
      <c r="AH173" cm="1">
        <f t="array" ref="AH173">_xll.BDH(AH$2 &amp; " US Equity","PX_LAST",$B173,$B173)</f>
        <v>605.79</v>
      </c>
      <c r="AI173" cm="1">
        <f t="array" ref="AI173">_xll.BDH(AI$2 &amp; " US Equity","PX_LAST",$B173,$B173)</f>
        <v>104.33</v>
      </c>
      <c r="AJ173" cm="1">
        <f t="array" ref="AJ173">_xll.BDH(AJ$2 &amp; " US Equity","PX_LAST",$B173,$B173)</f>
        <v>107.1</v>
      </c>
      <c r="AK173" cm="1">
        <f t="array" ref="AK173">_xll.BDH(AK$2 &amp; " US Equity","PX_LAST",$B173,$B173)</f>
        <v>117.02</v>
      </c>
      <c r="AL173" cm="1">
        <f t="array" ref="AL173">_xll.BDH(AL$2 &amp; " US Equity","PX_LAST",$B173,$B173)</f>
        <v>204.79</v>
      </c>
      <c r="AM173" cm="1">
        <f t="array" ref="AM173">_xll.BDH(AM$2 &amp; " US Equity","PX_LAST",$B173,$B173)</f>
        <v>49.39</v>
      </c>
      <c r="AN173" cm="1">
        <f t="array" ref="AN173">_xll.BDH(AN$2 &amp; " US Equity","PX_LAST",$B173,$B173)</f>
        <v>23.9998</v>
      </c>
      <c r="AO173" cm="1">
        <f t="array" ref="AO173">_xll.BDH(AO$2 &amp; " US Equity","PX_LAST",$B173,$B173)</f>
        <v>53.68</v>
      </c>
      <c r="AP173" cm="1">
        <f t="array" ref="AP173">_xll.BDH(AP$2 &amp; " US Equity","PX_LAST",$B173,$B173)</f>
        <v>4.92</v>
      </c>
      <c r="AQ173" cm="1">
        <f t="array" ref="AQ173">_xll.BDH(AQ$2 &amp; " US Equity","PX_LAST",$B173,$B173)</f>
        <v>109.9</v>
      </c>
      <c r="AR173" cm="1">
        <f t="array" ref="AR173">_xll.BDH(AR$2 &amp; " US Equity","PX_LAST",$B173,$B173)</f>
        <v>77.87</v>
      </c>
      <c r="AS173" cm="1">
        <f t="array" ref="AS173">_xll.BDH(AS$2 &amp; " US Equity","PX_LAST",$B173,$B173)</f>
        <v>77.989999999999995</v>
      </c>
      <c r="AT173" cm="1">
        <f t="array" ref="AT173">_xll.BDH(AT$2 &amp; " US Equity","PX_LAST",$B173,$B173)</f>
        <v>4.91</v>
      </c>
      <c r="AU173" cm="1">
        <f t="array" ref="AU173">_xll.BDH(AU$2 &amp; " US Equity","PX_LAST",$B173,$B173)</f>
        <v>288.2</v>
      </c>
      <c r="AV173" cm="1">
        <f t="array" ref="AV173">_xll.BDH(AV$2 &amp; " US Equity","PX_LAST",$B173,$B173)</f>
        <v>199.13</v>
      </c>
      <c r="AW173" cm="1">
        <f t="array" ref="AW173">_xll.BDH(AW$2 &amp; " US Equity","PX_LAST",$B173,$B173)</f>
        <v>103.6</v>
      </c>
    </row>
    <row r="174" spans="2:49">
      <c r="B174" s="13">
        <v>46072</v>
      </c>
      <c r="C174" t="str" cm="1">
        <f t="array" ref="C174">_xll.BDH(C$2 &amp; " US Equity","PX_LAST",$B174,$B174)</f>
        <v>#N/A Connection</v>
      </c>
      <c r="D174" t="str" cm="1">
        <f t="array" ref="D174">_xll.BDH(D$2 &amp; " PE Equity","PX_LAST",$B174,$B174)</f>
        <v>#N/A Connection</v>
      </c>
      <c r="E174" t="str" cm="1">
        <f t="array" ref="E174">_xll.BDH(E$2 &amp; " PE Equity","PX_LAST",$B174,$B174)</f>
        <v>#N/A Connection</v>
      </c>
      <c r="F174" t="str" cm="1">
        <f t="array" ref="F174">_xll.BDH(F$2 &amp; " PE Equity","PX_LAST",$B174,$B174)</f>
        <v>#N/A Connection</v>
      </c>
      <c r="G174" t="str" cm="1">
        <f t="array" ref="G174">_xll.BDH(G$2 &amp; " US Equity","PX_LAST",$B174,$B174)</f>
        <v>#N/A Connection</v>
      </c>
      <c r="H174" t="str" cm="1">
        <f t="array" ref="H174">_xll.BDH(H$2 &amp; " PE Equity","PX_LAST",$B174,$B174)</f>
        <v>#N/A Connection</v>
      </c>
      <c r="I174" t="str" cm="1">
        <f t="array" ref="I174">_xll.BDH(I$2 &amp; " US Equity","PX_LAST",$B174,$B174)</f>
        <v>#N/A Connection</v>
      </c>
      <c r="J174" t="str" cm="1">
        <f t="array" ref="J174">_xll.BDH(J$2 &amp; " US Equity","PX_LAST",$B174,$B174)</f>
        <v>#N/A Connection</v>
      </c>
      <c r="K174" t="str" cm="1">
        <f t="array" ref="K174">_xll.BDH(K$2 &amp; " US Equity","PX_LAST",$B174,$B174)</f>
        <v>#N/A Connection</v>
      </c>
      <c r="L174" t="str" cm="1">
        <f t="array" ref="L174">_xll.BDH(L$2 &amp; " US Equity","PX_LAST",$B174,$B174)</f>
        <v>#N/A Connection</v>
      </c>
      <c r="M174" t="str" cm="1">
        <f t="array" ref="M174">_xll.BDH(M$2 &amp; " US Equity","PX_LAST",$B174,$B174)</f>
        <v>#N/A Connection</v>
      </c>
      <c r="N174" t="str" cm="1">
        <f t="array" ref="N174">_xll.BDH(N$2 &amp; " US Equity","PX_LAST",$B174,$B174)</f>
        <v>#N/A Connection</v>
      </c>
      <c r="O174" t="str" cm="1">
        <f t="array" ref="O174">_xll.BDH(O$2 &amp; " US Equity","PX_LAST",$B174,$B174)</f>
        <v>#N/A Connection</v>
      </c>
      <c r="P174" t="str" cm="1">
        <f t="array" ref="P174">_xll.BDH(P$2 &amp; " US Equity","PX_LAST",$B174,$B174)</f>
        <v>#N/A Connection</v>
      </c>
      <c r="Q174" t="str" cm="1">
        <f t="array" ref="Q174">_xll.BDH(Q$2 &amp; " US Equity","PX_LAST",$B174,$B174)</f>
        <v>#N/A Connection</v>
      </c>
      <c r="R174" t="str" cm="1">
        <f t="array" ref="R174">_xll.BDH(R$2 &amp; " US Equity","PX_LAST",$B174,$B174)</f>
        <v>#N/A Connection</v>
      </c>
      <c r="S174" t="str" cm="1">
        <f t="array" ref="S174">_xll.BDH(S$2 &amp; " US Equity","PX_LAST",$B174,$B174)</f>
        <v>#N/A Connection</v>
      </c>
      <c r="T174" t="str" cm="1">
        <f t="array" ref="T174">_xll.BDH(T$2 &amp; " US Equity","PX_LAST",$B174,$B174)</f>
        <v>#N/A Connection</v>
      </c>
      <c r="U174" t="str" cm="1">
        <f t="array" ref="U174">_xll.BDH(U$2 &amp; " US Equity","PX_LAST",$B174,$B174)</f>
        <v>#N/A Connection</v>
      </c>
      <c r="V174" t="str" cm="1">
        <f t="array" ref="V174">_xll.BDH(V$2 &amp; " US Equity","PX_LAST",$B174,$B174)</f>
        <v>#N/A Connection</v>
      </c>
      <c r="W174" t="str" cm="1">
        <f t="array" ref="W174">_xll.BDH(W$2 &amp; " US Equity","PX_LAST",$B174,$B174)</f>
        <v>#N/A Connection</v>
      </c>
      <c r="X174" t="str" cm="1">
        <f t="array" ref="X174">_xll.BDH(X$2 &amp; " US Equity","PX_LAST",$B174,$B174)</f>
        <v>#N/A Connection</v>
      </c>
      <c r="Y174" t="str" cm="1">
        <f t="array" ref="Y174">_xll.BDH(Y$2 &amp; " US Equity","PX_LAST",$B174,$B174)</f>
        <v>#N/A Connection</v>
      </c>
      <c r="Z174" t="str" cm="1">
        <f t="array" ref="Z174">_xll.BDH(Z$2 &amp; " US Equity","PX_LAST",$B174,$B174)</f>
        <v>#N/A Connection</v>
      </c>
      <c r="AA174" t="str" cm="1">
        <f t="array" ref="AA174">_xll.BDH(AA$2 &amp; " PE Equity","PX_LAST",$B174,$B174)</f>
        <v>#N/A Connection</v>
      </c>
      <c r="AB174" t="str" cm="1">
        <f t="array" ref="AB174">_xll.BDH(AB$2 &amp; " PE Equity","PX_LAST",$B174,$B174)</f>
        <v>#N/A Connection</v>
      </c>
      <c r="AC174" t="str" cm="1">
        <f t="array" ref="AC174">_xll.BDH(AC$2 &amp; " US Equity","PX_LAST",$B174,$B174)</f>
        <v>#N/A Connection</v>
      </c>
      <c r="AD174" t="str" cm="1">
        <f t="array" ref="AD174">_xll.BDH(AD$2 &amp; " US Equity","PX_LAST",$B174,$B174)</f>
        <v>#N/A Connection</v>
      </c>
      <c r="AE174" t="str" cm="1">
        <f t="array" ref="AE174">_xll.BDH(AE$2 &amp; " PE Equity","PX_LAST",$B174,$B174)</f>
        <v>#N/A Connection</v>
      </c>
      <c r="AF174" t="str" cm="1">
        <f t="array" ref="AF174">_xll.BDH(AF$2 &amp; " US Equity","PX_LAST",$B174,$B174)</f>
        <v>#N/A Connection</v>
      </c>
      <c r="AG174" t="str" cm="1">
        <f t="array" ref="AG174">_xll.BDH(AG$2 &amp; " US Equity","PX_LAST",$B174,$B174)</f>
        <v>#N/A Connection</v>
      </c>
      <c r="AH174" t="str" cm="1">
        <f t="array" ref="AH174">_xll.BDH(AH$2 &amp; " US Equity","PX_LAST",$B174,$B174)</f>
        <v>#N/A Connection</v>
      </c>
      <c r="AI174" t="str" cm="1">
        <f t="array" ref="AI174">_xll.BDH(AI$2 &amp; " US Equity","PX_LAST",$B174,$B174)</f>
        <v>#N/A Connection</v>
      </c>
      <c r="AJ174" t="str" cm="1">
        <f t="array" ref="AJ174">_xll.BDH(AJ$2 &amp; " US Equity","PX_LAST",$B174,$B174)</f>
        <v>#N/A Connection</v>
      </c>
      <c r="AK174" t="str" cm="1">
        <f t="array" ref="AK174">_xll.BDH(AK$2 &amp; " US Equity","PX_LAST",$B174,$B174)</f>
        <v>#N/A Connection</v>
      </c>
      <c r="AL174" t="str" cm="1">
        <f t="array" ref="AL174">_xll.BDH(AL$2 &amp; " US Equity","PX_LAST",$B174,$B174)</f>
        <v>#N/A Connection</v>
      </c>
      <c r="AM174" t="str" cm="1">
        <f t="array" ref="AM174">_xll.BDH(AM$2 &amp; " US Equity","PX_LAST",$B174,$B174)</f>
        <v>#N/A Connection</v>
      </c>
      <c r="AN174" t="str" cm="1">
        <f t="array" ref="AN174">_xll.BDH(AN$2 &amp; " US Equity","PX_LAST",$B174,$B174)</f>
        <v>#N/A Connection</v>
      </c>
      <c r="AO174" t="str" cm="1">
        <f t="array" ref="AO174">_xll.BDH(AO$2 &amp; " US Equity","PX_LAST",$B174,$B174)</f>
        <v>#N/A Connection</v>
      </c>
      <c r="AP174" t="str" cm="1">
        <f t="array" ref="AP174">_xll.BDH(AP$2 &amp; " US Equity","PX_LAST",$B174,$B174)</f>
        <v>#N/A Connection</v>
      </c>
      <c r="AQ174" t="str" cm="1">
        <f t="array" ref="AQ174">_xll.BDH(AQ$2 &amp; " US Equity","PX_LAST",$B174,$B174)</f>
        <v>#N/A Connection</v>
      </c>
      <c r="AR174" t="str" cm="1">
        <f t="array" ref="AR174">_xll.BDH(AR$2 &amp; " US Equity","PX_LAST",$B174,$B174)</f>
        <v>#N/A Connection</v>
      </c>
      <c r="AS174" t="str" cm="1">
        <f t="array" ref="AS174">_xll.BDH(AS$2 &amp; " US Equity","PX_LAST",$B174,$B174)</f>
        <v>#N/A Connection</v>
      </c>
      <c r="AT174" t="str" cm="1">
        <f t="array" ref="AT174">_xll.BDH(AT$2 &amp; " US Equity","PX_LAST",$B174,$B174)</f>
        <v>#N/A Connection</v>
      </c>
      <c r="AU174" t="str" cm="1">
        <f t="array" ref="AU174">_xll.BDH(AU$2 &amp; " US Equity","PX_LAST",$B174,$B174)</f>
        <v>#N/A Connection</v>
      </c>
      <c r="AV174" t="str" cm="1">
        <f t="array" ref="AV174">_xll.BDH(AV$2 &amp; " US Equity","PX_LAST",$B174,$B174)</f>
        <v>#N/A Connection</v>
      </c>
      <c r="AW174" t="str" cm="1">
        <f t="array" ref="AW174">_xll.BDH(AW$2 &amp; " US Equity","PX_LAST",$B174,$B174)</f>
        <v>#N/A Connection</v>
      </c>
    </row>
    <row r="175" spans="2:49">
      <c r="B175" s="13">
        <v>46073</v>
      </c>
      <c r="C175" t="str" cm="1">
        <f t="array" ref="C175">_xll.BDH(C$2 &amp; " US Equity","PX_LAST",$B175,$B175)</f>
        <v>#N/A Connection</v>
      </c>
      <c r="D175" t="str" cm="1">
        <f t="array" ref="D175">_xll.BDH(D$2 &amp; " PE Equity","PX_LAST",$B175,$B175)</f>
        <v>#N/A Connection</v>
      </c>
      <c r="E175" t="str" cm="1">
        <f t="array" ref="E175">_xll.BDH(E$2 &amp; " PE Equity","PX_LAST",$B175,$B175)</f>
        <v>#N/A Connection</v>
      </c>
      <c r="F175" t="str" cm="1">
        <f t="array" ref="F175">_xll.BDH(F$2 &amp; " PE Equity","PX_LAST",$B175,$B175)</f>
        <v>#N/A Connection</v>
      </c>
      <c r="G175" t="str" cm="1">
        <f t="array" ref="G175">_xll.BDH(G$2 &amp; " US Equity","PX_LAST",$B175,$B175)</f>
        <v>#N/A Connection</v>
      </c>
      <c r="H175" t="str" cm="1">
        <f t="array" ref="H175">_xll.BDH(H$2 &amp; " PE Equity","PX_LAST",$B175,$B175)</f>
        <v>#N/A Connection</v>
      </c>
      <c r="I175" t="str" cm="1">
        <f t="array" ref="I175">_xll.BDH(I$2 &amp; " US Equity","PX_LAST",$B175,$B175)</f>
        <v>#N/A Connection</v>
      </c>
      <c r="J175" t="str" cm="1">
        <f t="array" ref="J175">_xll.BDH(J$2 &amp; " US Equity","PX_LAST",$B175,$B175)</f>
        <v>#N/A Connection</v>
      </c>
      <c r="K175" t="str" cm="1">
        <f t="array" ref="K175">_xll.BDH(K$2 &amp; " US Equity","PX_LAST",$B175,$B175)</f>
        <v>#N/A Connection</v>
      </c>
      <c r="L175" t="str" cm="1">
        <f t="array" ref="L175">_xll.BDH(L$2 &amp; " US Equity","PX_LAST",$B175,$B175)</f>
        <v>#N/A Connection</v>
      </c>
      <c r="M175" t="str" cm="1">
        <f t="array" ref="M175">_xll.BDH(M$2 &amp; " US Equity","PX_LAST",$B175,$B175)</f>
        <v>#N/A Connection</v>
      </c>
      <c r="N175" t="str" cm="1">
        <f t="array" ref="N175">_xll.BDH(N$2 &amp; " US Equity","PX_LAST",$B175,$B175)</f>
        <v>#N/A Connection</v>
      </c>
      <c r="O175" t="str" cm="1">
        <f t="array" ref="O175">_xll.BDH(O$2 &amp; " US Equity","PX_LAST",$B175,$B175)</f>
        <v>#N/A Connection</v>
      </c>
      <c r="P175" t="str" cm="1">
        <f t="array" ref="P175">_xll.BDH(P$2 &amp; " US Equity","PX_LAST",$B175,$B175)</f>
        <v>#N/A Connection</v>
      </c>
      <c r="Q175" t="str" cm="1">
        <f t="array" ref="Q175">_xll.BDH(Q$2 &amp; " US Equity","PX_LAST",$B175,$B175)</f>
        <v>#N/A Connection</v>
      </c>
      <c r="R175" t="str" cm="1">
        <f t="array" ref="R175">_xll.BDH(R$2 &amp; " US Equity","PX_LAST",$B175,$B175)</f>
        <v>#N/A Connection</v>
      </c>
      <c r="S175" t="str" cm="1">
        <f t="array" ref="S175">_xll.BDH(S$2 &amp; " US Equity","PX_LAST",$B175,$B175)</f>
        <v>#N/A Connection</v>
      </c>
      <c r="T175" t="str" cm="1">
        <f t="array" ref="T175">_xll.BDH(T$2 &amp; " US Equity","PX_LAST",$B175,$B175)</f>
        <v>#N/A Connection</v>
      </c>
      <c r="U175" t="str" cm="1">
        <f t="array" ref="U175">_xll.BDH(U$2 &amp; " US Equity","PX_LAST",$B175,$B175)</f>
        <v>#N/A Connection</v>
      </c>
      <c r="V175" t="str" cm="1">
        <f t="array" ref="V175">_xll.BDH(V$2 &amp; " US Equity","PX_LAST",$B175,$B175)</f>
        <v>#N/A Connection</v>
      </c>
      <c r="W175" t="str" cm="1">
        <f t="array" ref="W175">_xll.BDH(W$2 &amp; " US Equity","PX_LAST",$B175,$B175)</f>
        <v>#N/A Connection</v>
      </c>
      <c r="X175" t="str" cm="1">
        <f t="array" ref="X175">_xll.BDH(X$2 &amp; " US Equity","PX_LAST",$B175,$B175)</f>
        <v>#N/A Connection</v>
      </c>
      <c r="Y175" t="str" cm="1">
        <f t="array" ref="Y175">_xll.BDH(Y$2 &amp; " US Equity","PX_LAST",$B175,$B175)</f>
        <v>#N/A Connection</v>
      </c>
      <c r="Z175" t="str" cm="1">
        <f t="array" ref="Z175">_xll.BDH(Z$2 &amp; " US Equity","PX_LAST",$B175,$B175)</f>
        <v>#N/A Connection</v>
      </c>
      <c r="AA175" t="str" cm="1">
        <f t="array" ref="AA175">_xll.BDH(AA$2 &amp; " PE Equity","PX_LAST",$B175,$B175)</f>
        <v>#N/A Connection</v>
      </c>
      <c r="AB175" t="str" cm="1">
        <f t="array" ref="AB175">_xll.BDH(AB$2 &amp; " PE Equity","PX_LAST",$B175,$B175)</f>
        <v>#N/A Connection</v>
      </c>
      <c r="AC175" t="str" cm="1">
        <f t="array" ref="AC175">_xll.BDH(AC$2 &amp; " US Equity","PX_LAST",$B175,$B175)</f>
        <v>#N/A Connection</v>
      </c>
      <c r="AD175" t="str" cm="1">
        <f t="array" ref="AD175">_xll.BDH(AD$2 &amp; " US Equity","PX_LAST",$B175,$B175)</f>
        <v>#N/A Connection</v>
      </c>
      <c r="AE175" t="str" cm="1">
        <f t="array" ref="AE175">_xll.BDH(AE$2 &amp; " PE Equity","PX_LAST",$B175,$B175)</f>
        <v>#N/A Connection</v>
      </c>
      <c r="AF175" t="str" cm="1">
        <f t="array" ref="AF175">_xll.BDH(AF$2 &amp; " US Equity","PX_LAST",$B175,$B175)</f>
        <v>#N/A Connection</v>
      </c>
      <c r="AG175" t="str" cm="1">
        <f t="array" ref="AG175">_xll.BDH(AG$2 &amp; " US Equity","PX_LAST",$B175,$B175)</f>
        <v>#N/A Connection</v>
      </c>
      <c r="AH175" t="str" cm="1">
        <f t="array" ref="AH175">_xll.BDH(AH$2 &amp; " US Equity","PX_LAST",$B175,$B175)</f>
        <v>#N/A Connection</v>
      </c>
      <c r="AI175" t="str" cm="1">
        <f t="array" ref="AI175">_xll.BDH(AI$2 &amp; " US Equity","PX_LAST",$B175,$B175)</f>
        <v>#N/A Connection</v>
      </c>
      <c r="AJ175" t="str" cm="1">
        <f t="array" ref="AJ175">_xll.BDH(AJ$2 &amp; " US Equity","PX_LAST",$B175,$B175)</f>
        <v>#N/A Connection</v>
      </c>
      <c r="AK175" t="str" cm="1">
        <f t="array" ref="AK175">_xll.BDH(AK$2 &amp; " US Equity","PX_LAST",$B175,$B175)</f>
        <v>#N/A Connection</v>
      </c>
      <c r="AL175" t="str" cm="1">
        <f t="array" ref="AL175">_xll.BDH(AL$2 &amp; " US Equity","PX_LAST",$B175,$B175)</f>
        <v>#N/A Connection</v>
      </c>
      <c r="AM175" t="str" cm="1">
        <f t="array" ref="AM175">_xll.BDH(AM$2 &amp; " US Equity","PX_LAST",$B175,$B175)</f>
        <v>#N/A Connection</v>
      </c>
      <c r="AN175" t="str" cm="1">
        <f t="array" ref="AN175">_xll.BDH(AN$2 &amp; " US Equity","PX_LAST",$B175,$B175)</f>
        <v>#N/A Connection</v>
      </c>
      <c r="AO175" t="str" cm="1">
        <f t="array" ref="AO175">_xll.BDH(AO$2 &amp; " US Equity","PX_LAST",$B175,$B175)</f>
        <v>#N/A Connection</v>
      </c>
      <c r="AP175" t="str" cm="1">
        <f t="array" ref="AP175">_xll.BDH(AP$2 &amp; " US Equity","PX_LAST",$B175,$B175)</f>
        <v>#N/A Connection</v>
      </c>
      <c r="AQ175" t="str" cm="1">
        <f t="array" ref="AQ175">_xll.BDH(AQ$2 &amp; " US Equity","PX_LAST",$B175,$B175)</f>
        <v>#N/A Connection</v>
      </c>
      <c r="AR175" t="str" cm="1">
        <f t="array" ref="AR175">_xll.BDH(AR$2 &amp; " US Equity","PX_LAST",$B175,$B175)</f>
        <v>#N/A Connection</v>
      </c>
      <c r="AS175" t="str" cm="1">
        <f t="array" ref="AS175">_xll.BDH(AS$2 &amp; " US Equity","PX_LAST",$B175,$B175)</f>
        <v>#N/A Connection</v>
      </c>
      <c r="AT175" t="str" cm="1">
        <f t="array" ref="AT175">_xll.BDH(AT$2 &amp; " US Equity","PX_LAST",$B175,$B175)</f>
        <v>#N/A Connection</v>
      </c>
      <c r="AU175" t="str" cm="1">
        <f t="array" ref="AU175">_xll.BDH(AU$2 &amp; " US Equity","PX_LAST",$B175,$B175)</f>
        <v>#N/A Connection</v>
      </c>
      <c r="AV175" t="str" cm="1">
        <f t="array" ref="AV175">_xll.BDH(AV$2 &amp; " US Equity","PX_LAST",$B175,$B175)</f>
        <v>#N/A Connection</v>
      </c>
      <c r="AW175" t="str" cm="1">
        <f t="array" ref="AW175">_xll.BDH(AW$2 &amp; " US Equity","PX_LAST",$B175,$B175)</f>
        <v>#N/A Connection</v>
      </c>
    </row>
    <row r="176" spans="2:49">
      <c r="B176" s="13">
        <v>46074</v>
      </c>
      <c r="C176" t="str" cm="1">
        <f t="array" ref="C176">_xll.BDH(C$2 &amp; " US Equity","PX_LAST",$B176,$B176)</f>
        <v>#N/A Connection</v>
      </c>
      <c r="D176" t="str" cm="1">
        <f t="array" ref="D176">_xll.BDH(D$2 &amp; " PE Equity","PX_LAST",$B176,$B176)</f>
        <v>#N/A Connection</v>
      </c>
      <c r="E176" t="str" cm="1">
        <f t="array" ref="E176">_xll.BDH(E$2 &amp; " PE Equity","PX_LAST",$B176,$B176)</f>
        <v>#N/A Connection</v>
      </c>
      <c r="F176" t="str" cm="1">
        <f t="array" ref="F176">_xll.BDH(F$2 &amp; " PE Equity","PX_LAST",$B176,$B176)</f>
        <v>#N/A Connection</v>
      </c>
      <c r="G176" t="str" cm="1">
        <f t="array" ref="G176">_xll.BDH(G$2 &amp; " US Equity","PX_LAST",$B176,$B176)</f>
        <v>#N/A Connection</v>
      </c>
      <c r="H176" t="str" cm="1">
        <f t="array" ref="H176">_xll.BDH(H$2 &amp; " PE Equity","PX_LAST",$B176,$B176)</f>
        <v>#N/A Connection</v>
      </c>
      <c r="I176" t="str" cm="1">
        <f t="array" ref="I176">_xll.BDH(I$2 &amp; " US Equity","PX_LAST",$B176,$B176)</f>
        <v>#N/A Connection</v>
      </c>
      <c r="J176" t="str" cm="1">
        <f t="array" ref="J176">_xll.BDH(J$2 &amp; " US Equity","PX_LAST",$B176,$B176)</f>
        <v>#N/A Connection</v>
      </c>
      <c r="K176" t="str" cm="1">
        <f t="array" ref="K176">_xll.BDH(K$2 &amp; " US Equity","PX_LAST",$B176,$B176)</f>
        <v>#N/A Connection</v>
      </c>
      <c r="L176" t="str" cm="1">
        <f t="array" ref="L176">_xll.BDH(L$2 &amp; " US Equity","PX_LAST",$B176,$B176)</f>
        <v>#N/A Connection</v>
      </c>
      <c r="M176" t="str" cm="1">
        <f t="array" ref="M176">_xll.BDH(M$2 &amp; " US Equity","PX_LAST",$B176,$B176)</f>
        <v>#N/A Connection</v>
      </c>
      <c r="N176" t="str" cm="1">
        <f t="array" ref="N176">_xll.BDH(N$2 &amp; " US Equity","PX_LAST",$B176,$B176)</f>
        <v>#N/A Connection</v>
      </c>
      <c r="O176" t="str" cm="1">
        <f t="array" ref="O176">_xll.BDH(O$2 &amp; " US Equity","PX_LAST",$B176,$B176)</f>
        <v>#N/A Connection</v>
      </c>
      <c r="P176" t="str" cm="1">
        <f t="array" ref="P176">_xll.BDH(P$2 &amp; " US Equity","PX_LAST",$B176,$B176)</f>
        <v>#N/A Connection</v>
      </c>
      <c r="Q176" t="str" cm="1">
        <f t="array" ref="Q176">_xll.BDH(Q$2 &amp; " US Equity","PX_LAST",$B176,$B176)</f>
        <v>#N/A Connection</v>
      </c>
      <c r="R176" t="str" cm="1">
        <f t="array" ref="R176">_xll.BDH(R$2 &amp; " US Equity","PX_LAST",$B176,$B176)</f>
        <v>#N/A Connection</v>
      </c>
      <c r="S176" t="str" cm="1">
        <f t="array" ref="S176">_xll.BDH(S$2 &amp; " US Equity","PX_LAST",$B176,$B176)</f>
        <v>#N/A Connection</v>
      </c>
      <c r="T176" t="str" cm="1">
        <f t="array" ref="T176">_xll.BDH(T$2 &amp; " US Equity","PX_LAST",$B176,$B176)</f>
        <v>#N/A Connection</v>
      </c>
      <c r="U176" t="str" cm="1">
        <f t="array" ref="U176">_xll.BDH(U$2 &amp; " US Equity","PX_LAST",$B176,$B176)</f>
        <v>#N/A Connection</v>
      </c>
      <c r="V176" t="str" cm="1">
        <f t="array" ref="V176">_xll.BDH(V$2 &amp; " US Equity","PX_LAST",$B176,$B176)</f>
        <v>#N/A Connection</v>
      </c>
      <c r="W176" t="str" cm="1">
        <f t="array" ref="W176">_xll.BDH(W$2 &amp; " US Equity","PX_LAST",$B176,$B176)</f>
        <v>#N/A Connection</v>
      </c>
      <c r="X176" t="str" cm="1">
        <f t="array" ref="X176">_xll.BDH(X$2 &amp; " US Equity","PX_LAST",$B176,$B176)</f>
        <v>#N/A Connection</v>
      </c>
      <c r="Y176" t="str" cm="1">
        <f t="array" ref="Y176">_xll.BDH(Y$2 &amp; " US Equity","PX_LAST",$B176,$B176)</f>
        <v>#N/A Connection</v>
      </c>
      <c r="Z176" t="str" cm="1">
        <f t="array" ref="Z176">_xll.BDH(Z$2 &amp; " US Equity","PX_LAST",$B176,$B176)</f>
        <v>#N/A Connection</v>
      </c>
      <c r="AA176" t="str" cm="1">
        <f t="array" ref="AA176">_xll.BDH(AA$2 &amp; " PE Equity","PX_LAST",$B176,$B176)</f>
        <v>#N/A Connection</v>
      </c>
      <c r="AB176" t="str" cm="1">
        <f t="array" ref="AB176">_xll.BDH(AB$2 &amp; " PE Equity","PX_LAST",$B176,$B176)</f>
        <v>#N/A Connection</v>
      </c>
      <c r="AC176" t="str" cm="1">
        <f t="array" ref="AC176">_xll.BDH(AC$2 &amp; " US Equity","PX_LAST",$B176,$B176)</f>
        <v>#N/A Connection</v>
      </c>
      <c r="AD176" t="str" cm="1">
        <f t="array" ref="AD176">_xll.BDH(AD$2 &amp; " US Equity","PX_LAST",$B176,$B176)</f>
        <v>#N/A Connection</v>
      </c>
      <c r="AE176" t="str" cm="1">
        <f t="array" ref="AE176">_xll.BDH(AE$2 &amp; " PE Equity","PX_LAST",$B176,$B176)</f>
        <v>#N/A Connection</v>
      </c>
      <c r="AF176" t="str" cm="1">
        <f t="array" ref="AF176">_xll.BDH(AF$2 &amp; " US Equity","PX_LAST",$B176,$B176)</f>
        <v>#N/A Connection</v>
      </c>
      <c r="AG176" t="str" cm="1">
        <f t="array" ref="AG176">_xll.BDH(AG$2 &amp; " US Equity","PX_LAST",$B176,$B176)</f>
        <v>#N/A Connection</v>
      </c>
      <c r="AH176" t="str" cm="1">
        <f t="array" ref="AH176">_xll.BDH(AH$2 &amp; " US Equity","PX_LAST",$B176,$B176)</f>
        <v>#N/A Connection</v>
      </c>
      <c r="AI176" t="str" cm="1">
        <f t="array" ref="AI176">_xll.BDH(AI$2 &amp; " US Equity","PX_LAST",$B176,$B176)</f>
        <v>#N/A Connection</v>
      </c>
      <c r="AJ176" t="str" cm="1">
        <f t="array" ref="AJ176">_xll.BDH(AJ$2 &amp; " US Equity","PX_LAST",$B176,$B176)</f>
        <v>#N/A Connection</v>
      </c>
      <c r="AK176" t="str" cm="1">
        <f t="array" ref="AK176">_xll.BDH(AK$2 &amp; " US Equity","PX_LAST",$B176,$B176)</f>
        <v>#N/A Connection</v>
      </c>
      <c r="AL176" t="str" cm="1">
        <f t="array" ref="AL176">_xll.BDH(AL$2 &amp; " US Equity","PX_LAST",$B176,$B176)</f>
        <v>#N/A Connection</v>
      </c>
      <c r="AM176" t="str" cm="1">
        <f t="array" ref="AM176">_xll.BDH(AM$2 &amp; " US Equity","PX_LAST",$B176,$B176)</f>
        <v>#N/A Connection</v>
      </c>
      <c r="AN176" t="str" cm="1">
        <f t="array" ref="AN176">_xll.BDH(AN$2 &amp; " US Equity","PX_LAST",$B176,$B176)</f>
        <v>#N/A Connection</v>
      </c>
      <c r="AO176" t="str" cm="1">
        <f t="array" ref="AO176">_xll.BDH(AO$2 &amp; " US Equity","PX_LAST",$B176,$B176)</f>
        <v>#N/A Connection</v>
      </c>
      <c r="AP176" t="str" cm="1">
        <f t="array" ref="AP176">_xll.BDH(AP$2 &amp; " US Equity","PX_LAST",$B176,$B176)</f>
        <v>#N/A Connection</v>
      </c>
      <c r="AQ176" t="str" cm="1">
        <f t="array" ref="AQ176">_xll.BDH(AQ$2 &amp; " US Equity","PX_LAST",$B176,$B176)</f>
        <v>#N/A Connection</v>
      </c>
      <c r="AR176" t="str" cm="1">
        <f t="array" ref="AR176">_xll.BDH(AR$2 &amp; " US Equity","PX_LAST",$B176,$B176)</f>
        <v>#N/A Connection</v>
      </c>
      <c r="AS176" t="str" cm="1">
        <f t="array" ref="AS176">_xll.BDH(AS$2 &amp; " US Equity","PX_LAST",$B176,$B176)</f>
        <v>#N/A Connection</v>
      </c>
      <c r="AT176" t="str" cm="1">
        <f t="array" ref="AT176">_xll.BDH(AT$2 &amp; " US Equity","PX_LAST",$B176,$B176)</f>
        <v>#N/A Connection</v>
      </c>
      <c r="AU176" t="str" cm="1">
        <f t="array" ref="AU176">_xll.BDH(AU$2 &amp; " US Equity","PX_LAST",$B176,$B176)</f>
        <v>#N/A Connection</v>
      </c>
      <c r="AV176" t="str" cm="1">
        <f t="array" ref="AV176">_xll.BDH(AV$2 &amp; " US Equity","PX_LAST",$B176,$B176)</f>
        <v>#N/A Connection</v>
      </c>
      <c r="AW176" t="str" cm="1">
        <f t="array" ref="AW176">_xll.BDH(AW$2 &amp; " US Equity","PX_LAST",$B176,$B176)</f>
        <v>#N/A Connection</v>
      </c>
    </row>
    <row r="177" spans="2:49">
      <c r="B177" s="13">
        <v>46075</v>
      </c>
      <c r="C177" t="str" cm="1">
        <f t="array" ref="C177">_xll.BDH(C$2 &amp; " US Equity","PX_LAST",$B177,$B177)</f>
        <v>#N/A Connection</v>
      </c>
      <c r="D177" t="str" cm="1">
        <f t="array" ref="D177">_xll.BDH(D$2 &amp; " PE Equity","PX_LAST",$B177,$B177)</f>
        <v>#N/A Connection</v>
      </c>
      <c r="E177" t="str" cm="1">
        <f t="array" ref="E177">_xll.BDH(E$2 &amp; " PE Equity","PX_LAST",$B177,$B177)</f>
        <v>#N/A Connection</v>
      </c>
      <c r="F177" t="str" cm="1">
        <f t="array" ref="F177">_xll.BDH(F$2 &amp; " PE Equity","PX_LAST",$B177,$B177)</f>
        <v>#N/A Connection</v>
      </c>
      <c r="G177" t="str" cm="1">
        <f t="array" ref="G177">_xll.BDH(G$2 &amp; " US Equity","PX_LAST",$B177,$B177)</f>
        <v>#N/A Connection</v>
      </c>
      <c r="H177" t="str" cm="1">
        <f t="array" ref="H177">_xll.BDH(H$2 &amp; " PE Equity","PX_LAST",$B177,$B177)</f>
        <v>#N/A Connection</v>
      </c>
      <c r="I177" t="str" cm="1">
        <f t="array" ref="I177">_xll.BDH(I$2 &amp; " US Equity","PX_LAST",$B177,$B177)</f>
        <v>#N/A Connection</v>
      </c>
      <c r="J177" t="str" cm="1">
        <f t="array" ref="J177">_xll.BDH(J$2 &amp; " US Equity","PX_LAST",$B177,$B177)</f>
        <v>#N/A Connection</v>
      </c>
      <c r="K177" t="str" cm="1">
        <f t="array" ref="K177">_xll.BDH(K$2 &amp; " US Equity","PX_LAST",$B177,$B177)</f>
        <v>#N/A Connection</v>
      </c>
      <c r="L177" t="str" cm="1">
        <f t="array" ref="L177">_xll.BDH(L$2 &amp; " US Equity","PX_LAST",$B177,$B177)</f>
        <v>#N/A Connection</v>
      </c>
      <c r="M177" t="str" cm="1">
        <f t="array" ref="M177">_xll.BDH(M$2 &amp; " US Equity","PX_LAST",$B177,$B177)</f>
        <v>#N/A Connection</v>
      </c>
      <c r="N177" t="str" cm="1">
        <f t="array" ref="N177">_xll.BDH(N$2 &amp; " US Equity","PX_LAST",$B177,$B177)</f>
        <v>#N/A Connection</v>
      </c>
      <c r="O177" t="str" cm="1">
        <f t="array" ref="O177">_xll.BDH(O$2 &amp; " US Equity","PX_LAST",$B177,$B177)</f>
        <v>#N/A Connection</v>
      </c>
      <c r="P177" t="str" cm="1">
        <f t="array" ref="P177">_xll.BDH(P$2 &amp; " US Equity","PX_LAST",$B177,$B177)</f>
        <v>#N/A Connection</v>
      </c>
      <c r="Q177" t="str" cm="1">
        <f t="array" ref="Q177">_xll.BDH(Q$2 &amp; " US Equity","PX_LAST",$B177,$B177)</f>
        <v>#N/A Connection</v>
      </c>
      <c r="R177" t="str" cm="1">
        <f t="array" ref="R177">_xll.BDH(R$2 &amp; " US Equity","PX_LAST",$B177,$B177)</f>
        <v>#N/A Connection</v>
      </c>
      <c r="S177" t="str" cm="1">
        <f t="array" ref="S177">_xll.BDH(S$2 &amp; " US Equity","PX_LAST",$B177,$B177)</f>
        <v>#N/A Connection</v>
      </c>
      <c r="T177" t="str" cm="1">
        <f t="array" ref="T177">_xll.BDH(T$2 &amp; " US Equity","PX_LAST",$B177,$B177)</f>
        <v>#N/A Connection</v>
      </c>
      <c r="U177" t="str" cm="1">
        <f t="array" ref="U177">_xll.BDH(U$2 &amp; " US Equity","PX_LAST",$B177,$B177)</f>
        <v>#N/A Connection</v>
      </c>
      <c r="V177" t="str" cm="1">
        <f t="array" ref="V177">_xll.BDH(V$2 &amp; " US Equity","PX_LAST",$B177,$B177)</f>
        <v>#N/A Connection</v>
      </c>
      <c r="W177" t="str" cm="1">
        <f t="array" ref="W177">_xll.BDH(W$2 &amp; " US Equity","PX_LAST",$B177,$B177)</f>
        <v>#N/A Connection</v>
      </c>
      <c r="X177" t="str" cm="1">
        <f t="array" ref="X177">_xll.BDH(X$2 &amp; " US Equity","PX_LAST",$B177,$B177)</f>
        <v>#N/A Connection</v>
      </c>
      <c r="Y177" t="str" cm="1">
        <f t="array" ref="Y177">_xll.BDH(Y$2 &amp; " US Equity","PX_LAST",$B177,$B177)</f>
        <v>#N/A Connection</v>
      </c>
      <c r="Z177" t="str" cm="1">
        <f t="array" ref="Z177">_xll.BDH(Z$2 &amp; " US Equity","PX_LAST",$B177,$B177)</f>
        <v>#N/A Connection</v>
      </c>
      <c r="AA177" t="str" cm="1">
        <f t="array" ref="AA177">_xll.BDH(AA$2 &amp; " PE Equity","PX_LAST",$B177,$B177)</f>
        <v>#N/A Connection</v>
      </c>
      <c r="AB177" t="str" cm="1">
        <f t="array" ref="AB177">_xll.BDH(AB$2 &amp; " PE Equity","PX_LAST",$B177,$B177)</f>
        <v>#N/A Connection</v>
      </c>
      <c r="AC177" t="str" cm="1">
        <f t="array" ref="AC177">_xll.BDH(AC$2 &amp; " US Equity","PX_LAST",$B177,$B177)</f>
        <v>#N/A Connection</v>
      </c>
      <c r="AD177" t="str" cm="1">
        <f t="array" ref="AD177">_xll.BDH(AD$2 &amp; " US Equity","PX_LAST",$B177,$B177)</f>
        <v>#N/A Connection</v>
      </c>
      <c r="AE177" t="str" cm="1">
        <f t="array" ref="AE177">_xll.BDH(AE$2 &amp; " PE Equity","PX_LAST",$B177,$B177)</f>
        <v>#N/A Connection</v>
      </c>
      <c r="AF177" t="str" cm="1">
        <f t="array" ref="AF177">_xll.BDH(AF$2 &amp; " US Equity","PX_LAST",$B177,$B177)</f>
        <v>#N/A Connection</v>
      </c>
      <c r="AG177" t="str" cm="1">
        <f t="array" ref="AG177">_xll.BDH(AG$2 &amp; " US Equity","PX_LAST",$B177,$B177)</f>
        <v>#N/A Connection</v>
      </c>
      <c r="AH177" t="str" cm="1">
        <f t="array" ref="AH177">_xll.BDH(AH$2 &amp; " US Equity","PX_LAST",$B177,$B177)</f>
        <v>#N/A Connection</v>
      </c>
      <c r="AI177" t="str" cm="1">
        <f t="array" ref="AI177">_xll.BDH(AI$2 &amp; " US Equity","PX_LAST",$B177,$B177)</f>
        <v>#N/A Connection</v>
      </c>
      <c r="AJ177" t="str" cm="1">
        <f t="array" ref="AJ177">_xll.BDH(AJ$2 &amp; " US Equity","PX_LAST",$B177,$B177)</f>
        <v>#N/A Connection</v>
      </c>
      <c r="AK177" t="str" cm="1">
        <f t="array" ref="AK177">_xll.BDH(AK$2 &amp; " US Equity","PX_LAST",$B177,$B177)</f>
        <v>#N/A Connection</v>
      </c>
      <c r="AL177" t="str" cm="1">
        <f t="array" ref="AL177">_xll.BDH(AL$2 &amp; " US Equity","PX_LAST",$B177,$B177)</f>
        <v>#N/A Connection</v>
      </c>
      <c r="AM177" t="str" cm="1">
        <f t="array" ref="AM177">_xll.BDH(AM$2 &amp; " US Equity","PX_LAST",$B177,$B177)</f>
        <v>#N/A Connection</v>
      </c>
      <c r="AN177" t="str" cm="1">
        <f t="array" ref="AN177">_xll.BDH(AN$2 &amp; " US Equity","PX_LAST",$B177,$B177)</f>
        <v>#N/A Connection</v>
      </c>
      <c r="AO177" t="str" cm="1">
        <f t="array" ref="AO177">_xll.BDH(AO$2 &amp; " US Equity","PX_LAST",$B177,$B177)</f>
        <v>#N/A Connection</v>
      </c>
      <c r="AP177" t="str" cm="1">
        <f t="array" ref="AP177">_xll.BDH(AP$2 &amp; " US Equity","PX_LAST",$B177,$B177)</f>
        <v>#N/A Connection</v>
      </c>
      <c r="AQ177" t="str" cm="1">
        <f t="array" ref="AQ177">_xll.BDH(AQ$2 &amp; " US Equity","PX_LAST",$B177,$B177)</f>
        <v>#N/A Connection</v>
      </c>
      <c r="AR177" t="str" cm="1">
        <f t="array" ref="AR177">_xll.BDH(AR$2 &amp; " US Equity","PX_LAST",$B177,$B177)</f>
        <v>#N/A Connection</v>
      </c>
      <c r="AS177" t="str" cm="1">
        <f t="array" ref="AS177">_xll.BDH(AS$2 &amp; " US Equity","PX_LAST",$B177,$B177)</f>
        <v>#N/A Connection</v>
      </c>
      <c r="AT177" t="str" cm="1">
        <f t="array" ref="AT177">_xll.BDH(AT$2 &amp; " US Equity","PX_LAST",$B177,$B177)</f>
        <v>#N/A Connection</v>
      </c>
      <c r="AU177" t="str" cm="1">
        <f t="array" ref="AU177">_xll.BDH(AU$2 &amp; " US Equity","PX_LAST",$B177,$B177)</f>
        <v>#N/A Connection</v>
      </c>
      <c r="AV177" t="str" cm="1">
        <f t="array" ref="AV177">_xll.BDH(AV$2 &amp; " US Equity","PX_LAST",$B177,$B177)</f>
        <v>#N/A Connection</v>
      </c>
      <c r="AW177" t="str" cm="1">
        <f t="array" ref="AW177">_xll.BDH(AW$2 &amp; " US Equity","PX_LAST",$B177,$B177)</f>
        <v>#N/A Connection</v>
      </c>
    </row>
    <row r="178" spans="2:49">
      <c r="B178" s="13">
        <v>46076</v>
      </c>
      <c r="C178" t="str" cm="1">
        <f t="array" ref="C178">_xll.BDH(C$2 &amp; " US Equity","PX_LAST",$B178,$B178)</f>
        <v>#N/A Connection</v>
      </c>
      <c r="D178" t="str" cm="1">
        <f t="array" ref="D178">_xll.BDH(D$2 &amp; " PE Equity","PX_LAST",$B178,$B178)</f>
        <v>#N/A Connection</v>
      </c>
      <c r="E178" t="str" cm="1">
        <f t="array" ref="E178">_xll.BDH(E$2 &amp; " PE Equity","PX_LAST",$B178,$B178)</f>
        <v>#N/A Connection</v>
      </c>
      <c r="F178" t="str" cm="1">
        <f t="array" ref="F178">_xll.BDH(F$2 &amp; " PE Equity","PX_LAST",$B178,$B178)</f>
        <v>#N/A Connection</v>
      </c>
      <c r="G178" t="str" cm="1">
        <f t="array" ref="G178">_xll.BDH(G$2 &amp; " US Equity","PX_LAST",$B178,$B178)</f>
        <v>#N/A Connection</v>
      </c>
      <c r="H178" t="str" cm="1">
        <f t="array" ref="H178">_xll.BDH(H$2 &amp; " PE Equity","PX_LAST",$B178,$B178)</f>
        <v>#N/A Connection</v>
      </c>
      <c r="I178" t="str" cm="1">
        <f t="array" ref="I178">_xll.BDH(I$2 &amp; " US Equity","PX_LAST",$B178,$B178)</f>
        <v>#N/A Connection</v>
      </c>
      <c r="J178" t="str" cm="1">
        <f t="array" ref="J178">_xll.BDH(J$2 &amp; " US Equity","PX_LAST",$B178,$B178)</f>
        <v>#N/A Connection</v>
      </c>
      <c r="K178" t="str" cm="1">
        <f t="array" ref="K178">_xll.BDH(K$2 &amp; " US Equity","PX_LAST",$B178,$B178)</f>
        <v>#N/A Connection</v>
      </c>
      <c r="L178" t="str" cm="1">
        <f t="array" ref="L178">_xll.BDH(L$2 &amp; " US Equity","PX_LAST",$B178,$B178)</f>
        <v>#N/A Connection</v>
      </c>
      <c r="M178" t="str" cm="1">
        <f t="array" ref="M178">_xll.BDH(M$2 &amp; " US Equity","PX_LAST",$B178,$B178)</f>
        <v>#N/A Connection</v>
      </c>
      <c r="N178" t="str" cm="1">
        <f t="array" ref="N178">_xll.BDH(N$2 &amp; " US Equity","PX_LAST",$B178,$B178)</f>
        <v>#N/A Connection</v>
      </c>
      <c r="O178" t="str" cm="1">
        <f t="array" ref="O178">_xll.BDH(O$2 &amp; " US Equity","PX_LAST",$B178,$B178)</f>
        <v>#N/A Connection</v>
      </c>
      <c r="P178" t="str" cm="1">
        <f t="array" ref="P178">_xll.BDH(P$2 &amp; " US Equity","PX_LAST",$B178,$B178)</f>
        <v>#N/A Connection</v>
      </c>
      <c r="Q178" t="str" cm="1">
        <f t="array" ref="Q178">_xll.BDH(Q$2 &amp; " US Equity","PX_LAST",$B178,$B178)</f>
        <v>#N/A Connection</v>
      </c>
      <c r="R178" t="str" cm="1">
        <f t="array" ref="R178">_xll.BDH(R$2 &amp; " US Equity","PX_LAST",$B178,$B178)</f>
        <v>#N/A Connection</v>
      </c>
      <c r="S178" t="str" cm="1">
        <f t="array" ref="S178">_xll.BDH(S$2 &amp; " US Equity","PX_LAST",$B178,$B178)</f>
        <v>#N/A Connection</v>
      </c>
      <c r="T178" t="str" cm="1">
        <f t="array" ref="T178">_xll.BDH(T$2 &amp; " US Equity","PX_LAST",$B178,$B178)</f>
        <v>#N/A Connection</v>
      </c>
      <c r="U178" t="str" cm="1">
        <f t="array" ref="U178">_xll.BDH(U$2 &amp; " US Equity","PX_LAST",$B178,$B178)</f>
        <v>#N/A Connection</v>
      </c>
      <c r="V178" t="str" cm="1">
        <f t="array" ref="V178">_xll.BDH(V$2 &amp; " US Equity","PX_LAST",$B178,$B178)</f>
        <v>#N/A Connection</v>
      </c>
      <c r="W178" t="str" cm="1">
        <f t="array" ref="W178">_xll.BDH(W$2 &amp; " US Equity","PX_LAST",$B178,$B178)</f>
        <v>#N/A Connection</v>
      </c>
      <c r="X178" t="str" cm="1">
        <f t="array" ref="X178">_xll.BDH(X$2 &amp; " US Equity","PX_LAST",$B178,$B178)</f>
        <v>#N/A Connection</v>
      </c>
      <c r="Y178" t="str" cm="1">
        <f t="array" ref="Y178">_xll.BDH(Y$2 &amp; " US Equity","PX_LAST",$B178,$B178)</f>
        <v>#N/A Connection</v>
      </c>
      <c r="Z178" t="str" cm="1">
        <f t="array" ref="Z178">_xll.BDH(Z$2 &amp; " US Equity","PX_LAST",$B178,$B178)</f>
        <v>#N/A Connection</v>
      </c>
      <c r="AA178" t="str" cm="1">
        <f t="array" ref="AA178">_xll.BDH(AA$2 &amp; " PE Equity","PX_LAST",$B178,$B178)</f>
        <v>#N/A Connection</v>
      </c>
      <c r="AB178" t="str" cm="1">
        <f t="array" ref="AB178">_xll.BDH(AB$2 &amp; " PE Equity","PX_LAST",$B178,$B178)</f>
        <v>#N/A Connection</v>
      </c>
      <c r="AC178" t="str" cm="1">
        <f t="array" ref="AC178">_xll.BDH(AC$2 &amp; " US Equity","PX_LAST",$B178,$B178)</f>
        <v>#N/A Connection</v>
      </c>
      <c r="AD178" t="str" cm="1">
        <f t="array" ref="AD178">_xll.BDH(AD$2 &amp; " US Equity","PX_LAST",$B178,$B178)</f>
        <v>#N/A Connection</v>
      </c>
      <c r="AE178" t="str" cm="1">
        <f t="array" ref="AE178">_xll.BDH(AE$2 &amp; " PE Equity","PX_LAST",$B178,$B178)</f>
        <v>#N/A Connection</v>
      </c>
      <c r="AF178" t="str" cm="1">
        <f t="array" ref="AF178">_xll.BDH(AF$2 &amp; " US Equity","PX_LAST",$B178,$B178)</f>
        <v>#N/A Connection</v>
      </c>
      <c r="AG178" t="str" cm="1">
        <f t="array" ref="AG178">_xll.BDH(AG$2 &amp; " US Equity","PX_LAST",$B178,$B178)</f>
        <v>#N/A Connection</v>
      </c>
      <c r="AH178" t="str" cm="1">
        <f t="array" ref="AH178">_xll.BDH(AH$2 &amp; " US Equity","PX_LAST",$B178,$B178)</f>
        <v>#N/A Connection</v>
      </c>
      <c r="AI178" t="str" cm="1">
        <f t="array" ref="AI178">_xll.BDH(AI$2 &amp; " US Equity","PX_LAST",$B178,$B178)</f>
        <v>#N/A Connection</v>
      </c>
      <c r="AJ178" t="str" cm="1">
        <f t="array" ref="AJ178">_xll.BDH(AJ$2 &amp; " US Equity","PX_LAST",$B178,$B178)</f>
        <v>#N/A Connection</v>
      </c>
      <c r="AK178" t="str" cm="1">
        <f t="array" ref="AK178">_xll.BDH(AK$2 &amp; " US Equity","PX_LAST",$B178,$B178)</f>
        <v>#N/A Connection</v>
      </c>
      <c r="AL178" t="str" cm="1">
        <f t="array" ref="AL178">_xll.BDH(AL$2 &amp; " US Equity","PX_LAST",$B178,$B178)</f>
        <v>#N/A Connection</v>
      </c>
      <c r="AM178" t="str" cm="1">
        <f t="array" ref="AM178">_xll.BDH(AM$2 &amp; " US Equity","PX_LAST",$B178,$B178)</f>
        <v>#N/A Connection</v>
      </c>
      <c r="AN178" t="str" cm="1">
        <f t="array" ref="AN178">_xll.BDH(AN$2 &amp; " US Equity","PX_LAST",$B178,$B178)</f>
        <v>#N/A Connection</v>
      </c>
      <c r="AO178" t="str" cm="1">
        <f t="array" ref="AO178">_xll.BDH(AO$2 &amp; " US Equity","PX_LAST",$B178,$B178)</f>
        <v>#N/A Connection</v>
      </c>
      <c r="AP178" t="str" cm="1">
        <f t="array" ref="AP178">_xll.BDH(AP$2 &amp; " US Equity","PX_LAST",$B178,$B178)</f>
        <v>#N/A Connection</v>
      </c>
      <c r="AQ178" t="str" cm="1">
        <f t="array" ref="AQ178">_xll.BDH(AQ$2 &amp; " US Equity","PX_LAST",$B178,$B178)</f>
        <v>#N/A Connection</v>
      </c>
      <c r="AR178" t="str" cm="1">
        <f t="array" ref="AR178">_xll.BDH(AR$2 &amp; " US Equity","PX_LAST",$B178,$B178)</f>
        <v>#N/A Connection</v>
      </c>
      <c r="AS178" t="str" cm="1">
        <f t="array" ref="AS178">_xll.BDH(AS$2 &amp; " US Equity","PX_LAST",$B178,$B178)</f>
        <v>#N/A Connection</v>
      </c>
      <c r="AT178" t="str" cm="1">
        <f t="array" ref="AT178">_xll.BDH(AT$2 &amp; " US Equity","PX_LAST",$B178,$B178)</f>
        <v>#N/A Connection</v>
      </c>
      <c r="AU178" t="str" cm="1">
        <f t="array" ref="AU178">_xll.BDH(AU$2 &amp; " US Equity","PX_LAST",$B178,$B178)</f>
        <v>#N/A Connection</v>
      </c>
      <c r="AV178" t="str" cm="1">
        <f t="array" ref="AV178">_xll.BDH(AV$2 &amp; " US Equity","PX_LAST",$B178,$B178)</f>
        <v>#N/A Connection</v>
      </c>
      <c r="AW178" t="str" cm="1">
        <f t="array" ref="AW178">_xll.BDH(AW$2 &amp; " US Equity","PX_LAST",$B178,$B178)</f>
        <v>#N/A Connection</v>
      </c>
    </row>
    <row r="179" spans="2:49">
      <c r="B179" s="13">
        <v>46077</v>
      </c>
      <c r="C179" t="str" cm="1">
        <f t="array" ref="C179">_xll.BDH(C$2 &amp; " US Equity","PX_LAST",$B179,$B179)</f>
        <v>#N/A Connection</v>
      </c>
      <c r="D179" t="str" cm="1">
        <f t="array" ref="D179">_xll.BDH(D$2 &amp; " PE Equity","PX_LAST",$B179,$B179)</f>
        <v>#N/A Connection</v>
      </c>
      <c r="E179" t="str" cm="1">
        <f t="array" ref="E179">_xll.BDH(E$2 &amp; " PE Equity","PX_LAST",$B179,$B179)</f>
        <v>#N/A Connection</v>
      </c>
      <c r="F179" t="str" cm="1">
        <f t="array" ref="F179">_xll.BDH(F$2 &amp; " PE Equity","PX_LAST",$B179,$B179)</f>
        <v>#N/A Connection</v>
      </c>
      <c r="G179" t="str" cm="1">
        <f t="array" ref="G179">_xll.BDH(G$2 &amp; " US Equity","PX_LAST",$B179,$B179)</f>
        <v>#N/A Connection</v>
      </c>
      <c r="H179" t="str" cm="1">
        <f t="array" ref="H179">_xll.BDH(H$2 &amp; " PE Equity","PX_LAST",$B179,$B179)</f>
        <v>#N/A Connection</v>
      </c>
      <c r="I179" t="str" cm="1">
        <f t="array" ref="I179">_xll.BDH(I$2 &amp; " US Equity","PX_LAST",$B179,$B179)</f>
        <v>#N/A Connection</v>
      </c>
      <c r="J179" t="str" cm="1">
        <f t="array" ref="J179">_xll.BDH(J$2 &amp; " US Equity","PX_LAST",$B179,$B179)</f>
        <v>#N/A Connection</v>
      </c>
      <c r="K179" t="str" cm="1">
        <f t="array" ref="K179">_xll.BDH(K$2 &amp; " US Equity","PX_LAST",$B179,$B179)</f>
        <v>#N/A Connection</v>
      </c>
      <c r="L179" t="str" cm="1">
        <f t="array" ref="L179">_xll.BDH(L$2 &amp; " US Equity","PX_LAST",$B179,$B179)</f>
        <v>#N/A Connection</v>
      </c>
      <c r="M179" t="str" cm="1">
        <f t="array" ref="M179">_xll.BDH(M$2 &amp; " US Equity","PX_LAST",$B179,$B179)</f>
        <v>#N/A Connection</v>
      </c>
      <c r="N179" t="str" cm="1">
        <f t="array" ref="N179">_xll.BDH(N$2 &amp; " US Equity","PX_LAST",$B179,$B179)</f>
        <v>#N/A Connection</v>
      </c>
      <c r="O179" t="str" cm="1">
        <f t="array" ref="O179">_xll.BDH(O$2 &amp; " US Equity","PX_LAST",$B179,$B179)</f>
        <v>#N/A Connection</v>
      </c>
      <c r="P179" t="str" cm="1">
        <f t="array" ref="P179">_xll.BDH(P$2 &amp; " US Equity","PX_LAST",$B179,$B179)</f>
        <v>#N/A Connection</v>
      </c>
      <c r="Q179" t="str" cm="1">
        <f t="array" ref="Q179">_xll.BDH(Q$2 &amp; " US Equity","PX_LAST",$B179,$B179)</f>
        <v>#N/A Connection</v>
      </c>
      <c r="R179" t="str" cm="1">
        <f t="array" ref="R179">_xll.BDH(R$2 &amp; " US Equity","PX_LAST",$B179,$B179)</f>
        <v>#N/A Connection</v>
      </c>
      <c r="S179" t="str" cm="1">
        <f t="array" ref="S179">_xll.BDH(S$2 &amp; " US Equity","PX_LAST",$B179,$B179)</f>
        <v>#N/A Connection</v>
      </c>
      <c r="T179" t="str" cm="1">
        <f t="array" ref="T179">_xll.BDH(T$2 &amp; " US Equity","PX_LAST",$B179,$B179)</f>
        <v>#N/A Connection</v>
      </c>
      <c r="U179" t="str" cm="1">
        <f t="array" ref="U179">_xll.BDH(U$2 &amp; " US Equity","PX_LAST",$B179,$B179)</f>
        <v>#N/A Connection</v>
      </c>
      <c r="V179" t="str" cm="1">
        <f t="array" ref="V179">_xll.BDH(V$2 &amp; " US Equity","PX_LAST",$B179,$B179)</f>
        <v>#N/A Connection</v>
      </c>
      <c r="W179" t="str" cm="1">
        <f t="array" ref="W179">_xll.BDH(W$2 &amp; " US Equity","PX_LAST",$B179,$B179)</f>
        <v>#N/A Connection</v>
      </c>
      <c r="X179" t="str" cm="1">
        <f t="array" ref="X179">_xll.BDH(X$2 &amp; " US Equity","PX_LAST",$B179,$B179)</f>
        <v>#N/A Connection</v>
      </c>
      <c r="Y179" t="str" cm="1">
        <f t="array" ref="Y179">_xll.BDH(Y$2 &amp; " US Equity","PX_LAST",$B179,$B179)</f>
        <v>#N/A Connection</v>
      </c>
      <c r="Z179" t="str" cm="1">
        <f t="array" ref="Z179">_xll.BDH(Z$2 &amp; " US Equity","PX_LAST",$B179,$B179)</f>
        <v>#N/A Connection</v>
      </c>
      <c r="AA179" t="str" cm="1">
        <f t="array" ref="AA179">_xll.BDH(AA$2 &amp; " PE Equity","PX_LAST",$B179,$B179)</f>
        <v>#N/A Connection</v>
      </c>
      <c r="AB179" t="str" cm="1">
        <f t="array" ref="AB179">_xll.BDH(AB$2 &amp; " PE Equity","PX_LAST",$B179,$B179)</f>
        <v>#N/A Connection</v>
      </c>
      <c r="AC179" t="str" cm="1">
        <f t="array" ref="AC179">_xll.BDH(AC$2 &amp; " US Equity","PX_LAST",$B179,$B179)</f>
        <v>#N/A Connection</v>
      </c>
      <c r="AD179" t="str" cm="1">
        <f t="array" ref="AD179">_xll.BDH(AD$2 &amp; " US Equity","PX_LAST",$B179,$B179)</f>
        <v>#N/A Connection</v>
      </c>
      <c r="AE179" t="str" cm="1">
        <f t="array" ref="AE179">_xll.BDH(AE$2 &amp; " PE Equity","PX_LAST",$B179,$B179)</f>
        <v>#N/A Connection</v>
      </c>
      <c r="AF179" t="str" cm="1">
        <f t="array" ref="AF179">_xll.BDH(AF$2 &amp; " US Equity","PX_LAST",$B179,$B179)</f>
        <v>#N/A Connection</v>
      </c>
      <c r="AG179" t="str" cm="1">
        <f t="array" ref="AG179">_xll.BDH(AG$2 &amp; " US Equity","PX_LAST",$B179,$B179)</f>
        <v>#N/A Connection</v>
      </c>
      <c r="AH179" t="str" cm="1">
        <f t="array" ref="AH179">_xll.BDH(AH$2 &amp; " US Equity","PX_LAST",$B179,$B179)</f>
        <v>#N/A Connection</v>
      </c>
      <c r="AI179" t="str" cm="1">
        <f t="array" ref="AI179">_xll.BDH(AI$2 &amp; " US Equity","PX_LAST",$B179,$B179)</f>
        <v>#N/A Connection</v>
      </c>
      <c r="AJ179" t="str" cm="1">
        <f t="array" ref="AJ179">_xll.BDH(AJ$2 &amp; " US Equity","PX_LAST",$B179,$B179)</f>
        <v>#N/A Connection</v>
      </c>
      <c r="AK179" t="str" cm="1">
        <f t="array" ref="AK179">_xll.BDH(AK$2 &amp; " US Equity","PX_LAST",$B179,$B179)</f>
        <v>#N/A Connection</v>
      </c>
      <c r="AL179" t="str" cm="1">
        <f t="array" ref="AL179">_xll.BDH(AL$2 &amp; " US Equity","PX_LAST",$B179,$B179)</f>
        <v>#N/A Connection</v>
      </c>
      <c r="AM179" t="str" cm="1">
        <f t="array" ref="AM179">_xll.BDH(AM$2 &amp; " US Equity","PX_LAST",$B179,$B179)</f>
        <v>#N/A Connection</v>
      </c>
      <c r="AN179" t="str" cm="1">
        <f t="array" ref="AN179">_xll.BDH(AN$2 &amp; " US Equity","PX_LAST",$B179,$B179)</f>
        <v>#N/A Connection</v>
      </c>
      <c r="AO179" t="str" cm="1">
        <f t="array" ref="AO179">_xll.BDH(AO$2 &amp; " US Equity","PX_LAST",$B179,$B179)</f>
        <v>#N/A Connection</v>
      </c>
      <c r="AP179" t="str" cm="1">
        <f t="array" ref="AP179">_xll.BDH(AP$2 &amp; " US Equity","PX_LAST",$B179,$B179)</f>
        <v>#N/A Connection</v>
      </c>
      <c r="AQ179" t="str" cm="1">
        <f t="array" ref="AQ179">_xll.BDH(AQ$2 &amp; " US Equity","PX_LAST",$B179,$B179)</f>
        <v>#N/A Connection</v>
      </c>
      <c r="AR179" t="str" cm="1">
        <f t="array" ref="AR179">_xll.BDH(AR$2 &amp; " US Equity","PX_LAST",$B179,$B179)</f>
        <v>#N/A Connection</v>
      </c>
      <c r="AS179" t="str" cm="1">
        <f t="array" ref="AS179">_xll.BDH(AS$2 &amp; " US Equity","PX_LAST",$B179,$B179)</f>
        <v>#N/A Connection</v>
      </c>
      <c r="AT179" t="str" cm="1">
        <f t="array" ref="AT179">_xll.BDH(AT$2 &amp; " US Equity","PX_LAST",$B179,$B179)</f>
        <v>#N/A Connection</v>
      </c>
      <c r="AU179" t="str" cm="1">
        <f t="array" ref="AU179">_xll.BDH(AU$2 &amp; " US Equity","PX_LAST",$B179,$B179)</f>
        <v>#N/A Connection</v>
      </c>
      <c r="AV179" t="str" cm="1">
        <f t="array" ref="AV179">_xll.BDH(AV$2 &amp; " US Equity","PX_LAST",$B179,$B179)</f>
        <v>#N/A Connection</v>
      </c>
      <c r="AW179" t="str" cm="1">
        <f t="array" ref="AW179">_xll.BDH(AW$2 &amp; " US Equity","PX_LAST",$B179,$B179)</f>
        <v>#N/A Connection</v>
      </c>
    </row>
    <row r="180" spans="2:49">
      <c r="B180" s="13">
        <v>46078</v>
      </c>
      <c r="C180" t="str" cm="1">
        <f t="array" ref="C180">_xll.BDH(C$2 &amp; " US Equity","PX_LAST",$B180,$B180)</f>
        <v>#N/A Connection</v>
      </c>
      <c r="D180" t="str" cm="1">
        <f t="array" ref="D180">_xll.BDH(D$2 &amp; " PE Equity","PX_LAST",$B180,$B180)</f>
        <v>#N/A Connection</v>
      </c>
      <c r="E180" t="str" cm="1">
        <f t="array" ref="E180">_xll.BDH(E$2 &amp; " PE Equity","PX_LAST",$B180,$B180)</f>
        <v>#N/A Connection</v>
      </c>
      <c r="F180" t="str" cm="1">
        <f t="array" ref="F180">_xll.BDH(F$2 &amp; " PE Equity","PX_LAST",$B180,$B180)</f>
        <v>#N/A Connection</v>
      </c>
      <c r="G180" t="str" cm="1">
        <f t="array" ref="G180">_xll.BDH(G$2 &amp; " US Equity","PX_LAST",$B180,$B180)</f>
        <v>#N/A Connection</v>
      </c>
      <c r="H180" t="str" cm="1">
        <f t="array" ref="H180">_xll.BDH(H$2 &amp; " PE Equity","PX_LAST",$B180,$B180)</f>
        <v>#N/A Connection</v>
      </c>
      <c r="I180" t="str" cm="1">
        <f t="array" ref="I180">_xll.BDH(I$2 &amp; " US Equity","PX_LAST",$B180,$B180)</f>
        <v>#N/A Connection</v>
      </c>
      <c r="J180" t="str" cm="1">
        <f t="array" ref="J180">_xll.BDH(J$2 &amp; " US Equity","PX_LAST",$B180,$B180)</f>
        <v>#N/A Connection</v>
      </c>
      <c r="K180" t="str" cm="1">
        <f t="array" ref="K180">_xll.BDH(K$2 &amp; " US Equity","PX_LAST",$B180,$B180)</f>
        <v>#N/A Connection</v>
      </c>
      <c r="L180" t="str" cm="1">
        <f t="array" ref="L180">_xll.BDH(L$2 &amp; " US Equity","PX_LAST",$B180,$B180)</f>
        <v>#N/A Connection</v>
      </c>
      <c r="M180" t="str" cm="1">
        <f t="array" ref="M180">_xll.BDH(M$2 &amp; " US Equity","PX_LAST",$B180,$B180)</f>
        <v>#N/A Connection</v>
      </c>
      <c r="N180" t="str" cm="1">
        <f t="array" ref="N180">_xll.BDH(N$2 &amp; " US Equity","PX_LAST",$B180,$B180)</f>
        <v>#N/A Connection</v>
      </c>
      <c r="O180" t="str" cm="1">
        <f t="array" ref="O180">_xll.BDH(O$2 &amp; " US Equity","PX_LAST",$B180,$B180)</f>
        <v>#N/A Connection</v>
      </c>
      <c r="P180" t="str" cm="1">
        <f t="array" ref="P180">_xll.BDH(P$2 &amp; " US Equity","PX_LAST",$B180,$B180)</f>
        <v>#N/A Connection</v>
      </c>
      <c r="Q180" t="str" cm="1">
        <f t="array" ref="Q180">_xll.BDH(Q$2 &amp; " US Equity","PX_LAST",$B180,$B180)</f>
        <v>#N/A Connection</v>
      </c>
      <c r="R180" t="str" cm="1">
        <f t="array" ref="R180">_xll.BDH(R$2 &amp; " US Equity","PX_LAST",$B180,$B180)</f>
        <v>#N/A Connection</v>
      </c>
      <c r="S180" t="str" cm="1">
        <f t="array" ref="S180">_xll.BDH(S$2 &amp; " US Equity","PX_LAST",$B180,$B180)</f>
        <v>#N/A Connection</v>
      </c>
      <c r="T180" t="str" cm="1">
        <f t="array" ref="T180">_xll.BDH(T$2 &amp; " US Equity","PX_LAST",$B180,$B180)</f>
        <v>#N/A Connection</v>
      </c>
      <c r="U180" t="str" cm="1">
        <f t="array" ref="U180">_xll.BDH(U$2 &amp; " US Equity","PX_LAST",$B180,$B180)</f>
        <v>#N/A Connection</v>
      </c>
      <c r="V180" t="str" cm="1">
        <f t="array" ref="V180">_xll.BDH(V$2 &amp; " US Equity","PX_LAST",$B180,$B180)</f>
        <v>#N/A Connection</v>
      </c>
      <c r="W180" t="str" cm="1">
        <f t="array" ref="W180">_xll.BDH(W$2 &amp; " US Equity","PX_LAST",$B180,$B180)</f>
        <v>#N/A Connection</v>
      </c>
      <c r="X180" t="str" cm="1">
        <f t="array" ref="X180">_xll.BDH(X$2 &amp; " US Equity","PX_LAST",$B180,$B180)</f>
        <v>#N/A Connection</v>
      </c>
      <c r="Y180" t="str" cm="1">
        <f t="array" ref="Y180">_xll.BDH(Y$2 &amp; " US Equity","PX_LAST",$B180,$B180)</f>
        <v>#N/A Connection</v>
      </c>
      <c r="Z180" t="str" cm="1">
        <f t="array" ref="Z180">_xll.BDH(Z$2 &amp; " US Equity","PX_LAST",$B180,$B180)</f>
        <v>#N/A Connection</v>
      </c>
      <c r="AA180" t="str" cm="1">
        <f t="array" ref="AA180">_xll.BDH(AA$2 &amp; " PE Equity","PX_LAST",$B180,$B180)</f>
        <v>#N/A Connection</v>
      </c>
      <c r="AB180" t="str" cm="1">
        <f t="array" ref="AB180">_xll.BDH(AB$2 &amp; " PE Equity","PX_LAST",$B180,$B180)</f>
        <v>#N/A Connection</v>
      </c>
      <c r="AC180" t="str" cm="1">
        <f t="array" ref="AC180">_xll.BDH(AC$2 &amp; " US Equity","PX_LAST",$B180,$B180)</f>
        <v>#N/A Connection</v>
      </c>
      <c r="AD180" t="str" cm="1">
        <f t="array" ref="AD180">_xll.BDH(AD$2 &amp; " US Equity","PX_LAST",$B180,$B180)</f>
        <v>#N/A Connection</v>
      </c>
      <c r="AE180" t="str" cm="1">
        <f t="array" ref="AE180">_xll.BDH(AE$2 &amp; " PE Equity","PX_LAST",$B180,$B180)</f>
        <v>#N/A Connection</v>
      </c>
      <c r="AF180" t="str" cm="1">
        <f t="array" ref="AF180">_xll.BDH(AF$2 &amp; " US Equity","PX_LAST",$B180,$B180)</f>
        <v>#N/A Connection</v>
      </c>
      <c r="AG180" t="str" cm="1">
        <f t="array" ref="AG180">_xll.BDH(AG$2 &amp; " US Equity","PX_LAST",$B180,$B180)</f>
        <v>#N/A Connection</v>
      </c>
      <c r="AH180" t="str" cm="1">
        <f t="array" ref="AH180">_xll.BDH(AH$2 &amp; " US Equity","PX_LAST",$B180,$B180)</f>
        <v>#N/A Connection</v>
      </c>
      <c r="AI180" t="str" cm="1">
        <f t="array" ref="AI180">_xll.BDH(AI$2 &amp; " US Equity","PX_LAST",$B180,$B180)</f>
        <v>#N/A Connection</v>
      </c>
      <c r="AJ180" t="str" cm="1">
        <f t="array" ref="AJ180">_xll.BDH(AJ$2 &amp; " US Equity","PX_LAST",$B180,$B180)</f>
        <v>#N/A Connection</v>
      </c>
      <c r="AK180" t="str" cm="1">
        <f t="array" ref="AK180">_xll.BDH(AK$2 &amp; " US Equity","PX_LAST",$B180,$B180)</f>
        <v>#N/A Connection</v>
      </c>
      <c r="AL180" t="str" cm="1">
        <f t="array" ref="AL180">_xll.BDH(AL$2 &amp; " US Equity","PX_LAST",$B180,$B180)</f>
        <v>#N/A Connection</v>
      </c>
      <c r="AM180" t="str" cm="1">
        <f t="array" ref="AM180">_xll.BDH(AM$2 &amp; " US Equity","PX_LAST",$B180,$B180)</f>
        <v>#N/A Connection</v>
      </c>
      <c r="AN180" t="str" cm="1">
        <f t="array" ref="AN180">_xll.BDH(AN$2 &amp; " US Equity","PX_LAST",$B180,$B180)</f>
        <v>#N/A Connection</v>
      </c>
      <c r="AO180" t="str" cm="1">
        <f t="array" ref="AO180">_xll.BDH(AO$2 &amp; " US Equity","PX_LAST",$B180,$B180)</f>
        <v>#N/A Connection</v>
      </c>
      <c r="AP180" t="str" cm="1">
        <f t="array" ref="AP180">_xll.BDH(AP$2 &amp; " US Equity","PX_LAST",$B180,$B180)</f>
        <v>#N/A Connection</v>
      </c>
      <c r="AQ180" t="str" cm="1">
        <f t="array" ref="AQ180">_xll.BDH(AQ$2 &amp; " US Equity","PX_LAST",$B180,$B180)</f>
        <v>#N/A Connection</v>
      </c>
      <c r="AR180" t="str" cm="1">
        <f t="array" ref="AR180">_xll.BDH(AR$2 &amp; " US Equity","PX_LAST",$B180,$B180)</f>
        <v>#N/A Connection</v>
      </c>
      <c r="AS180" t="str" cm="1">
        <f t="array" ref="AS180">_xll.BDH(AS$2 &amp; " US Equity","PX_LAST",$B180,$B180)</f>
        <v>#N/A Connection</v>
      </c>
      <c r="AT180" t="str" cm="1">
        <f t="array" ref="AT180">_xll.BDH(AT$2 &amp; " US Equity","PX_LAST",$B180,$B180)</f>
        <v>#N/A Connection</v>
      </c>
      <c r="AU180" t="str" cm="1">
        <f t="array" ref="AU180">_xll.BDH(AU$2 &amp; " US Equity","PX_LAST",$B180,$B180)</f>
        <v>#N/A Connection</v>
      </c>
      <c r="AV180" t="str" cm="1">
        <f t="array" ref="AV180">_xll.BDH(AV$2 &amp; " US Equity","PX_LAST",$B180,$B180)</f>
        <v>#N/A Connection</v>
      </c>
      <c r="AW180" t="str" cm="1">
        <f t="array" ref="AW180">_xll.BDH(AW$2 &amp; " US Equity","PX_LAST",$B180,$B180)</f>
        <v>#N/A Connection</v>
      </c>
    </row>
    <row r="181" spans="2:49">
      <c r="B181" s="13">
        <v>46079</v>
      </c>
      <c r="C181" t="str" cm="1">
        <f t="array" ref="C181">_xll.BDH(C$2 &amp; " US Equity","PX_LAST",$B181,$B181)</f>
        <v>#N/A Connection</v>
      </c>
      <c r="D181" t="str" cm="1">
        <f t="array" ref="D181">_xll.BDH(D$2 &amp; " PE Equity","PX_LAST",$B181,$B181)</f>
        <v>#N/A Connection</v>
      </c>
      <c r="E181" t="str" cm="1">
        <f t="array" ref="E181">_xll.BDH(E$2 &amp; " PE Equity","PX_LAST",$B181,$B181)</f>
        <v>#N/A Connection</v>
      </c>
      <c r="F181" t="str" cm="1">
        <f t="array" ref="F181">_xll.BDH(F$2 &amp; " PE Equity","PX_LAST",$B181,$B181)</f>
        <v>#N/A Connection</v>
      </c>
      <c r="G181" t="str" cm="1">
        <f t="array" ref="G181">_xll.BDH(G$2 &amp; " US Equity","PX_LAST",$B181,$B181)</f>
        <v>#N/A Connection</v>
      </c>
      <c r="H181" t="str" cm="1">
        <f t="array" ref="H181">_xll.BDH(H$2 &amp; " PE Equity","PX_LAST",$B181,$B181)</f>
        <v>#N/A Connection</v>
      </c>
      <c r="I181" t="str" cm="1">
        <f t="array" ref="I181">_xll.BDH(I$2 &amp; " US Equity","PX_LAST",$B181,$B181)</f>
        <v>#N/A Connection</v>
      </c>
      <c r="J181" t="str" cm="1">
        <f t="array" ref="J181">_xll.BDH(J$2 &amp; " US Equity","PX_LAST",$B181,$B181)</f>
        <v>#N/A Connection</v>
      </c>
      <c r="K181" t="str" cm="1">
        <f t="array" ref="K181">_xll.BDH(K$2 &amp; " US Equity","PX_LAST",$B181,$B181)</f>
        <v>#N/A Connection</v>
      </c>
      <c r="L181" t="str" cm="1">
        <f t="array" ref="L181">_xll.BDH(L$2 &amp; " US Equity","PX_LAST",$B181,$B181)</f>
        <v>#N/A Connection</v>
      </c>
      <c r="M181" t="str" cm="1">
        <f t="array" ref="M181">_xll.BDH(M$2 &amp; " US Equity","PX_LAST",$B181,$B181)</f>
        <v>#N/A Connection</v>
      </c>
      <c r="N181" t="str" cm="1">
        <f t="array" ref="N181">_xll.BDH(N$2 &amp; " US Equity","PX_LAST",$B181,$B181)</f>
        <v>#N/A Connection</v>
      </c>
      <c r="O181" t="str" cm="1">
        <f t="array" ref="O181">_xll.BDH(O$2 &amp; " US Equity","PX_LAST",$B181,$B181)</f>
        <v>#N/A Connection</v>
      </c>
      <c r="P181" t="str" cm="1">
        <f t="array" ref="P181">_xll.BDH(P$2 &amp; " US Equity","PX_LAST",$B181,$B181)</f>
        <v>#N/A Connection</v>
      </c>
      <c r="Q181" t="str" cm="1">
        <f t="array" ref="Q181">_xll.BDH(Q$2 &amp; " US Equity","PX_LAST",$B181,$B181)</f>
        <v>#N/A Connection</v>
      </c>
      <c r="R181" t="str" cm="1">
        <f t="array" ref="R181">_xll.BDH(R$2 &amp; " US Equity","PX_LAST",$B181,$B181)</f>
        <v>#N/A Connection</v>
      </c>
      <c r="S181" t="str" cm="1">
        <f t="array" ref="S181">_xll.BDH(S$2 &amp; " US Equity","PX_LAST",$B181,$B181)</f>
        <v>#N/A Connection</v>
      </c>
      <c r="T181" t="str" cm="1">
        <f t="array" ref="T181">_xll.BDH(T$2 &amp; " US Equity","PX_LAST",$B181,$B181)</f>
        <v>#N/A Connection</v>
      </c>
      <c r="U181" t="str" cm="1">
        <f t="array" ref="U181">_xll.BDH(U$2 &amp; " US Equity","PX_LAST",$B181,$B181)</f>
        <v>#N/A Connection</v>
      </c>
      <c r="V181" t="str" cm="1">
        <f t="array" ref="V181">_xll.BDH(V$2 &amp; " US Equity","PX_LAST",$B181,$B181)</f>
        <v>#N/A Connection</v>
      </c>
      <c r="W181" t="str" cm="1">
        <f t="array" ref="W181">_xll.BDH(W$2 &amp; " US Equity","PX_LAST",$B181,$B181)</f>
        <v>#N/A Connection</v>
      </c>
      <c r="X181" t="str" cm="1">
        <f t="array" ref="X181">_xll.BDH(X$2 &amp; " US Equity","PX_LAST",$B181,$B181)</f>
        <v>#N/A Connection</v>
      </c>
      <c r="Y181" t="str" cm="1">
        <f t="array" ref="Y181">_xll.BDH(Y$2 &amp; " US Equity","PX_LAST",$B181,$B181)</f>
        <v>#N/A Connection</v>
      </c>
      <c r="Z181" t="str" cm="1">
        <f t="array" ref="Z181">_xll.BDH(Z$2 &amp; " US Equity","PX_LAST",$B181,$B181)</f>
        <v>#N/A Connection</v>
      </c>
      <c r="AA181" t="str" cm="1">
        <f t="array" ref="AA181">_xll.BDH(AA$2 &amp; " PE Equity","PX_LAST",$B181,$B181)</f>
        <v>#N/A Connection</v>
      </c>
      <c r="AB181" t="str" cm="1">
        <f t="array" ref="AB181">_xll.BDH(AB$2 &amp; " PE Equity","PX_LAST",$B181,$B181)</f>
        <v>#N/A Connection</v>
      </c>
      <c r="AC181" t="str" cm="1">
        <f t="array" ref="AC181">_xll.BDH(AC$2 &amp; " US Equity","PX_LAST",$B181,$B181)</f>
        <v>#N/A Connection</v>
      </c>
      <c r="AD181" t="str" cm="1">
        <f t="array" ref="AD181">_xll.BDH(AD$2 &amp; " US Equity","PX_LAST",$B181,$B181)</f>
        <v>#N/A Connection</v>
      </c>
      <c r="AE181" t="str" cm="1">
        <f t="array" ref="AE181">_xll.BDH(AE$2 &amp; " PE Equity","PX_LAST",$B181,$B181)</f>
        <v>#N/A Connection</v>
      </c>
      <c r="AF181" t="str" cm="1">
        <f t="array" ref="AF181">_xll.BDH(AF$2 &amp; " US Equity","PX_LAST",$B181,$B181)</f>
        <v>#N/A Connection</v>
      </c>
      <c r="AG181" t="str" cm="1">
        <f t="array" ref="AG181">_xll.BDH(AG$2 &amp; " US Equity","PX_LAST",$B181,$B181)</f>
        <v>#N/A Connection</v>
      </c>
      <c r="AH181" t="str" cm="1">
        <f t="array" ref="AH181">_xll.BDH(AH$2 &amp; " US Equity","PX_LAST",$B181,$B181)</f>
        <v>#N/A Connection</v>
      </c>
      <c r="AI181" t="str" cm="1">
        <f t="array" ref="AI181">_xll.BDH(AI$2 &amp; " US Equity","PX_LAST",$B181,$B181)</f>
        <v>#N/A Connection</v>
      </c>
      <c r="AJ181" t="str" cm="1">
        <f t="array" ref="AJ181">_xll.BDH(AJ$2 &amp; " US Equity","PX_LAST",$B181,$B181)</f>
        <v>#N/A Connection</v>
      </c>
      <c r="AK181" t="str" cm="1">
        <f t="array" ref="AK181">_xll.BDH(AK$2 &amp; " US Equity","PX_LAST",$B181,$B181)</f>
        <v>#N/A Connection</v>
      </c>
      <c r="AL181" t="str" cm="1">
        <f t="array" ref="AL181">_xll.BDH(AL$2 &amp; " US Equity","PX_LAST",$B181,$B181)</f>
        <v>#N/A Connection</v>
      </c>
      <c r="AM181" t="str" cm="1">
        <f t="array" ref="AM181">_xll.BDH(AM$2 &amp; " US Equity","PX_LAST",$B181,$B181)</f>
        <v>#N/A Connection</v>
      </c>
      <c r="AN181" t="str" cm="1">
        <f t="array" ref="AN181">_xll.BDH(AN$2 &amp; " US Equity","PX_LAST",$B181,$B181)</f>
        <v>#N/A Connection</v>
      </c>
      <c r="AO181" t="str" cm="1">
        <f t="array" ref="AO181">_xll.BDH(AO$2 &amp; " US Equity","PX_LAST",$B181,$B181)</f>
        <v>#N/A Connection</v>
      </c>
      <c r="AP181" t="str" cm="1">
        <f t="array" ref="AP181">_xll.BDH(AP$2 &amp; " US Equity","PX_LAST",$B181,$B181)</f>
        <v>#N/A Connection</v>
      </c>
      <c r="AQ181" t="str" cm="1">
        <f t="array" ref="AQ181">_xll.BDH(AQ$2 &amp; " US Equity","PX_LAST",$B181,$B181)</f>
        <v>#N/A Connection</v>
      </c>
      <c r="AR181" t="str" cm="1">
        <f t="array" ref="AR181">_xll.BDH(AR$2 &amp; " US Equity","PX_LAST",$B181,$B181)</f>
        <v>#N/A Connection</v>
      </c>
      <c r="AS181" t="str" cm="1">
        <f t="array" ref="AS181">_xll.BDH(AS$2 &amp; " US Equity","PX_LAST",$B181,$B181)</f>
        <v>#N/A Connection</v>
      </c>
      <c r="AT181" t="str" cm="1">
        <f t="array" ref="AT181">_xll.BDH(AT$2 &amp; " US Equity","PX_LAST",$B181,$B181)</f>
        <v>#N/A Connection</v>
      </c>
      <c r="AU181" t="str" cm="1">
        <f t="array" ref="AU181">_xll.BDH(AU$2 &amp; " US Equity","PX_LAST",$B181,$B181)</f>
        <v>#N/A Connection</v>
      </c>
      <c r="AV181" t="str" cm="1">
        <f t="array" ref="AV181">_xll.BDH(AV$2 &amp; " US Equity","PX_LAST",$B181,$B181)</f>
        <v>#N/A Connection</v>
      </c>
      <c r="AW181" t="str" cm="1">
        <f t="array" ref="AW181">_xll.BDH(AW$2 &amp; " US Equity","PX_LAST",$B181,$B181)</f>
        <v>#N/A Connection</v>
      </c>
    </row>
    <row r="182" spans="2:49">
      <c r="B182" s="13">
        <v>46080</v>
      </c>
      <c r="C182" t="str" cm="1">
        <f t="array" ref="C182">_xll.BDH(C$2 &amp; " US Equity","PX_LAST",$B182,$B182)</f>
        <v>#N/A Connection</v>
      </c>
      <c r="D182" t="str" cm="1">
        <f t="array" ref="D182">_xll.BDH(D$2 &amp; " PE Equity","PX_LAST",$B182,$B182)</f>
        <v>#N/A Connection</v>
      </c>
      <c r="E182" t="str" cm="1">
        <f t="array" ref="E182">_xll.BDH(E$2 &amp; " PE Equity","PX_LAST",$B182,$B182)</f>
        <v>#N/A Connection</v>
      </c>
      <c r="F182" t="str" cm="1">
        <f t="array" ref="F182">_xll.BDH(F$2 &amp; " PE Equity","PX_LAST",$B182,$B182)</f>
        <v>#N/A Connection</v>
      </c>
      <c r="G182" t="str" cm="1">
        <f t="array" ref="G182">_xll.BDH(G$2 &amp; " US Equity","PX_LAST",$B182,$B182)</f>
        <v>#N/A Connection</v>
      </c>
      <c r="H182" t="str" cm="1">
        <f t="array" ref="H182">_xll.BDH(H$2 &amp; " PE Equity","PX_LAST",$B182,$B182)</f>
        <v>#N/A Connection</v>
      </c>
      <c r="I182" t="str" cm="1">
        <f t="array" ref="I182">_xll.BDH(I$2 &amp; " US Equity","PX_LAST",$B182,$B182)</f>
        <v>#N/A Connection</v>
      </c>
      <c r="J182" t="str" cm="1">
        <f t="array" ref="J182">_xll.BDH(J$2 &amp; " US Equity","PX_LAST",$B182,$B182)</f>
        <v>#N/A Connection</v>
      </c>
      <c r="K182" t="str" cm="1">
        <f t="array" ref="K182">_xll.BDH(K$2 &amp; " US Equity","PX_LAST",$B182,$B182)</f>
        <v>#N/A Connection</v>
      </c>
      <c r="L182" t="str" cm="1">
        <f t="array" ref="L182">_xll.BDH(L$2 &amp; " US Equity","PX_LAST",$B182,$B182)</f>
        <v>#N/A Connection</v>
      </c>
      <c r="M182" t="str" cm="1">
        <f t="array" ref="M182">_xll.BDH(M$2 &amp; " US Equity","PX_LAST",$B182,$B182)</f>
        <v>#N/A Connection</v>
      </c>
      <c r="N182" t="str" cm="1">
        <f t="array" ref="N182">_xll.BDH(N$2 &amp; " US Equity","PX_LAST",$B182,$B182)</f>
        <v>#N/A Connection</v>
      </c>
      <c r="O182" t="str" cm="1">
        <f t="array" ref="O182">_xll.BDH(O$2 &amp; " US Equity","PX_LAST",$B182,$B182)</f>
        <v>#N/A Connection</v>
      </c>
      <c r="P182" t="str" cm="1">
        <f t="array" ref="P182">_xll.BDH(P$2 &amp; " US Equity","PX_LAST",$B182,$B182)</f>
        <v>#N/A Connection</v>
      </c>
      <c r="Q182" t="str" cm="1">
        <f t="array" ref="Q182">_xll.BDH(Q$2 &amp; " US Equity","PX_LAST",$B182,$B182)</f>
        <v>#N/A Connection</v>
      </c>
      <c r="R182" t="str" cm="1">
        <f t="array" ref="R182">_xll.BDH(R$2 &amp; " US Equity","PX_LAST",$B182,$B182)</f>
        <v>#N/A Connection</v>
      </c>
      <c r="S182" t="str" cm="1">
        <f t="array" ref="S182">_xll.BDH(S$2 &amp; " US Equity","PX_LAST",$B182,$B182)</f>
        <v>#N/A Connection</v>
      </c>
      <c r="T182" t="str" cm="1">
        <f t="array" ref="T182">_xll.BDH(T$2 &amp; " US Equity","PX_LAST",$B182,$B182)</f>
        <v>#N/A Connection</v>
      </c>
      <c r="U182" t="str" cm="1">
        <f t="array" ref="U182">_xll.BDH(U$2 &amp; " US Equity","PX_LAST",$B182,$B182)</f>
        <v>#N/A Connection</v>
      </c>
      <c r="V182" t="str" cm="1">
        <f t="array" ref="V182">_xll.BDH(V$2 &amp; " US Equity","PX_LAST",$B182,$B182)</f>
        <v>#N/A Connection</v>
      </c>
      <c r="W182" t="str" cm="1">
        <f t="array" ref="W182">_xll.BDH(W$2 &amp; " US Equity","PX_LAST",$B182,$B182)</f>
        <v>#N/A Connection</v>
      </c>
      <c r="X182" t="str" cm="1">
        <f t="array" ref="X182">_xll.BDH(X$2 &amp; " US Equity","PX_LAST",$B182,$B182)</f>
        <v>#N/A Connection</v>
      </c>
      <c r="Y182" t="str" cm="1">
        <f t="array" ref="Y182">_xll.BDH(Y$2 &amp; " US Equity","PX_LAST",$B182,$B182)</f>
        <v>#N/A Connection</v>
      </c>
      <c r="Z182" t="str" cm="1">
        <f t="array" ref="Z182">_xll.BDH(Z$2 &amp; " US Equity","PX_LAST",$B182,$B182)</f>
        <v>#N/A Connection</v>
      </c>
      <c r="AA182" t="str" cm="1">
        <f t="array" ref="AA182">_xll.BDH(AA$2 &amp; " PE Equity","PX_LAST",$B182,$B182)</f>
        <v>#N/A Connection</v>
      </c>
      <c r="AB182" t="str" cm="1">
        <f t="array" ref="AB182">_xll.BDH(AB$2 &amp; " PE Equity","PX_LAST",$B182,$B182)</f>
        <v>#N/A Connection</v>
      </c>
      <c r="AC182" t="str" cm="1">
        <f t="array" ref="AC182">_xll.BDH(AC$2 &amp; " US Equity","PX_LAST",$B182,$B182)</f>
        <v>#N/A Connection</v>
      </c>
      <c r="AD182" t="str" cm="1">
        <f t="array" ref="AD182">_xll.BDH(AD$2 &amp; " US Equity","PX_LAST",$B182,$B182)</f>
        <v>#N/A Connection</v>
      </c>
      <c r="AE182" t="str" cm="1">
        <f t="array" ref="AE182">_xll.BDH(AE$2 &amp; " PE Equity","PX_LAST",$B182,$B182)</f>
        <v>#N/A Connection</v>
      </c>
      <c r="AF182" t="str" cm="1">
        <f t="array" ref="AF182">_xll.BDH(AF$2 &amp; " US Equity","PX_LAST",$B182,$B182)</f>
        <v>#N/A Connection</v>
      </c>
      <c r="AG182" t="str" cm="1">
        <f t="array" ref="AG182">_xll.BDH(AG$2 &amp; " US Equity","PX_LAST",$B182,$B182)</f>
        <v>#N/A Connection</v>
      </c>
      <c r="AH182" t="str" cm="1">
        <f t="array" ref="AH182">_xll.BDH(AH$2 &amp; " US Equity","PX_LAST",$B182,$B182)</f>
        <v>#N/A Connection</v>
      </c>
      <c r="AI182" t="str" cm="1">
        <f t="array" ref="AI182">_xll.BDH(AI$2 &amp; " US Equity","PX_LAST",$B182,$B182)</f>
        <v>#N/A Connection</v>
      </c>
      <c r="AJ182" t="str" cm="1">
        <f t="array" ref="AJ182">_xll.BDH(AJ$2 &amp; " US Equity","PX_LAST",$B182,$B182)</f>
        <v>#N/A Connection</v>
      </c>
      <c r="AK182" t="str" cm="1">
        <f t="array" ref="AK182">_xll.BDH(AK$2 &amp; " US Equity","PX_LAST",$B182,$B182)</f>
        <v>#N/A Connection</v>
      </c>
      <c r="AL182" t="str" cm="1">
        <f t="array" ref="AL182">_xll.BDH(AL$2 &amp; " US Equity","PX_LAST",$B182,$B182)</f>
        <v>#N/A Connection</v>
      </c>
      <c r="AM182" t="str" cm="1">
        <f t="array" ref="AM182">_xll.BDH(AM$2 &amp; " US Equity","PX_LAST",$B182,$B182)</f>
        <v>#N/A Connection</v>
      </c>
      <c r="AN182" t="str" cm="1">
        <f t="array" ref="AN182">_xll.BDH(AN$2 &amp; " US Equity","PX_LAST",$B182,$B182)</f>
        <v>#N/A Connection</v>
      </c>
      <c r="AO182" t="str" cm="1">
        <f t="array" ref="AO182">_xll.BDH(AO$2 &amp; " US Equity","PX_LAST",$B182,$B182)</f>
        <v>#N/A Connection</v>
      </c>
      <c r="AP182" t="str" cm="1">
        <f t="array" ref="AP182">_xll.BDH(AP$2 &amp; " US Equity","PX_LAST",$B182,$B182)</f>
        <v>#N/A Connection</v>
      </c>
      <c r="AQ182" t="str" cm="1">
        <f t="array" ref="AQ182">_xll.BDH(AQ$2 &amp; " US Equity","PX_LAST",$B182,$B182)</f>
        <v>#N/A Connection</v>
      </c>
      <c r="AR182" t="str" cm="1">
        <f t="array" ref="AR182">_xll.BDH(AR$2 &amp; " US Equity","PX_LAST",$B182,$B182)</f>
        <v>#N/A Connection</v>
      </c>
      <c r="AS182" t="str" cm="1">
        <f t="array" ref="AS182">_xll.BDH(AS$2 &amp; " US Equity","PX_LAST",$B182,$B182)</f>
        <v>#N/A Connection</v>
      </c>
      <c r="AT182" t="str" cm="1">
        <f t="array" ref="AT182">_xll.BDH(AT$2 &amp; " US Equity","PX_LAST",$B182,$B182)</f>
        <v>#N/A Connection</v>
      </c>
      <c r="AU182" t="str" cm="1">
        <f t="array" ref="AU182">_xll.BDH(AU$2 &amp; " US Equity","PX_LAST",$B182,$B182)</f>
        <v>#N/A Connection</v>
      </c>
      <c r="AV182" t="str" cm="1">
        <f t="array" ref="AV182">_xll.BDH(AV$2 &amp; " US Equity","PX_LAST",$B182,$B182)</f>
        <v>#N/A Connection</v>
      </c>
      <c r="AW182" t="str" cm="1">
        <f t="array" ref="AW182">_xll.BDH(AW$2 &amp; " US Equity","PX_LAST",$B182,$B182)</f>
        <v>#N/A Connection</v>
      </c>
    </row>
    <row r="183" spans="2:49">
      <c r="B183" s="13">
        <v>46081</v>
      </c>
      <c r="C183" t="str" cm="1">
        <f t="array" ref="C183">_xll.BDH(C$2 &amp; " US Equity","PX_LAST",$B183,$B183)</f>
        <v>#N/A Connection</v>
      </c>
      <c r="D183" t="str" cm="1">
        <f t="array" ref="D183">_xll.BDH(D$2 &amp; " PE Equity","PX_LAST",$B183,$B183)</f>
        <v>#N/A Connection</v>
      </c>
      <c r="E183" t="str" cm="1">
        <f t="array" ref="E183">_xll.BDH(E$2 &amp; " PE Equity","PX_LAST",$B183,$B183)</f>
        <v>#N/A Connection</v>
      </c>
      <c r="F183" t="str" cm="1">
        <f t="array" ref="F183">_xll.BDH(F$2 &amp; " PE Equity","PX_LAST",$B183,$B183)</f>
        <v>#N/A Connection</v>
      </c>
      <c r="G183" t="str" cm="1">
        <f t="array" ref="G183">_xll.BDH(G$2 &amp; " US Equity","PX_LAST",$B183,$B183)</f>
        <v>#N/A Connection</v>
      </c>
      <c r="H183" t="str" cm="1">
        <f t="array" ref="H183">_xll.BDH(H$2 &amp; " PE Equity","PX_LAST",$B183,$B183)</f>
        <v>#N/A Connection</v>
      </c>
      <c r="I183" t="str" cm="1">
        <f t="array" ref="I183">_xll.BDH(I$2 &amp; " US Equity","PX_LAST",$B183,$B183)</f>
        <v>#N/A Connection</v>
      </c>
      <c r="J183" t="str" cm="1">
        <f t="array" ref="J183">_xll.BDH(J$2 &amp; " US Equity","PX_LAST",$B183,$B183)</f>
        <v>#N/A Connection</v>
      </c>
      <c r="K183" t="str" cm="1">
        <f t="array" ref="K183">_xll.BDH(K$2 &amp; " US Equity","PX_LAST",$B183,$B183)</f>
        <v>#N/A Connection</v>
      </c>
      <c r="L183" t="str" cm="1">
        <f t="array" ref="L183">_xll.BDH(L$2 &amp; " US Equity","PX_LAST",$B183,$B183)</f>
        <v>#N/A Connection</v>
      </c>
      <c r="M183" t="str" cm="1">
        <f t="array" ref="M183">_xll.BDH(M$2 &amp; " US Equity","PX_LAST",$B183,$B183)</f>
        <v>#N/A Connection</v>
      </c>
      <c r="N183" t="str" cm="1">
        <f t="array" ref="N183">_xll.BDH(N$2 &amp; " US Equity","PX_LAST",$B183,$B183)</f>
        <v>#N/A Connection</v>
      </c>
      <c r="O183" t="str" cm="1">
        <f t="array" ref="O183">_xll.BDH(O$2 &amp; " US Equity","PX_LAST",$B183,$B183)</f>
        <v>#N/A Connection</v>
      </c>
      <c r="P183" t="str" cm="1">
        <f t="array" ref="P183">_xll.BDH(P$2 &amp; " US Equity","PX_LAST",$B183,$B183)</f>
        <v>#N/A Connection</v>
      </c>
      <c r="Q183" t="str" cm="1">
        <f t="array" ref="Q183">_xll.BDH(Q$2 &amp; " US Equity","PX_LAST",$B183,$B183)</f>
        <v>#N/A Connection</v>
      </c>
      <c r="R183" t="str" cm="1">
        <f t="array" ref="R183">_xll.BDH(R$2 &amp; " US Equity","PX_LAST",$B183,$B183)</f>
        <v>#N/A Connection</v>
      </c>
      <c r="S183" t="str" cm="1">
        <f t="array" ref="S183">_xll.BDH(S$2 &amp; " US Equity","PX_LAST",$B183,$B183)</f>
        <v>#N/A Connection</v>
      </c>
      <c r="T183" t="str" cm="1">
        <f t="array" ref="T183">_xll.BDH(T$2 &amp; " US Equity","PX_LAST",$B183,$B183)</f>
        <v>#N/A Connection</v>
      </c>
      <c r="U183" t="str" cm="1">
        <f t="array" ref="U183">_xll.BDH(U$2 &amp; " US Equity","PX_LAST",$B183,$B183)</f>
        <v>#N/A Connection</v>
      </c>
      <c r="V183" t="str" cm="1">
        <f t="array" ref="V183">_xll.BDH(V$2 &amp; " US Equity","PX_LAST",$B183,$B183)</f>
        <v>#N/A Connection</v>
      </c>
      <c r="W183" t="str" cm="1">
        <f t="array" ref="W183">_xll.BDH(W$2 &amp; " US Equity","PX_LAST",$B183,$B183)</f>
        <v>#N/A Connection</v>
      </c>
      <c r="X183" t="str" cm="1">
        <f t="array" ref="X183">_xll.BDH(X$2 &amp; " US Equity","PX_LAST",$B183,$B183)</f>
        <v>#N/A Connection</v>
      </c>
      <c r="Y183" t="str" cm="1">
        <f t="array" ref="Y183">_xll.BDH(Y$2 &amp; " US Equity","PX_LAST",$B183,$B183)</f>
        <v>#N/A Connection</v>
      </c>
      <c r="Z183" t="str" cm="1">
        <f t="array" ref="Z183">_xll.BDH(Z$2 &amp; " US Equity","PX_LAST",$B183,$B183)</f>
        <v>#N/A Connection</v>
      </c>
      <c r="AA183" t="str" cm="1">
        <f t="array" ref="AA183">_xll.BDH(AA$2 &amp; " PE Equity","PX_LAST",$B183,$B183)</f>
        <v>#N/A Connection</v>
      </c>
      <c r="AB183" t="str" cm="1">
        <f t="array" ref="AB183">_xll.BDH(AB$2 &amp; " PE Equity","PX_LAST",$B183,$B183)</f>
        <v>#N/A Connection</v>
      </c>
      <c r="AC183" t="str" cm="1">
        <f t="array" ref="AC183">_xll.BDH(AC$2 &amp; " US Equity","PX_LAST",$B183,$B183)</f>
        <v>#N/A Connection</v>
      </c>
      <c r="AD183" t="str" cm="1">
        <f t="array" ref="AD183">_xll.BDH(AD$2 &amp; " US Equity","PX_LAST",$B183,$B183)</f>
        <v>#N/A Connection</v>
      </c>
      <c r="AE183" t="str" cm="1">
        <f t="array" ref="AE183">_xll.BDH(AE$2 &amp; " PE Equity","PX_LAST",$B183,$B183)</f>
        <v>#N/A Connection</v>
      </c>
      <c r="AF183" t="str" cm="1">
        <f t="array" ref="AF183">_xll.BDH(AF$2 &amp; " US Equity","PX_LAST",$B183,$B183)</f>
        <v>#N/A Connection</v>
      </c>
      <c r="AG183" t="str" cm="1">
        <f t="array" ref="AG183">_xll.BDH(AG$2 &amp; " US Equity","PX_LAST",$B183,$B183)</f>
        <v>#N/A Connection</v>
      </c>
      <c r="AH183" t="str" cm="1">
        <f t="array" ref="AH183">_xll.BDH(AH$2 &amp; " US Equity","PX_LAST",$B183,$B183)</f>
        <v>#N/A Connection</v>
      </c>
      <c r="AI183" t="str" cm="1">
        <f t="array" ref="AI183">_xll.BDH(AI$2 &amp; " US Equity","PX_LAST",$B183,$B183)</f>
        <v>#N/A Connection</v>
      </c>
      <c r="AJ183" t="str" cm="1">
        <f t="array" ref="AJ183">_xll.BDH(AJ$2 &amp; " US Equity","PX_LAST",$B183,$B183)</f>
        <v>#N/A Connection</v>
      </c>
      <c r="AK183" t="str" cm="1">
        <f t="array" ref="AK183">_xll.BDH(AK$2 &amp; " US Equity","PX_LAST",$B183,$B183)</f>
        <v>#N/A Connection</v>
      </c>
      <c r="AL183" t="str" cm="1">
        <f t="array" ref="AL183">_xll.BDH(AL$2 &amp; " US Equity","PX_LAST",$B183,$B183)</f>
        <v>#N/A Connection</v>
      </c>
      <c r="AM183" t="str" cm="1">
        <f t="array" ref="AM183">_xll.BDH(AM$2 &amp; " US Equity","PX_LAST",$B183,$B183)</f>
        <v>#N/A Connection</v>
      </c>
      <c r="AN183" t="str" cm="1">
        <f t="array" ref="AN183">_xll.BDH(AN$2 &amp; " US Equity","PX_LAST",$B183,$B183)</f>
        <v>#N/A Connection</v>
      </c>
      <c r="AO183" t="str" cm="1">
        <f t="array" ref="AO183">_xll.BDH(AO$2 &amp; " US Equity","PX_LAST",$B183,$B183)</f>
        <v>#N/A Connection</v>
      </c>
      <c r="AP183" t="str" cm="1">
        <f t="array" ref="AP183">_xll.BDH(AP$2 &amp; " US Equity","PX_LAST",$B183,$B183)</f>
        <v>#N/A Connection</v>
      </c>
      <c r="AQ183" t="str" cm="1">
        <f t="array" ref="AQ183">_xll.BDH(AQ$2 &amp; " US Equity","PX_LAST",$B183,$B183)</f>
        <v>#N/A Connection</v>
      </c>
      <c r="AR183" t="str" cm="1">
        <f t="array" ref="AR183">_xll.BDH(AR$2 &amp; " US Equity","PX_LAST",$B183,$B183)</f>
        <v>#N/A Connection</v>
      </c>
      <c r="AS183" t="str" cm="1">
        <f t="array" ref="AS183">_xll.BDH(AS$2 &amp; " US Equity","PX_LAST",$B183,$B183)</f>
        <v>#N/A Connection</v>
      </c>
      <c r="AT183" t="str" cm="1">
        <f t="array" ref="AT183">_xll.BDH(AT$2 &amp; " US Equity","PX_LAST",$B183,$B183)</f>
        <v>#N/A Connection</v>
      </c>
      <c r="AU183" t="str" cm="1">
        <f t="array" ref="AU183">_xll.BDH(AU$2 &amp; " US Equity","PX_LAST",$B183,$B183)</f>
        <v>#N/A Connection</v>
      </c>
      <c r="AV183" t="str" cm="1">
        <f t="array" ref="AV183">_xll.BDH(AV$2 &amp; " US Equity","PX_LAST",$B183,$B183)</f>
        <v>#N/A Connection</v>
      </c>
      <c r="AW183" t="str" cm="1">
        <f t="array" ref="AW183">_xll.BDH(AW$2 &amp; " US Equity","PX_LAST",$B183,$B183)</f>
        <v>#N/A Connection</v>
      </c>
    </row>
    <row r="184" spans="2:49">
      <c r="B184" s="13">
        <v>46082</v>
      </c>
      <c r="C184" t="str" cm="1">
        <f t="array" ref="C184">_xll.BDH(C$2 &amp; " US Equity","PX_LAST",$B184,$B184)</f>
        <v>#N/A Connection</v>
      </c>
      <c r="D184" t="str" cm="1">
        <f t="array" ref="D184">_xll.BDH(D$2 &amp; " PE Equity","PX_LAST",$B184,$B184)</f>
        <v>#N/A Connection</v>
      </c>
      <c r="E184" t="str" cm="1">
        <f t="array" ref="E184">_xll.BDH(E$2 &amp; " PE Equity","PX_LAST",$B184,$B184)</f>
        <v>#N/A Connection</v>
      </c>
      <c r="F184" t="str" cm="1">
        <f t="array" ref="F184">_xll.BDH(F$2 &amp; " PE Equity","PX_LAST",$B184,$B184)</f>
        <v>#N/A Connection</v>
      </c>
      <c r="G184" t="str" cm="1">
        <f t="array" ref="G184">_xll.BDH(G$2 &amp; " US Equity","PX_LAST",$B184,$B184)</f>
        <v>#N/A Connection</v>
      </c>
      <c r="H184" t="str" cm="1">
        <f t="array" ref="H184">_xll.BDH(H$2 &amp; " PE Equity","PX_LAST",$B184,$B184)</f>
        <v>#N/A Connection</v>
      </c>
      <c r="I184" t="str" cm="1">
        <f t="array" ref="I184">_xll.BDH(I$2 &amp; " US Equity","PX_LAST",$B184,$B184)</f>
        <v>#N/A Connection</v>
      </c>
      <c r="J184" t="str" cm="1">
        <f t="array" ref="J184">_xll.BDH(J$2 &amp; " US Equity","PX_LAST",$B184,$B184)</f>
        <v>#N/A Connection</v>
      </c>
      <c r="K184" t="str" cm="1">
        <f t="array" ref="K184">_xll.BDH(K$2 &amp; " US Equity","PX_LAST",$B184,$B184)</f>
        <v>#N/A Connection</v>
      </c>
      <c r="L184" t="str" cm="1">
        <f t="array" ref="L184">_xll.BDH(L$2 &amp; " US Equity","PX_LAST",$B184,$B184)</f>
        <v>#N/A Connection</v>
      </c>
      <c r="M184" t="str" cm="1">
        <f t="array" ref="M184">_xll.BDH(M$2 &amp; " US Equity","PX_LAST",$B184,$B184)</f>
        <v>#N/A Connection</v>
      </c>
      <c r="N184" t="str" cm="1">
        <f t="array" ref="N184">_xll.BDH(N$2 &amp; " US Equity","PX_LAST",$B184,$B184)</f>
        <v>#N/A Connection</v>
      </c>
      <c r="O184" t="str" cm="1">
        <f t="array" ref="O184">_xll.BDH(O$2 &amp; " US Equity","PX_LAST",$B184,$B184)</f>
        <v>#N/A Connection</v>
      </c>
      <c r="P184" t="str" cm="1">
        <f t="array" ref="P184">_xll.BDH(P$2 &amp; " US Equity","PX_LAST",$B184,$B184)</f>
        <v>#N/A Connection</v>
      </c>
      <c r="Q184" t="str" cm="1">
        <f t="array" ref="Q184">_xll.BDH(Q$2 &amp; " US Equity","PX_LAST",$B184,$B184)</f>
        <v>#N/A Connection</v>
      </c>
      <c r="R184" t="str" cm="1">
        <f t="array" ref="R184">_xll.BDH(R$2 &amp; " US Equity","PX_LAST",$B184,$B184)</f>
        <v>#N/A Connection</v>
      </c>
      <c r="S184" t="str" cm="1">
        <f t="array" ref="S184">_xll.BDH(S$2 &amp; " US Equity","PX_LAST",$B184,$B184)</f>
        <v>#N/A Connection</v>
      </c>
      <c r="T184" t="str" cm="1">
        <f t="array" ref="T184">_xll.BDH(T$2 &amp; " US Equity","PX_LAST",$B184,$B184)</f>
        <v>#N/A Connection</v>
      </c>
      <c r="U184" t="str" cm="1">
        <f t="array" ref="U184">_xll.BDH(U$2 &amp; " US Equity","PX_LAST",$B184,$B184)</f>
        <v>#N/A Connection</v>
      </c>
      <c r="V184" t="str" cm="1">
        <f t="array" ref="V184">_xll.BDH(V$2 &amp; " US Equity","PX_LAST",$B184,$B184)</f>
        <v>#N/A Connection</v>
      </c>
      <c r="W184" t="str" cm="1">
        <f t="array" ref="W184">_xll.BDH(W$2 &amp; " US Equity","PX_LAST",$B184,$B184)</f>
        <v>#N/A Connection</v>
      </c>
      <c r="X184" t="str" cm="1">
        <f t="array" ref="X184">_xll.BDH(X$2 &amp; " US Equity","PX_LAST",$B184,$B184)</f>
        <v>#N/A Connection</v>
      </c>
      <c r="Y184" t="str" cm="1">
        <f t="array" ref="Y184">_xll.BDH(Y$2 &amp; " US Equity","PX_LAST",$B184,$B184)</f>
        <v>#N/A Connection</v>
      </c>
      <c r="Z184" t="str" cm="1">
        <f t="array" ref="Z184">_xll.BDH(Z$2 &amp; " US Equity","PX_LAST",$B184,$B184)</f>
        <v>#N/A Connection</v>
      </c>
      <c r="AA184" t="str" cm="1">
        <f t="array" ref="AA184">_xll.BDH(AA$2 &amp; " PE Equity","PX_LAST",$B184,$B184)</f>
        <v>#N/A Connection</v>
      </c>
      <c r="AB184" t="str" cm="1">
        <f t="array" ref="AB184">_xll.BDH(AB$2 &amp; " PE Equity","PX_LAST",$B184,$B184)</f>
        <v>#N/A Connection</v>
      </c>
      <c r="AC184" t="str" cm="1">
        <f t="array" ref="AC184">_xll.BDH(AC$2 &amp; " US Equity","PX_LAST",$B184,$B184)</f>
        <v>#N/A Connection</v>
      </c>
      <c r="AD184" t="str" cm="1">
        <f t="array" ref="AD184">_xll.BDH(AD$2 &amp; " US Equity","PX_LAST",$B184,$B184)</f>
        <v>#N/A Connection</v>
      </c>
      <c r="AE184" t="str" cm="1">
        <f t="array" ref="AE184">_xll.BDH(AE$2 &amp; " PE Equity","PX_LAST",$B184,$B184)</f>
        <v>#N/A Connection</v>
      </c>
      <c r="AF184" t="str" cm="1">
        <f t="array" ref="AF184">_xll.BDH(AF$2 &amp; " US Equity","PX_LAST",$B184,$B184)</f>
        <v>#N/A Connection</v>
      </c>
      <c r="AG184" t="str" cm="1">
        <f t="array" ref="AG184">_xll.BDH(AG$2 &amp; " US Equity","PX_LAST",$B184,$B184)</f>
        <v>#N/A Connection</v>
      </c>
      <c r="AH184" t="str" cm="1">
        <f t="array" ref="AH184">_xll.BDH(AH$2 &amp; " US Equity","PX_LAST",$B184,$B184)</f>
        <v>#N/A Connection</v>
      </c>
      <c r="AI184" t="str" cm="1">
        <f t="array" ref="AI184">_xll.BDH(AI$2 &amp; " US Equity","PX_LAST",$B184,$B184)</f>
        <v>#N/A Connection</v>
      </c>
      <c r="AJ184" t="str" cm="1">
        <f t="array" ref="AJ184">_xll.BDH(AJ$2 &amp; " US Equity","PX_LAST",$B184,$B184)</f>
        <v>#N/A Connection</v>
      </c>
      <c r="AK184" t="str" cm="1">
        <f t="array" ref="AK184">_xll.BDH(AK$2 &amp; " US Equity","PX_LAST",$B184,$B184)</f>
        <v>#N/A Connection</v>
      </c>
      <c r="AL184" t="str" cm="1">
        <f t="array" ref="AL184">_xll.BDH(AL$2 &amp; " US Equity","PX_LAST",$B184,$B184)</f>
        <v>#N/A Connection</v>
      </c>
      <c r="AM184" t="str" cm="1">
        <f t="array" ref="AM184">_xll.BDH(AM$2 &amp; " US Equity","PX_LAST",$B184,$B184)</f>
        <v>#N/A Connection</v>
      </c>
      <c r="AN184" t="str" cm="1">
        <f t="array" ref="AN184">_xll.BDH(AN$2 &amp; " US Equity","PX_LAST",$B184,$B184)</f>
        <v>#N/A Connection</v>
      </c>
      <c r="AO184" t="str" cm="1">
        <f t="array" ref="AO184">_xll.BDH(AO$2 &amp; " US Equity","PX_LAST",$B184,$B184)</f>
        <v>#N/A Connection</v>
      </c>
      <c r="AP184" t="str" cm="1">
        <f t="array" ref="AP184">_xll.BDH(AP$2 &amp; " US Equity","PX_LAST",$B184,$B184)</f>
        <v>#N/A Connection</v>
      </c>
      <c r="AQ184" t="str" cm="1">
        <f t="array" ref="AQ184">_xll.BDH(AQ$2 &amp; " US Equity","PX_LAST",$B184,$B184)</f>
        <v>#N/A Connection</v>
      </c>
      <c r="AR184" t="str" cm="1">
        <f t="array" ref="AR184">_xll.BDH(AR$2 &amp; " US Equity","PX_LAST",$B184,$B184)</f>
        <v>#N/A Connection</v>
      </c>
      <c r="AS184" t="str" cm="1">
        <f t="array" ref="AS184">_xll.BDH(AS$2 &amp; " US Equity","PX_LAST",$B184,$B184)</f>
        <v>#N/A Connection</v>
      </c>
      <c r="AT184" t="str" cm="1">
        <f t="array" ref="AT184">_xll.BDH(AT$2 &amp; " US Equity","PX_LAST",$B184,$B184)</f>
        <v>#N/A Connection</v>
      </c>
      <c r="AU184" t="str" cm="1">
        <f t="array" ref="AU184">_xll.BDH(AU$2 &amp; " US Equity","PX_LAST",$B184,$B184)</f>
        <v>#N/A Connection</v>
      </c>
      <c r="AV184" t="str" cm="1">
        <f t="array" ref="AV184">_xll.BDH(AV$2 &amp; " US Equity","PX_LAST",$B184,$B184)</f>
        <v>#N/A Connection</v>
      </c>
      <c r="AW184" t="str" cm="1">
        <f t="array" ref="AW184">_xll.BDH(AW$2 &amp; " US Equity","PX_LAST",$B184,$B184)</f>
        <v>#N/A Connection</v>
      </c>
    </row>
    <row r="185" spans="2:49">
      <c r="B185" s="13">
        <v>46083</v>
      </c>
      <c r="C185" t="str" cm="1">
        <f t="array" ref="C185">_xll.BDH(C$2 &amp; " US Equity","PX_LAST",$B185,$B185)</f>
        <v>#N/A Connection</v>
      </c>
      <c r="D185" t="str" cm="1">
        <f t="array" ref="D185">_xll.BDH(D$2 &amp; " PE Equity","PX_LAST",$B185,$B185)</f>
        <v>#N/A Connection</v>
      </c>
      <c r="E185" t="str" cm="1">
        <f t="array" ref="E185">_xll.BDH(E$2 &amp; " PE Equity","PX_LAST",$B185,$B185)</f>
        <v>#N/A Connection</v>
      </c>
      <c r="F185" t="str" cm="1">
        <f t="array" ref="F185">_xll.BDH(F$2 &amp; " PE Equity","PX_LAST",$B185,$B185)</f>
        <v>#N/A Connection</v>
      </c>
      <c r="G185" t="str" cm="1">
        <f t="array" ref="G185">_xll.BDH(G$2 &amp; " US Equity","PX_LAST",$B185,$B185)</f>
        <v>#N/A Connection</v>
      </c>
      <c r="H185" t="str" cm="1">
        <f t="array" ref="H185">_xll.BDH(H$2 &amp; " PE Equity","PX_LAST",$B185,$B185)</f>
        <v>#N/A Connection</v>
      </c>
      <c r="I185" t="str" cm="1">
        <f t="array" ref="I185">_xll.BDH(I$2 &amp; " US Equity","PX_LAST",$B185,$B185)</f>
        <v>#N/A Connection</v>
      </c>
      <c r="J185" t="str" cm="1">
        <f t="array" ref="J185">_xll.BDH(J$2 &amp; " US Equity","PX_LAST",$B185,$B185)</f>
        <v>#N/A Connection</v>
      </c>
      <c r="K185" t="str" cm="1">
        <f t="array" ref="K185">_xll.BDH(K$2 &amp; " US Equity","PX_LAST",$B185,$B185)</f>
        <v>#N/A Connection</v>
      </c>
      <c r="L185" t="str" cm="1">
        <f t="array" ref="L185">_xll.BDH(L$2 &amp; " US Equity","PX_LAST",$B185,$B185)</f>
        <v>#N/A Connection</v>
      </c>
      <c r="M185" t="str" cm="1">
        <f t="array" ref="M185">_xll.BDH(M$2 &amp; " US Equity","PX_LAST",$B185,$B185)</f>
        <v>#N/A Connection</v>
      </c>
      <c r="N185" t="str" cm="1">
        <f t="array" ref="N185">_xll.BDH(N$2 &amp; " US Equity","PX_LAST",$B185,$B185)</f>
        <v>#N/A Connection</v>
      </c>
      <c r="O185" t="str" cm="1">
        <f t="array" ref="O185">_xll.BDH(O$2 &amp; " US Equity","PX_LAST",$B185,$B185)</f>
        <v>#N/A Connection</v>
      </c>
      <c r="P185" t="str" cm="1">
        <f t="array" ref="P185">_xll.BDH(P$2 &amp; " US Equity","PX_LAST",$B185,$B185)</f>
        <v>#N/A Connection</v>
      </c>
      <c r="Q185" t="str" cm="1">
        <f t="array" ref="Q185">_xll.BDH(Q$2 &amp; " US Equity","PX_LAST",$B185,$B185)</f>
        <v>#N/A Connection</v>
      </c>
      <c r="R185" t="str" cm="1">
        <f t="array" ref="R185">_xll.BDH(R$2 &amp; " US Equity","PX_LAST",$B185,$B185)</f>
        <v>#N/A Connection</v>
      </c>
      <c r="S185" t="str" cm="1">
        <f t="array" ref="S185">_xll.BDH(S$2 &amp; " US Equity","PX_LAST",$B185,$B185)</f>
        <v>#N/A Connection</v>
      </c>
      <c r="T185" t="str" cm="1">
        <f t="array" ref="T185">_xll.BDH(T$2 &amp; " US Equity","PX_LAST",$B185,$B185)</f>
        <v>#N/A Connection</v>
      </c>
      <c r="U185" t="str" cm="1">
        <f t="array" ref="U185">_xll.BDH(U$2 &amp; " US Equity","PX_LAST",$B185,$B185)</f>
        <v>#N/A Connection</v>
      </c>
      <c r="V185" t="str" cm="1">
        <f t="array" ref="V185">_xll.BDH(V$2 &amp; " US Equity","PX_LAST",$B185,$B185)</f>
        <v>#N/A Connection</v>
      </c>
      <c r="W185" t="str" cm="1">
        <f t="array" ref="W185">_xll.BDH(W$2 &amp; " US Equity","PX_LAST",$B185,$B185)</f>
        <v>#N/A Connection</v>
      </c>
      <c r="X185" t="str" cm="1">
        <f t="array" ref="X185">_xll.BDH(X$2 &amp; " US Equity","PX_LAST",$B185,$B185)</f>
        <v>#N/A Connection</v>
      </c>
      <c r="Y185" t="str" cm="1">
        <f t="array" ref="Y185">_xll.BDH(Y$2 &amp; " US Equity","PX_LAST",$B185,$B185)</f>
        <v>#N/A Connection</v>
      </c>
      <c r="Z185" t="str" cm="1">
        <f t="array" ref="Z185">_xll.BDH(Z$2 &amp; " US Equity","PX_LAST",$B185,$B185)</f>
        <v>#N/A Connection</v>
      </c>
      <c r="AA185" t="str" cm="1">
        <f t="array" ref="AA185">_xll.BDH(AA$2 &amp; " PE Equity","PX_LAST",$B185,$B185)</f>
        <v>#N/A Connection</v>
      </c>
      <c r="AB185" t="str" cm="1">
        <f t="array" ref="AB185">_xll.BDH(AB$2 &amp; " PE Equity","PX_LAST",$B185,$B185)</f>
        <v>#N/A Connection</v>
      </c>
      <c r="AC185" t="str" cm="1">
        <f t="array" ref="AC185">_xll.BDH(AC$2 &amp; " US Equity","PX_LAST",$B185,$B185)</f>
        <v>#N/A Connection</v>
      </c>
      <c r="AD185" t="str" cm="1">
        <f t="array" ref="AD185">_xll.BDH(AD$2 &amp; " US Equity","PX_LAST",$B185,$B185)</f>
        <v>#N/A Connection</v>
      </c>
      <c r="AE185" t="str" cm="1">
        <f t="array" ref="AE185">_xll.BDH(AE$2 &amp; " PE Equity","PX_LAST",$B185,$B185)</f>
        <v>#N/A Connection</v>
      </c>
      <c r="AF185" t="str" cm="1">
        <f t="array" ref="AF185">_xll.BDH(AF$2 &amp; " US Equity","PX_LAST",$B185,$B185)</f>
        <v>#N/A Connection</v>
      </c>
      <c r="AG185" t="str" cm="1">
        <f t="array" ref="AG185">_xll.BDH(AG$2 &amp; " US Equity","PX_LAST",$B185,$B185)</f>
        <v>#N/A Connection</v>
      </c>
      <c r="AH185" t="str" cm="1">
        <f t="array" ref="AH185">_xll.BDH(AH$2 &amp; " US Equity","PX_LAST",$B185,$B185)</f>
        <v>#N/A Connection</v>
      </c>
      <c r="AI185" t="str" cm="1">
        <f t="array" ref="AI185">_xll.BDH(AI$2 &amp; " US Equity","PX_LAST",$B185,$B185)</f>
        <v>#N/A Connection</v>
      </c>
      <c r="AJ185" t="str" cm="1">
        <f t="array" ref="AJ185">_xll.BDH(AJ$2 &amp; " US Equity","PX_LAST",$B185,$B185)</f>
        <v>#N/A Connection</v>
      </c>
      <c r="AK185" t="str" cm="1">
        <f t="array" ref="AK185">_xll.BDH(AK$2 &amp; " US Equity","PX_LAST",$B185,$B185)</f>
        <v>#N/A Connection</v>
      </c>
      <c r="AL185" t="str" cm="1">
        <f t="array" ref="AL185">_xll.BDH(AL$2 &amp; " US Equity","PX_LAST",$B185,$B185)</f>
        <v>#N/A Connection</v>
      </c>
      <c r="AM185" t="str" cm="1">
        <f t="array" ref="AM185">_xll.BDH(AM$2 &amp; " US Equity","PX_LAST",$B185,$B185)</f>
        <v>#N/A Connection</v>
      </c>
      <c r="AN185" t="str" cm="1">
        <f t="array" ref="AN185">_xll.BDH(AN$2 &amp; " US Equity","PX_LAST",$B185,$B185)</f>
        <v>#N/A Connection</v>
      </c>
      <c r="AO185" t="str" cm="1">
        <f t="array" ref="AO185">_xll.BDH(AO$2 &amp; " US Equity","PX_LAST",$B185,$B185)</f>
        <v>#N/A Connection</v>
      </c>
      <c r="AP185" t="str" cm="1">
        <f t="array" ref="AP185">_xll.BDH(AP$2 &amp; " US Equity","PX_LAST",$B185,$B185)</f>
        <v>#N/A Connection</v>
      </c>
      <c r="AQ185" t="str" cm="1">
        <f t="array" ref="AQ185">_xll.BDH(AQ$2 &amp; " US Equity","PX_LAST",$B185,$B185)</f>
        <v>#N/A Connection</v>
      </c>
      <c r="AR185" t="str" cm="1">
        <f t="array" ref="AR185">_xll.BDH(AR$2 &amp; " US Equity","PX_LAST",$B185,$B185)</f>
        <v>#N/A Connection</v>
      </c>
      <c r="AS185" t="str" cm="1">
        <f t="array" ref="AS185">_xll.BDH(AS$2 &amp; " US Equity","PX_LAST",$B185,$B185)</f>
        <v>#N/A Connection</v>
      </c>
      <c r="AT185" t="str" cm="1">
        <f t="array" ref="AT185">_xll.BDH(AT$2 &amp; " US Equity","PX_LAST",$B185,$B185)</f>
        <v>#N/A Connection</v>
      </c>
      <c r="AU185" t="str" cm="1">
        <f t="array" ref="AU185">_xll.BDH(AU$2 &amp; " US Equity","PX_LAST",$B185,$B185)</f>
        <v>#N/A Connection</v>
      </c>
      <c r="AV185" t="str" cm="1">
        <f t="array" ref="AV185">_xll.BDH(AV$2 &amp; " US Equity","PX_LAST",$B185,$B185)</f>
        <v>#N/A Connection</v>
      </c>
      <c r="AW185" t="str" cm="1">
        <f t="array" ref="AW185">_xll.BDH(AW$2 &amp; " US Equity","PX_LAST",$B185,$B185)</f>
        <v>#N/A Connection</v>
      </c>
    </row>
    <row r="186" spans="2:49">
      <c r="B186" s="13">
        <v>46084</v>
      </c>
      <c r="C186" t="str" cm="1">
        <f t="array" ref="C186">_xll.BDH(C$2 &amp; " US Equity","PX_LAST",$B186,$B186)</f>
        <v>#N/A Connection</v>
      </c>
      <c r="D186" t="str" cm="1">
        <f t="array" ref="D186">_xll.BDH(D$2 &amp; " PE Equity","PX_LAST",$B186,$B186)</f>
        <v>#N/A Connection</v>
      </c>
      <c r="E186" t="str" cm="1">
        <f t="array" ref="E186">_xll.BDH(E$2 &amp; " PE Equity","PX_LAST",$B186,$B186)</f>
        <v>#N/A Connection</v>
      </c>
      <c r="F186" t="str" cm="1">
        <f t="array" ref="F186">_xll.BDH(F$2 &amp; " PE Equity","PX_LAST",$B186,$B186)</f>
        <v>#N/A Connection</v>
      </c>
      <c r="G186" t="str" cm="1">
        <f t="array" ref="G186">_xll.BDH(G$2 &amp; " US Equity","PX_LAST",$B186,$B186)</f>
        <v>#N/A Connection</v>
      </c>
      <c r="H186" t="str" cm="1">
        <f t="array" ref="H186">_xll.BDH(H$2 &amp; " PE Equity","PX_LAST",$B186,$B186)</f>
        <v>#N/A Connection</v>
      </c>
      <c r="I186" t="str" cm="1">
        <f t="array" ref="I186">_xll.BDH(I$2 &amp; " US Equity","PX_LAST",$B186,$B186)</f>
        <v>#N/A Connection</v>
      </c>
      <c r="J186" t="str" cm="1">
        <f t="array" ref="J186">_xll.BDH(J$2 &amp; " US Equity","PX_LAST",$B186,$B186)</f>
        <v>#N/A Connection</v>
      </c>
      <c r="K186" t="str" cm="1">
        <f t="array" ref="K186">_xll.BDH(K$2 &amp; " US Equity","PX_LAST",$B186,$B186)</f>
        <v>#N/A Connection</v>
      </c>
      <c r="L186" t="str" cm="1">
        <f t="array" ref="L186">_xll.BDH(L$2 &amp; " US Equity","PX_LAST",$B186,$B186)</f>
        <v>#N/A Connection</v>
      </c>
      <c r="M186" t="str" cm="1">
        <f t="array" ref="M186">_xll.BDH(M$2 &amp; " US Equity","PX_LAST",$B186,$B186)</f>
        <v>#N/A Connection</v>
      </c>
      <c r="N186" t="str" cm="1">
        <f t="array" ref="N186">_xll.BDH(N$2 &amp; " US Equity","PX_LAST",$B186,$B186)</f>
        <v>#N/A Connection</v>
      </c>
      <c r="O186" t="str" cm="1">
        <f t="array" ref="O186">_xll.BDH(O$2 &amp; " US Equity","PX_LAST",$B186,$B186)</f>
        <v>#N/A Connection</v>
      </c>
      <c r="P186" t="str" cm="1">
        <f t="array" ref="P186">_xll.BDH(P$2 &amp; " US Equity","PX_LAST",$B186,$B186)</f>
        <v>#N/A Connection</v>
      </c>
      <c r="Q186" t="str" cm="1">
        <f t="array" ref="Q186">_xll.BDH(Q$2 &amp; " US Equity","PX_LAST",$B186,$B186)</f>
        <v>#N/A Connection</v>
      </c>
      <c r="R186" t="str" cm="1">
        <f t="array" ref="R186">_xll.BDH(R$2 &amp; " US Equity","PX_LAST",$B186,$B186)</f>
        <v>#N/A Connection</v>
      </c>
      <c r="S186" t="str" cm="1">
        <f t="array" ref="S186">_xll.BDH(S$2 &amp; " US Equity","PX_LAST",$B186,$B186)</f>
        <v>#N/A Connection</v>
      </c>
      <c r="T186" t="str" cm="1">
        <f t="array" ref="T186">_xll.BDH(T$2 &amp; " US Equity","PX_LAST",$B186,$B186)</f>
        <v>#N/A Connection</v>
      </c>
      <c r="U186" t="str" cm="1">
        <f t="array" ref="U186">_xll.BDH(U$2 &amp; " US Equity","PX_LAST",$B186,$B186)</f>
        <v>#N/A Connection</v>
      </c>
      <c r="V186" t="str" cm="1">
        <f t="array" ref="V186">_xll.BDH(V$2 &amp; " US Equity","PX_LAST",$B186,$B186)</f>
        <v>#N/A Connection</v>
      </c>
      <c r="W186" t="str" cm="1">
        <f t="array" ref="W186">_xll.BDH(W$2 &amp; " US Equity","PX_LAST",$B186,$B186)</f>
        <v>#N/A Connection</v>
      </c>
      <c r="X186" t="str" cm="1">
        <f t="array" ref="X186">_xll.BDH(X$2 &amp; " US Equity","PX_LAST",$B186,$B186)</f>
        <v>#N/A Connection</v>
      </c>
      <c r="Y186" t="str" cm="1">
        <f t="array" ref="Y186">_xll.BDH(Y$2 &amp; " US Equity","PX_LAST",$B186,$B186)</f>
        <v>#N/A Connection</v>
      </c>
      <c r="Z186" t="str" cm="1">
        <f t="array" ref="Z186">_xll.BDH(Z$2 &amp; " US Equity","PX_LAST",$B186,$B186)</f>
        <v>#N/A Connection</v>
      </c>
      <c r="AA186" t="str" cm="1">
        <f t="array" ref="AA186">_xll.BDH(AA$2 &amp; " PE Equity","PX_LAST",$B186,$B186)</f>
        <v>#N/A Connection</v>
      </c>
      <c r="AB186" t="str" cm="1">
        <f t="array" ref="AB186">_xll.BDH(AB$2 &amp; " PE Equity","PX_LAST",$B186,$B186)</f>
        <v>#N/A Connection</v>
      </c>
      <c r="AC186" t="str" cm="1">
        <f t="array" ref="AC186">_xll.BDH(AC$2 &amp; " US Equity","PX_LAST",$B186,$B186)</f>
        <v>#N/A Connection</v>
      </c>
      <c r="AD186" t="str" cm="1">
        <f t="array" ref="AD186">_xll.BDH(AD$2 &amp; " US Equity","PX_LAST",$B186,$B186)</f>
        <v>#N/A Connection</v>
      </c>
      <c r="AE186" t="str" cm="1">
        <f t="array" ref="AE186">_xll.BDH(AE$2 &amp; " PE Equity","PX_LAST",$B186,$B186)</f>
        <v>#N/A Connection</v>
      </c>
      <c r="AF186" t="str" cm="1">
        <f t="array" ref="AF186">_xll.BDH(AF$2 &amp; " US Equity","PX_LAST",$B186,$B186)</f>
        <v>#N/A Connection</v>
      </c>
      <c r="AG186" t="str" cm="1">
        <f t="array" ref="AG186">_xll.BDH(AG$2 &amp; " US Equity","PX_LAST",$B186,$B186)</f>
        <v>#N/A Connection</v>
      </c>
      <c r="AH186" t="str" cm="1">
        <f t="array" ref="AH186">_xll.BDH(AH$2 &amp; " US Equity","PX_LAST",$B186,$B186)</f>
        <v>#N/A Connection</v>
      </c>
      <c r="AI186" t="str" cm="1">
        <f t="array" ref="AI186">_xll.BDH(AI$2 &amp; " US Equity","PX_LAST",$B186,$B186)</f>
        <v>#N/A Connection</v>
      </c>
      <c r="AJ186" t="str" cm="1">
        <f t="array" ref="AJ186">_xll.BDH(AJ$2 &amp; " US Equity","PX_LAST",$B186,$B186)</f>
        <v>#N/A Connection</v>
      </c>
      <c r="AK186" t="str" cm="1">
        <f t="array" ref="AK186">_xll.BDH(AK$2 &amp; " US Equity","PX_LAST",$B186,$B186)</f>
        <v>#N/A Connection</v>
      </c>
      <c r="AL186" t="str" cm="1">
        <f t="array" ref="AL186">_xll.BDH(AL$2 &amp; " US Equity","PX_LAST",$B186,$B186)</f>
        <v>#N/A Connection</v>
      </c>
      <c r="AM186" t="str" cm="1">
        <f t="array" ref="AM186">_xll.BDH(AM$2 &amp; " US Equity","PX_LAST",$B186,$B186)</f>
        <v>#N/A Connection</v>
      </c>
      <c r="AN186" t="str" cm="1">
        <f t="array" ref="AN186">_xll.BDH(AN$2 &amp; " US Equity","PX_LAST",$B186,$B186)</f>
        <v>#N/A Connection</v>
      </c>
      <c r="AO186" t="str" cm="1">
        <f t="array" ref="AO186">_xll.BDH(AO$2 &amp; " US Equity","PX_LAST",$B186,$B186)</f>
        <v>#N/A Connection</v>
      </c>
      <c r="AP186" t="str" cm="1">
        <f t="array" ref="AP186">_xll.BDH(AP$2 &amp; " US Equity","PX_LAST",$B186,$B186)</f>
        <v>#N/A Connection</v>
      </c>
      <c r="AQ186" t="str" cm="1">
        <f t="array" ref="AQ186">_xll.BDH(AQ$2 &amp; " US Equity","PX_LAST",$B186,$B186)</f>
        <v>#N/A Connection</v>
      </c>
      <c r="AR186" t="str" cm="1">
        <f t="array" ref="AR186">_xll.BDH(AR$2 &amp; " US Equity","PX_LAST",$B186,$B186)</f>
        <v>#N/A Connection</v>
      </c>
      <c r="AS186" t="str" cm="1">
        <f t="array" ref="AS186">_xll.BDH(AS$2 &amp; " US Equity","PX_LAST",$B186,$B186)</f>
        <v>#N/A Connection</v>
      </c>
      <c r="AT186" t="str" cm="1">
        <f t="array" ref="AT186">_xll.BDH(AT$2 &amp; " US Equity","PX_LAST",$B186,$B186)</f>
        <v>#N/A Connection</v>
      </c>
      <c r="AU186" t="str" cm="1">
        <f t="array" ref="AU186">_xll.BDH(AU$2 &amp; " US Equity","PX_LAST",$B186,$B186)</f>
        <v>#N/A Connection</v>
      </c>
      <c r="AV186" t="str" cm="1">
        <f t="array" ref="AV186">_xll.BDH(AV$2 &amp; " US Equity","PX_LAST",$B186,$B186)</f>
        <v>#N/A Connection</v>
      </c>
      <c r="AW186" t="str" cm="1">
        <f t="array" ref="AW186">_xll.BDH(AW$2 &amp; " US Equity","PX_LAST",$B186,$B186)</f>
        <v>#N/A Connection</v>
      </c>
    </row>
    <row r="187" spans="2:49">
      <c r="B187" s="13">
        <v>46085</v>
      </c>
      <c r="C187" t="str" cm="1">
        <f t="array" ref="C187">_xll.BDH(C$2 &amp; " US Equity","PX_LAST",$B187,$B187)</f>
        <v>#N/A Connection</v>
      </c>
      <c r="D187" t="str" cm="1">
        <f t="array" ref="D187">_xll.BDH(D$2 &amp; " PE Equity","PX_LAST",$B187,$B187)</f>
        <v>#N/A Connection</v>
      </c>
      <c r="E187" t="str" cm="1">
        <f t="array" ref="E187">_xll.BDH(E$2 &amp; " PE Equity","PX_LAST",$B187,$B187)</f>
        <v>#N/A Connection</v>
      </c>
      <c r="F187" t="str" cm="1">
        <f t="array" ref="F187">_xll.BDH(F$2 &amp; " PE Equity","PX_LAST",$B187,$B187)</f>
        <v>#N/A Connection</v>
      </c>
      <c r="G187" t="str" cm="1">
        <f t="array" ref="G187">_xll.BDH(G$2 &amp; " US Equity","PX_LAST",$B187,$B187)</f>
        <v>#N/A Connection</v>
      </c>
      <c r="H187" t="str" cm="1">
        <f t="array" ref="H187">_xll.BDH(H$2 &amp; " PE Equity","PX_LAST",$B187,$B187)</f>
        <v>#N/A Connection</v>
      </c>
      <c r="I187" t="str" cm="1">
        <f t="array" ref="I187">_xll.BDH(I$2 &amp; " US Equity","PX_LAST",$B187,$B187)</f>
        <v>#N/A Connection</v>
      </c>
      <c r="J187" t="str" cm="1">
        <f t="array" ref="J187">_xll.BDH(J$2 &amp; " US Equity","PX_LAST",$B187,$B187)</f>
        <v>#N/A Connection</v>
      </c>
      <c r="K187" t="str" cm="1">
        <f t="array" ref="K187">_xll.BDH(K$2 &amp; " US Equity","PX_LAST",$B187,$B187)</f>
        <v>#N/A Connection</v>
      </c>
      <c r="L187" t="str" cm="1">
        <f t="array" ref="L187">_xll.BDH(L$2 &amp; " US Equity","PX_LAST",$B187,$B187)</f>
        <v>#N/A Connection</v>
      </c>
      <c r="M187" t="str" cm="1">
        <f t="array" ref="M187">_xll.BDH(M$2 &amp; " US Equity","PX_LAST",$B187,$B187)</f>
        <v>#N/A Connection</v>
      </c>
      <c r="N187" t="str" cm="1">
        <f t="array" ref="N187">_xll.BDH(N$2 &amp; " US Equity","PX_LAST",$B187,$B187)</f>
        <v>#N/A Connection</v>
      </c>
      <c r="O187" t="str" cm="1">
        <f t="array" ref="O187">_xll.BDH(O$2 &amp; " US Equity","PX_LAST",$B187,$B187)</f>
        <v>#N/A Connection</v>
      </c>
      <c r="P187" t="str" cm="1">
        <f t="array" ref="P187">_xll.BDH(P$2 &amp; " US Equity","PX_LAST",$B187,$B187)</f>
        <v>#N/A Connection</v>
      </c>
      <c r="Q187" t="str" cm="1">
        <f t="array" ref="Q187">_xll.BDH(Q$2 &amp; " US Equity","PX_LAST",$B187,$B187)</f>
        <v>#N/A Connection</v>
      </c>
      <c r="R187" t="str" cm="1">
        <f t="array" ref="R187">_xll.BDH(R$2 &amp; " US Equity","PX_LAST",$B187,$B187)</f>
        <v>#N/A Connection</v>
      </c>
      <c r="S187" t="str" cm="1">
        <f t="array" ref="S187">_xll.BDH(S$2 &amp; " US Equity","PX_LAST",$B187,$B187)</f>
        <v>#N/A Connection</v>
      </c>
      <c r="T187" t="str" cm="1">
        <f t="array" ref="T187">_xll.BDH(T$2 &amp; " US Equity","PX_LAST",$B187,$B187)</f>
        <v>#N/A Connection</v>
      </c>
      <c r="U187" t="str" cm="1">
        <f t="array" ref="U187">_xll.BDH(U$2 &amp; " US Equity","PX_LAST",$B187,$B187)</f>
        <v>#N/A Connection</v>
      </c>
      <c r="V187" t="str" cm="1">
        <f t="array" ref="V187">_xll.BDH(V$2 &amp; " US Equity","PX_LAST",$B187,$B187)</f>
        <v>#N/A Connection</v>
      </c>
      <c r="W187" t="str" cm="1">
        <f t="array" ref="W187">_xll.BDH(W$2 &amp; " US Equity","PX_LAST",$B187,$B187)</f>
        <v>#N/A Connection</v>
      </c>
      <c r="X187" t="str" cm="1">
        <f t="array" ref="X187">_xll.BDH(X$2 &amp; " US Equity","PX_LAST",$B187,$B187)</f>
        <v>#N/A Connection</v>
      </c>
      <c r="Y187" t="str" cm="1">
        <f t="array" ref="Y187">_xll.BDH(Y$2 &amp; " US Equity","PX_LAST",$B187,$B187)</f>
        <v>#N/A Connection</v>
      </c>
      <c r="Z187" t="str" cm="1">
        <f t="array" ref="Z187">_xll.BDH(Z$2 &amp; " US Equity","PX_LAST",$B187,$B187)</f>
        <v>#N/A Connection</v>
      </c>
      <c r="AA187" t="str" cm="1">
        <f t="array" ref="AA187">_xll.BDH(AA$2 &amp; " PE Equity","PX_LAST",$B187,$B187)</f>
        <v>#N/A Connection</v>
      </c>
      <c r="AB187" t="str" cm="1">
        <f t="array" ref="AB187">_xll.BDH(AB$2 &amp; " PE Equity","PX_LAST",$B187,$B187)</f>
        <v>#N/A Connection</v>
      </c>
      <c r="AC187" t="str" cm="1">
        <f t="array" ref="AC187">_xll.BDH(AC$2 &amp; " US Equity","PX_LAST",$B187,$B187)</f>
        <v>#N/A Connection</v>
      </c>
      <c r="AD187" t="str" cm="1">
        <f t="array" ref="AD187">_xll.BDH(AD$2 &amp; " US Equity","PX_LAST",$B187,$B187)</f>
        <v>#N/A Connection</v>
      </c>
      <c r="AE187" t="str" cm="1">
        <f t="array" ref="AE187">_xll.BDH(AE$2 &amp; " PE Equity","PX_LAST",$B187,$B187)</f>
        <v>#N/A Connection</v>
      </c>
      <c r="AF187" t="str" cm="1">
        <f t="array" ref="AF187">_xll.BDH(AF$2 &amp; " US Equity","PX_LAST",$B187,$B187)</f>
        <v>#N/A Connection</v>
      </c>
      <c r="AG187" t="str" cm="1">
        <f t="array" ref="AG187">_xll.BDH(AG$2 &amp; " US Equity","PX_LAST",$B187,$B187)</f>
        <v>#N/A Connection</v>
      </c>
      <c r="AH187" t="str" cm="1">
        <f t="array" ref="AH187">_xll.BDH(AH$2 &amp; " US Equity","PX_LAST",$B187,$B187)</f>
        <v>#N/A Connection</v>
      </c>
      <c r="AI187" t="str" cm="1">
        <f t="array" ref="AI187">_xll.BDH(AI$2 &amp; " US Equity","PX_LAST",$B187,$B187)</f>
        <v>#N/A Connection</v>
      </c>
      <c r="AJ187" t="str" cm="1">
        <f t="array" ref="AJ187">_xll.BDH(AJ$2 &amp; " US Equity","PX_LAST",$B187,$B187)</f>
        <v>#N/A Connection</v>
      </c>
      <c r="AK187" t="str" cm="1">
        <f t="array" ref="AK187">_xll.BDH(AK$2 &amp; " US Equity","PX_LAST",$B187,$B187)</f>
        <v>#N/A Connection</v>
      </c>
      <c r="AL187" t="str" cm="1">
        <f t="array" ref="AL187">_xll.BDH(AL$2 &amp; " US Equity","PX_LAST",$B187,$B187)</f>
        <v>#N/A Connection</v>
      </c>
      <c r="AM187" t="str" cm="1">
        <f t="array" ref="AM187">_xll.BDH(AM$2 &amp; " US Equity","PX_LAST",$B187,$B187)</f>
        <v>#N/A Connection</v>
      </c>
      <c r="AN187" t="str" cm="1">
        <f t="array" ref="AN187">_xll.BDH(AN$2 &amp; " US Equity","PX_LAST",$B187,$B187)</f>
        <v>#N/A Connection</v>
      </c>
      <c r="AO187" t="str" cm="1">
        <f t="array" ref="AO187">_xll.BDH(AO$2 &amp; " US Equity","PX_LAST",$B187,$B187)</f>
        <v>#N/A Connection</v>
      </c>
      <c r="AP187" t="str" cm="1">
        <f t="array" ref="AP187">_xll.BDH(AP$2 &amp; " US Equity","PX_LAST",$B187,$B187)</f>
        <v>#N/A Connection</v>
      </c>
      <c r="AQ187" t="str" cm="1">
        <f t="array" ref="AQ187">_xll.BDH(AQ$2 &amp; " US Equity","PX_LAST",$B187,$B187)</f>
        <v>#N/A Connection</v>
      </c>
      <c r="AR187" t="str" cm="1">
        <f t="array" ref="AR187">_xll.BDH(AR$2 &amp; " US Equity","PX_LAST",$B187,$B187)</f>
        <v>#N/A Connection</v>
      </c>
      <c r="AS187" t="str" cm="1">
        <f t="array" ref="AS187">_xll.BDH(AS$2 &amp; " US Equity","PX_LAST",$B187,$B187)</f>
        <v>#N/A Connection</v>
      </c>
      <c r="AT187" t="str" cm="1">
        <f t="array" ref="AT187">_xll.BDH(AT$2 &amp; " US Equity","PX_LAST",$B187,$B187)</f>
        <v>#N/A Connection</v>
      </c>
      <c r="AU187" t="str" cm="1">
        <f t="array" ref="AU187">_xll.BDH(AU$2 &amp; " US Equity","PX_LAST",$B187,$B187)</f>
        <v>#N/A Connection</v>
      </c>
      <c r="AV187" t="str" cm="1">
        <f t="array" ref="AV187">_xll.BDH(AV$2 &amp; " US Equity","PX_LAST",$B187,$B187)</f>
        <v>#N/A Connection</v>
      </c>
      <c r="AW187" t="str" cm="1">
        <f t="array" ref="AW187">_xll.BDH(AW$2 &amp; " US Equity","PX_LAST",$B187,$B187)</f>
        <v>#N/A Connection</v>
      </c>
    </row>
    <row r="188" spans="2:49">
      <c r="B188" s="13">
        <v>46086</v>
      </c>
      <c r="C188" t="str" cm="1">
        <f t="array" ref="C188">_xll.BDH(C$2 &amp; " US Equity","PX_LAST",$B188,$B188)</f>
        <v>#N/A Connection</v>
      </c>
      <c r="D188" t="str" cm="1">
        <f t="array" ref="D188">_xll.BDH(D$2 &amp; " PE Equity","PX_LAST",$B188,$B188)</f>
        <v>#N/A Connection</v>
      </c>
      <c r="E188" t="str" cm="1">
        <f t="array" ref="E188">_xll.BDH(E$2 &amp; " PE Equity","PX_LAST",$B188,$B188)</f>
        <v>#N/A Connection</v>
      </c>
      <c r="F188" t="str" cm="1">
        <f t="array" ref="F188">_xll.BDH(F$2 &amp; " PE Equity","PX_LAST",$B188,$B188)</f>
        <v>#N/A Connection</v>
      </c>
      <c r="G188" t="str" cm="1">
        <f t="array" ref="G188">_xll.BDH(G$2 &amp; " US Equity","PX_LAST",$B188,$B188)</f>
        <v>#N/A Connection</v>
      </c>
      <c r="H188" t="str" cm="1">
        <f t="array" ref="H188">_xll.BDH(H$2 &amp; " PE Equity","PX_LAST",$B188,$B188)</f>
        <v>#N/A Connection</v>
      </c>
      <c r="I188" t="str" cm="1">
        <f t="array" ref="I188">_xll.BDH(I$2 &amp; " US Equity","PX_LAST",$B188,$B188)</f>
        <v>#N/A Connection</v>
      </c>
      <c r="J188" t="str" cm="1">
        <f t="array" ref="J188">_xll.BDH(J$2 &amp; " US Equity","PX_LAST",$B188,$B188)</f>
        <v>#N/A Connection</v>
      </c>
      <c r="K188" t="str" cm="1">
        <f t="array" ref="K188">_xll.BDH(K$2 &amp; " US Equity","PX_LAST",$B188,$B188)</f>
        <v>#N/A Connection</v>
      </c>
      <c r="L188" t="str" cm="1">
        <f t="array" ref="L188">_xll.BDH(L$2 &amp; " US Equity","PX_LAST",$B188,$B188)</f>
        <v>#N/A Connection</v>
      </c>
      <c r="M188" t="str" cm="1">
        <f t="array" ref="M188">_xll.BDH(M$2 &amp; " US Equity","PX_LAST",$B188,$B188)</f>
        <v>#N/A Connection</v>
      </c>
      <c r="N188" t="str" cm="1">
        <f t="array" ref="N188">_xll.BDH(N$2 &amp; " US Equity","PX_LAST",$B188,$B188)</f>
        <v>#N/A Connection</v>
      </c>
      <c r="O188" t="str" cm="1">
        <f t="array" ref="O188">_xll.BDH(O$2 &amp; " US Equity","PX_LAST",$B188,$B188)</f>
        <v>#N/A Connection</v>
      </c>
      <c r="P188" t="str" cm="1">
        <f t="array" ref="P188">_xll.BDH(P$2 &amp; " US Equity","PX_LAST",$B188,$B188)</f>
        <v>#N/A Connection</v>
      </c>
      <c r="Q188" t="str" cm="1">
        <f t="array" ref="Q188">_xll.BDH(Q$2 &amp; " US Equity","PX_LAST",$B188,$B188)</f>
        <v>#N/A Connection</v>
      </c>
      <c r="R188" t="str" cm="1">
        <f t="array" ref="R188">_xll.BDH(R$2 &amp; " US Equity","PX_LAST",$B188,$B188)</f>
        <v>#N/A Connection</v>
      </c>
      <c r="S188" t="str" cm="1">
        <f t="array" ref="S188">_xll.BDH(S$2 &amp; " US Equity","PX_LAST",$B188,$B188)</f>
        <v>#N/A Connection</v>
      </c>
      <c r="T188" t="str" cm="1">
        <f t="array" ref="T188">_xll.BDH(T$2 &amp; " US Equity","PX_LAST",$B188,$B188)</f>
        <v>#N/A Connection</v>
      </c>
      <c r="U188" t="str" cm="1">
        <f t="array" ref="U188">_xll.BDH(U$2 &amp; " US Equity","PX_LAST",$B188,$B188)</f>
        <v>#N/A Connection</v>
      </c>
      <c r="V188" t="str" cm="1">
        <f t="array" ref="V188">_xll.BDH(V$2 &amp; " US Equity","PX_LAST",$B188,$B188)</f>
        <v>#N/A Connection</v>
      </c>
      <c r="W188" t="str" cm="1">
        <f t="array" ref="W188">_xll.BDH(W$2 &amp; " US Equity","PX_LAST",$B188,$B188)</f>
        <v>#N/A Connection</v>
      </c>
      <c r="X188" t="str" cm="1">
        <f t="array" ref="X188">_xll.BDH(X$2 &amp; " US Equity","PX_LAST",$B188,$B188)</f>
        <v>#N/A Connection</v>
      </c>
      <c r="Y188" t="str" cm="1">
        <f t="array" ref="Y188">_xll.BDH(Y$2 &amp; " US Equity","PX_LAST",$B188,$B188)</f>
        <v>#N/A Connection</v>
      </c>
      <c r="Z188" t="str" cm="1">
        <f t="array" ref="Z188">_xll.BDH(Z$2 &amp; " US Equity","PX_LAST",$B188,$B188)</f>
        <v>#N/A Connection</v>
      </c>
      <c r="AA188" t="str" cm="1">
        <f t="array" ref="AA188">_xll.BDH(AA$2 &amp; " PE Equity","PX_LAST",$B188,$B188)</f>
        <v>#N/A Connection</v>
      </c>
      <c r="AB188" t="str" cm="1">
        <f t="array" ref="AB188">_xll.BDH(AB$2 &amp; " PE Equity","PX_LAST",$B188,$B188)</f>
        <v>#N/A Connection</v>
      </c>
      <c r="AC188" t="str" cm="1">
        <f t="array" ref="AC188">_xll.BDH(AC$2 &amp; " US Equity","PX_LAST",$B188,$B188)</f>
        <v>#N/A Connection</v>
      </c>
      <c r="AD188" t="str" cm="1">
        <f t="array" ref="AD188">_xll.BDH(AD$2 &amp; " US Equity","PX_LAST",$B188,$B188)</f>
        <v>#N/A Connection</v>
      </c>
      <c r="AE188" t="str" cm="1">
        <f t="array" ref="AE188">_xll.BDH(AE$2 &amp; " PE Equity","PX_LAST",$B188,$B188)</f>
        <v>#N/A Connection</v>
      </c>
      <c r="AF188" t="str" cm="1">
        <f t="array" ref="AF188">_xll.BDH(AF$2 &amp; " US Equity","PX_LAST",$B188,$B188)</f>
        <v>#N/A Connection</v>
      </c>
      <c r="AG188" t="str" cm="1">
        <f t="array" ref="AG188">_xll.BDH(AG$2 &amp; " US Equity","PX_LAST",$B188,$B188)</f>
        <v>#N/A Connection</v>
      </c>
      <c r="AH188" t="str" cm="1">
        <f t="array" ref="AH188">_xll.BDH(AH$2 &amp; " US Equity","PX_LAST",$B188,$B188)</f>
        <v>#N/A Connection</v>
      </c>
      <c r="AI188" t="str" cm="1">
        <f t="array" ref="AI188">_xll.BDH(AI$2 &amp; " US Equity","PX_LAST",$B188,$B188)</f>
        <v>#N/A Connection</v>
      </c>
      <c r="AJ188" t="str" cm="1">
        <f t="array" ref="AJ188">_xll.BDH(AJ$2 &amp; " US Equity","PX_LAST",$B188,$B188)</f>
        <v>#N/A Connection</v>
      </c>
      <c r="AK188" t="str" cm="1">
        <f t="array" ref="AK188">_xll.BDH(AK$2 &amp; " US Equity","PX_LAST",$B188,$B188)</f>
        <v>#N/A Connection</v>
      </c>
      <c r="AL188" t="str" cm="1">
        <f t="array" ref="AL188">_xll.BDH(AL$2 &amp; " US Equity","PX_LAST",$B188,$B188)</f>
        <v>#N/A Connection</v>
      </c>
      <c r="AM188" t="str" cm="1">
        <f t="array" ref="AM188">_xll.BDH(AM$2 &amp; " US Equity","PX_LAST",$B188,$B188)</f>
        <v>#N/A Connection</v>
      </c>
      <c r="AN188" t="str" cm="1">
        <f t="array" ref="AN188">_xll.BDH(AN$2 &amp; " US Equity","PX_LAST",$B188,$B188)</f>
        <v>#N/A Connection</v>
      </c>
      <c r="AO188" t="str" cm="1">
        <f t="array" ref="AO188">_xll.BDH(AO$2 &amp; " US Equity","PX_LAST",$B188,$B188)</f>
        <v>#N/A Connection</v>
      </c>
      <c r="AP188" t="str" cm="1">
        <f t="array" ref="AP188">_xll.BDH(AP$2 &amp; " US Equity","PX_LAST",$B188,$B188)</f>
        <v>#N/A Connection</v>
      </c>
      <c r="AQ188" t="str" cm="1">
        <f t="array" ref="AQ188">_xll.BDH(AQ$2 &amp; " US Equity","PX_LAST",$B188,$B188)</f>
        <v>#N/A Connection</v>
      </c>
      <c r="AR188" t="str" cm="1">
        <f t="array" ref="AR188">_xll.BDH(AR$2 &amp; " US Equity","PX_LAST",$B188,$B188)</f>
        <v>#N/A Connection</v>
      </c>
      <c r="AS188" t="str" cm="1">
        <f t="array" ref="AS188">_xll.BDH(AS$2 &amp; " US Equity","PX_LAST",$B188,$B188)</f>
        <v>#N/A Connection</v>
      </c>
      <c r="AT188" t="str" cm="1">
        <f t="array" ref="AT188">_xll.BDH(AT$2 &amp; " US Equity","PX_LAST",$B188,$B188)</f>
        <v>#N/A Connection</v>
      </c>
      <c r="AU188" t="str" cm="1">
        <f t="array" ref="AU188">_xll.BDH(AU$2 &amp; " US Equity","PX_LAST",$B188,$B188)</f>
        <v>#N/A Connection</v>
      </c>
      <c r="AV188" t="str" cm="1">
        <f t="array" ref="AV188">_xll.BDH(AV$2 &amp; " US Equity","PX_LAST",$B188,$B188)</f>
        <v>#N/A Connection</v>
      </c>
      <c r="AW188" t="str" cm="1">
        <f t="array" ref="AW188">_xll.BDH(AW$2 &amp; " US Equity","PX_LAST",$B188,$B188)</f>
        <v>#N/A Connection</v>
      </c>
    </row>
    <row r="189" spans="2:49">
      <c r="B189" s="13">
        <v>46087</v>
      </c>
      <c r="C189" t="str" cm="1">
        <f t="array" ref="C189">_xll.BDH(C$2 &amp; " US Equity","PX_LAST",$B189,$B189)</f>
        <v>#N/A Connection</v>
      </c>
      <c r="D189" t="str" cm="1">
        <f t="array" ref="D189">_xll.BDH(D$2 &amp; " PE Equity","PX_LAST",$B189,$B189)</f>
        <v>#N/A Connection</v>
      </c>
      <c r="E189" t="str" cm="1">
        <f t="array" ref="E189">_xll.BDH(E$2 &amp; " PE Equity","PX_LAST",$B189,$B189)</f>
        <v>#N/A Connection</v>
      </c>
      <c r="F189" t="str" cm="1">
        <f t="array" ref="F189">_xll.BDH(F$2 &amp; " PE Equity","PX_LAST",$B189,$B189)</f>
        <v>#N/A Connection</v>
      </c>
      <c r="G189" t="str" cm="1">
        <f t="array" ref="G189">_xll.BDH(G$2 &amp; " US Equity","PX_LAST",$B189,$B189)</f>
        <v>#N/A Connection</v>
      </c>
      <c r="H189" t="str" cm="1">
        <f t="array" ref="H189">_xll.BDH(H$2 &amp; " PE Equity","PX_LAST",$B189,$B189)</f>
        <v>#N/A Connection</v>
      </c>
      <c r="I189" t="str" cm="1">
        <f t="array" ref="I189">_xll.BDH(I$2 &amp; " US Equity","PX_LAST",$B189,$B189)</f>
        <v>#N/A Connection</v>
      </c>
      <c r="J189" t="str" cm="1">
        <f t="array" ref="J189">_xll.BDH(J$2 &amp; " US Equity","PX_LAST",$B189,$B189)</f>
        <v>#N/A Connection</v>
      </c>
      <c r="K189" t="str" cm="1">
        <f t="array" ref="K189">_xll.BDH(K$2 &amp; " US Equity","PX_LAST",$B189,$B189)</f>
        <v>#N/A Connection</v>
      </c>
      <c r="L189" t="str" cm="1">
        <f t="array" ref="L189">_xll.BDH(L$2 &amp; " US Equity","PX_LAST",$B189,$B189)</f>
        <v>#N/A Connection</v>
      </c>
      <c r="M189" t="str" cm="1">
        <f t="array" ref="M189">_xll.BDH(M$2 &amp; " US Equity","PX_LAST",$B189,$B189)</f>
        <v>#N/A Connection</v>
      </c>
      <c r="N189" t="str" cm="1">
        <f t="array" ref="N189">_xll.BDH(N$2 &amp; " US Equity","PX_LAST",$B189,$B189)</f>
        <v>#N/A Connection</v>
      </c>
      <c r="O189" t="str" cm="1">
        <f t="array" ref="O189">_xll.BDH(O$2 &amp; " US Equity","PX_LAST",$B189,$B189)</f>
        <v>#N/A Connection</v>
      </c>
      <c r="P189" t="str" cm="1">
        <f t="array" ref="P189">_xll.BDH(P$2 &amp; " US Equity","PX_LAST",$B189,$B189)</f>
        <v>#N/A Connection</v>
      </c>
      <c r="Q189" t="str" cm="1">
        <f t="array" ref="Q189">_xll.BDH(Q$2 &amp; " US Equity","PX_LAST",$B189,$B189)</f>
        <v>#N/A Connection</v>
      </c>
      <c r="R189" t="str" cm="1">
        <f t="array" ref="R189">_xll.BDH(R$2 &amp; " US Equity","PX_LAST",$B189,$B189)</f>
        <v>#N/A Connection</v>
      </c>
      <c r="S189" t="str" cm="1">
        <f t="array" ref="S189">_xll.BDH(S$2 &amp; " US Equity","PX_LAST",$B189,$B189)</f>
        <v>#N/A Connection</v>
      </c>
      <c r="T189" t="str" cm="1">
        <f t="array" ref="T189">_xll.BDH(T$2 &amp; " US Equity","PX_LAST",$B189,$B189)</f>
        <v>#N/A Connection</v>
      </c>
      <c r="U189" t="str" cm="1">
        <f t="array" ref="U189">_xll.BDH(U$2 &amp; " US Equity","PX_LAST",$B189,$B189)</f>
        <v>#N/A Connection</v>
      </c>
      <c r="V189" t="str" cm="1">
        <f t="array" ref="V189">_xll.BDH(V$2 &amp; " US Equity","PX_LAST",$B189,$B189)</f>
        <v>#N/A Connection</v>
      </c>
      <c r="W189" t="str" cm="1">
        <f t="array" ref="W189">_xll.BDH(W$2 &amp; " US Equity","PX_LAST",$B189,$B189)</f>
        <v>#N/A Connection</v>
      </c>
      <c r="X189" t="str" cm="1">
        <f t="array" ref="X189">_xll.BDH(X$2 &amp; " US Equity","PX_LAST",$B189,$B189)</f>
        <v>#N/A Connection</v>
      </c>
      <c r="Y189" t="str" cm="1">
        <f t="array" ref="Y189">_xll.BDH(Y$2 &amp; " US Equity","PX_LAST",$B189,$B189)</f>
        <v>#N/A Connection</v>
      </c>
      <c r="Z189" t="str" cm="1">
        <f t="array" ref="Z189">_xll.BDH(Z$2 &amp; " US Equity","PX_LAST",$B189,$B189)</f>
        <v>#N/A Connection</v>
      </c>
      <c r="AA189" t="str" cm="1">
        <f t="array" ref="AA189">_xll.BDH(AA$2 &amp; " PE Equity","PX_LAST",$B189,$B189)</f>
        <v>#N/A Connection</v>
      </c>
      <c r="AB189" t="str" cm="1">
        <f t="array" ref="AB189">_xll.BDH(AB$2 &amp; " PE Equity","PX_LAST",$B189,$B189)</f>
        <v>#N/A Connection</v>
      </c>
      <c r="AC189" t="str" cm="1">
        <f t="array" ref="AC189">_xll.BDH(AC$2 &amp; " US Equity","PX_LAST",$B189,$B189)</f>
        <v>#N/A Connection</v>
      </c>
      <c r="AD189" t="str" cm="1">
        <f t="array" ref="AD189">_xll.BDH(AD$2 &amp; " US Equity","PX_LAST",$B189,$B189)</f>
        <v>#N/A Connection</v>
      </c>
      <c r="AE189" t="str" cm="1">
        <f t="array" ref="AE189">_xll.BDH(AE$2 &amp; " PE Equity","PX_LAST",$B189,$B189)</f>
        <v>#N/A Connection</v>
      </c>
      <c r="AF189" t="str" cm="1">
        <f t="array" ref="AF189">_xll.BDH(AF$2 &amp; " US Equity","PX_LAST",$B189,$B189)</f>
        <v>#N/A Connection</v>
      </c>
      <c r="AG189" t="str" cm="1">
        <f t="array" ref="AG189">_xll.BDH(AG$2 &amp; " US Equity","PX_LAST",$B189,$B189)</f>
        <v>#N/A Connection</v>
      </c>
      <c r="AH189" t="str" cm="1">
        <f t="array" ref="AH189">_xll.BDH(AH$2 &amp; " US Equity","PX_LAST",$B189,$B189)</f>
        <v>#N/A Connection</v>
      </c>
      <c r="AI189" t="str" cm="1">
        <f t="array" ref="AI189">_xll.BDH(AI$2 &amp; " US Equity","PX_LAST",$B189,$B189)</f>
        <v>#N/A Connection</v>
      </c>
      <c r="AJ189" t="str" cm="1">
        <f t="array" ref="AJ189">_xll.BDH(AJ$2 &amp; " US Equity","PX_LAST",$B189,$B189)</f>
        <v>#N/A Connection</v>
      </c>
      <c r="AK189" t="str" cm="1">
        <f t="array" ref="AK189">_xll.BDH(AK$2 &amp; " US Equity","PX_LAST",$B189,$B189)</f>
        <v>#N/A Connection</v>
      </c>
      <c r="AL189" t="str" cm="1">
        <f t="array" ref="AL189">_xll.BDH(AL$2 &amp; " US Equity","PX_LAST",$B189,$B189)</f>
        <v>#N/A Connection</v>
      </c>
      <c r="AM189" t="str" cm="1">
        <f t="array" ref="AM189">_xll.BDH(AM$2 &amp; " US Equity","PX_LAST",$B189,$B189)</f>
        <v>#N/A Connection</v>
      </c>
      <c r="AN189" t="str" cm="1">
        <f t="array" ref="AN189">_xll.BDH(AN$2 &amp; " US Equity","PX_LAST",$B189,$B189)</f>
        <v>#N/A Connection</v>
      </c>
      <c r="AO189" t="str" cm="1">
        <f t="array" ref="AO189">_xll.BDH(AO$2 &amp; " US Equity","PX_LAST",$B189,$B189)</f>
        <v>#N/A Connection</v>
      </c>
      <c r="AP189" t="str" cm="1">
        <f t="array" ref="AP189">_xll.BDH(AP$2 &amp; " US Equity","PX_LAST",$B189,$B189)</f>
        <v>#N/A Connection</v>
      </c>
      <c r="AQ189" t="str" cm="1">
        <f t="array" ref="AQ189">_xll.BDH(AQ$2 &amp; " US Equity","PX_LAST",$B189,$B189)</f>
        <v>#N/A Connection</v>
      </c>
      <c r="AR189" t="str" cm="1">
        <f t="array" ref="AR189">_xll.BDH(AR$2 &amp; " US Equity","PX_LAST",$B189,$B189)</f>
        <v>#N/A Connection</v>
      </c>
      <c r="AS189" t="str" cm="1">
        <f t="array" ref="AS189">_xll.BDH(AS$2 &amp; " US Equity","PX_LAST",$B189,$B189)</f>
        <v>#N/A Connection</v>
      </c>
      <c r="AT189" t="str" cm="1">
        <f t="array" ref="AT189">_xll.BDH(AT$2 &amp; " US Equity","PX_LAST",$B189,$B189)</f>
        <v>#N/A Connection</v>
      </c>
      <c r="AU189" t="str" cm="1">
        <f t="array" ref="AU189">_xll.BDH(AU$2 &amp; " US Equity","PX_LAST",$B189,$B189)</f>
        <v>#N/A Connection</v>
      </c>
      <c r="AV189" t="str" cm="1">
        <f t="array" ref="AV189">_xll.BDH(AV$2 &amp; " US Equity","PX_LAST",$B189,$B189)</f>
        <v>#N/A Connection</v>
      </c>
      <c r="AW189" t="str" cm="1">
        <f t="array" ref="AW189">_xll.BDH(AW$2 &amp; " US Equity","PX_LAST",$B189,$B189)</f>
        <v>#N/A Connection</v>
      </c>
    </row>
    <row r="190" spans="2:49">
      <c r="B190" s="13">
        <v>46088</v>
      </c>
      <c r="C190" t="str" cm="1">
        <f t="array" ref="C190">_xll.BDH(C$2 &amp; " US Equity","PX_LAST",$B190,$B190)</f>
        <v>#N/A Connection</v>
      </c>
      <c r="D190" t="str" cm="1">
        <f t="array" ref="D190">_xll.BDH(D$2 &amp; " PE Equity","PX_LAST",$B190,$B190)</f>
        <v>#N/A Connection</v>
      </c>
      <c r="E190" t="str" cm="1">
        <f t="array" ref="E190">_xll.BDH(E$2 &amp; " PE Equity","PX_LAST",$B190,$B190)</f>
        <v>#N/A Connection</v>
      </c>
      <c r="F190" t="str" cm="1">
        <f t="array" ref="F190">_xll.BDH(F$2 &amp; " PE Equity","PX_LAST",$B190,$B190)</f>
        <v>#N/A Connection</v>
      </c>
      <c r="G190" t="str" cm="1">
        <f t="array" ref="G190">_xll.BDH(G$2 &amp; " US Equity","PX_LAST",$B190,$B190)</f>
        <v>#N/A Connection</v>
      </c>
      <c r="H190" t="str" cm="1">
        <f t="array" ref="H190">_xll.BDH(H$2 &amp; " PE Equity","PX_LAST",$B190,$B190)</f>
        <v>#N/A Connection</v>
      </c>
      <c r="I190" t="str" cm="1">
        <f t="array" ref="I190">_xll.BDH(I$2 &amp; " US Equity","PX_LAST",$B190,$B190)</f>
        <v>#N/A Connection</v>
      </c>
      <c r="J190" t="str" cm="1">
        <f t="array" ref="J190">_xll.BDH(J$2 &amp; " US Equity","PX_LAST",$B190,$B190)</f>
        <v>#N/A Connection</v>
      </c>
      <c r="K190" t="str" cm="1">
        <f t="array" ref="K190">_xll.BDH(K$2 &amp; " US Equity","PX_LAST",$B190,$B190)</f>
        <v>#N/A Connection</v>
      </c>
      <c r="L190" t="str" cm="1">
        <f t="array" ref="L190">_xll.BDH(L$2 &amp; " US Equity","PX_LAST",$B190,$B190)</f>
        <v>#N/A Connection</v>
      </c>
      <c r="M190" t="str" cm="1">
        <f t="array" ref="M190">_xll.BDH(M$2 &amp; " US Equity","PX_LAST",$B190,$B190)</f>
        <v>#N/A Connection</v>
      </c>
      <c r="N190" t="str" cm="1">
        <f t="array" ref="N190">_xll.BDH(N$2 &amp; " US Equity","PX_LAST",$B190,$B190)</f>
        <v>#N/A Connection</v>
      </c>
      <c r="O190" t="str" cm="1">
        <f t="array" ref="O190">_xll.BDH(O$2 &amp; " US Equity","PX_LAST",$B190,$B190)</f>
        <v>#N/A Connection</v>
      </c>
      <c r="P190" t="str" cm="1">
        <f t="array" ref="P190">_xll.BDH(P$2 &amp; " US Equity","PX_LAST",$B190,$B190)</f>
        <v>#N/A Connection</v>
      </c>
      <c r="Q190" t="str" cm="1">
        <f t="array" ref="Q190">_xll.BDH(Q$2 &amp; " US Equity","PX_LAST",$B190,$B190)</f>
        <v>#N/A Connection</v>
      </c>
      <c r="R190" t="str" cm="1">
        <f t="array" ref="R190">_xll.BDH(R$2 &amp; " US Equity","PX_LAST",$B190,$B190)</f>
        <v>#N/A Connection</v>
      </c>
      <c r="S190" t="str" cm="1">
        <f t="array" ref="S190">_xll.BDH(S$2 &amp; " US Equity","PX_LAST",$B190,$B190)</f>
        <v>#N/A Connection</v>
      </c>
      <c r="T190" t="str" cm="1">
        <f t="array" ref="T190">_xll.BDH(T$2 &amp; " US Equity","PX_LAST",$B190,$B190)</f>
        <v>#N/A Connection</v>
      </c>
      <c r="U190" t="str" cm="1">
        <f t="array" ref="U190">_xll.BDH(U$2 &amp; " US Equity","PX_LAST",$B190,$B190)</f>
        <v>#N/A Connection</v>
      </c>
      <c r="V190" t="str" cm="1">
        <f t="array" ref="V190">_xll.BDH(V$2 &amp; " US Equity","PX_LAST",$B190,$B190)</f>
        <v>#N/A Connection</v>
      </c>
      <c r="W190" t="str" cm="1">
        <f t="array" ref="W190">_xll.BDH(W$2 &amp; " US Equity","PX_LAST",$B190,$B190)</f>
        <v>#N/A Connection</v>
      </c>
      <c r="X190" t="str" cm="1">
        <f t="array" ref="X190">_xll.BDH(X$2 &amp; " US Equity","PX_LAST",$B190,$B190)</f>
        <v>#N/A Connection</v>
      </c>
      <c r="Y190" t="str" cm="1">
        <f t="array" ref="Y190">_xll.BDH(Y$2 &amp; " US Equity","PX_LAST",$B190,$B190)</f>
        <v>#N/A Connection</v>
      </c>
      <c r="Z190" t="str" cm="1">
        <f t="array" ref="Z190">_xll.BDH(Z$2 &amp; " US Equity","PX_LAST",$B190,$B190)</f>
        <v>#N/A Connection</v>
      </c>
      <c r="AA190" t="str" cm="1">
        <f t="array" ref="AA190">_xll.BDH(AA$2 &amp; " PE Equity","PX_LAST",$B190,$B190)</f>
        <v>#N/A Connection</v>
      </c>
      <c r="AB190" t="str" cm="1">
        <f t="array" ref="AB190">_xll.BDH(AB$2 &amp; " PE Equity","PX_LAST",$B190,$B190)</f>
        <v>#N/A Connection</v>
      </c>
      <c r="AC190" t="str" cm="1">
        <f t="array" ref="AC190">_xll.BDH(AC$2 &amp; " US Equity","PX_LAST",$B190,$B190)</f>
        <v>#N/A Connection</v>
      </c>
      <c r="AD190" t="str" cm="1">
        <f t="array" ref="AD190">_xll.BDH(AD$2 &amp; " US Equity","PX_LAST",$B190,$B190)</f>
        <v>#N/A Connection</v>
      </c>
      <c r="AE190" t="str" cm="1">
        <f t="array" ref="AE190">_xll.BDH(AE$2 &amp; " PE Equity","PX_LAST",$B190,$B190)</f>
        <v>#N/A Connection</v>
      </c>
      <c r="AF190" t="str" cm="1">
        <f t="array" ref="AF190">_xll.BDH(AF$2 &amp; " US Equity","PX_LAST",$B190,$B190)</f>
        <v>#N/A Connection</v>
      </c>
      <c r="AG190" t="str" cm="1">
        <f t="array" ref="AG190">_xll.BDH(AG$2 &amp; " US Equity","PX_LAST",$B190,$B190)</f>
        <v>#N/A Connection</v>
      </c>
      <c r="AH190" t="str" cm="1">
        <f t="array" ref="AH190">_xll.BDH(AH$2 &amp; " US Equity","PX_LAST",$B190,$B190)</f>
        <v>#N/A Connection</v>
      </c>
      <c r="AI190" t="str" cm="1">
        <f t="array" ref="AI190">_xll.BDH(AI$2 &amp; " US Equity","PX_LAST",$B190,$B190)</f>
        <v>#N/A Connection</v>
      </c>
      <c r="AJ190" t="str" cm="1">
        <f t="array" ref="AJ190">_xll.BDH(AJ$2 &amp; " US Equity","PX_LAST",$B190,$B190)</f>
        <v>#N/A Connection</v>
      </c>
      <c r="AK190" t="str" cm="1">
        <f t="array" ref="AK190">_xll.BDH(AK$2 &amp; " US Equity","PX_LAST",$B190,$B190)</f>
        <v>#N/A Connection</v>
      </c>
      <c r="AL190" t="str" cm="1">
        <f t="array" ref="AL190">_xll.BDH(AL$2 &amp; " US Equity","PX_LAST",$B190,$B190)</f>
        <v>#N/A Connection</v>
      </c>
      <c r="AM190" t="str" cm="1">
        <f t="array" ref="AM190">_xll.BDH(AM$2 &amp; " US Equity","PX_LAST",$B190,$B190)</f>
        <v>#N/A Connection</v>
      </c>
      <c r="AN190" t="str" cm="1">
        <f t="array" ref="AN190">_xll.BDH(AN$2 &amp; " US Equity","PX_LAST",$B190,$B190)</f>
        <v>#N/A Connection</v>
      </c>
      <c r="AO190" t="str" cm="1">
        <f t="array" ref="AO190">_xll.BDH(AO$2 &amp; " US Equity","PX_LAST",$B190,$B190)</f>
        <v>#N/A Connection</v>
      </c>
      <c r="AP190" t="str" cm="1">
        <f t="array" ref="AP190">_xll.BDH(AP$2 &amp; " US Equity","PX_LAST",$B190,$B190)</f>
        <v>#N/A Connection</v>
      </c>
      <c r="AQ190" t="str" cm="1">
        <f t="array" ref="AQ190">_xll.BDH(AQ$2 &amp; " US Equity","PX_LAST",$B190,$B190)</f>
        <v>#N/A Connection</v>
      </c>
      <c r="AR190" t="str" cm="1">
        <f t="array" ref="AR190">_xll.BDH(AR$2 &amp; " US Equity","PX_LAST",$B190,$B190)</f>
        <v>#N/A Connection</v>
      </c>
      <c r="AS190" t="str" cm="1">
        <f t="array" ref="AS190">_xll.BDH(AS$2 &amp; " US Equity","PX_LAST",$B190,$B190)</f>
        <v>#N/A Connection</v>
      </c>
      <c r="AT190" t="str" cm="1">
        <f t="array" ref="AT190">_xll.BDH(AT$2 &amp; " US Equity","PX_LAST",$B190,$B190)</f>
        <v>#N/A Connection</v>
      </c>
      <c r="AU190" t="str" cm="1">
        <f t="array" ref="AU190">_xll.BDH(AU$2 &amp; " US Equity","PX_LAST",$B190,$B190)</f>
        <v>#N/A Connection</v>
      </c>
      <c r="AV190" t="str" cm="1">
        <f t="array" ref="AV190">_xll.BDH(AV$2 &amp; " US Equity","PX_LAST",$B190,$B190)</f>
        <v>#N/A Connection</v>
      </c>
      <c r="AW190" t="str" cm="1">
        <f t="array" ref="AW190">_xll.BDH(AW$2 &amp; " US Equity","PX_LAST",$B190,$B190)</f>
        <v>#N/A Connection</v>
      </c>
    </row>
    <row r="191" spans="2:49">
      <c r="B191" s="13">
        <v>46089</v>
      </c>
      <c r="C191" t="str" cm="1">
        <f t="array" ref="C191">_xll.BDH(C$2 &amp; " US Equity","PX_LAST",$B191,$B191)</f>
        <v>#N/A Connection</v>
      </c>
      <c r="D191" t="str" cm="1">
        <f t="array" ref="D191">_xll.BDH(D$2 &amp; " PE Equity","PX_LAST",$B191,$B191)</f>
        <v>#N/A Connection</v>
      </c>
      <c r="E191" t="str" cm="1">
        <f t="array" ref="E191">_xll.BDH(E$2 &amp; " PE Equity","PX_LAST",$B191,$B191)</f>
        <v>#N/A Connection</v>
      </c>
      <c r="F191" t="str" cm="1">
        <f t="array" ref="F191">_xll.BDH(F$2 &amp; " PE Equity","PX_LAST",$B191,$B191)</f>
        <v>#N/A Connection</v>
      </c>
      <c r="G191" t="str" cm="1">
        <f t="array" ref="G191">_xll.BDH(G$2 &amp; " US Equity","PX_LAST",$B191,$B191)</f>
        <v>#N/A Connection</v>
      </c>
      <c r="H191" t="str" cm="1">
        <f t="array" ref="H191">_xll.BDH(H$2 &amp; " PE Equity","PX_LAST",$B191,$B191)</f>
        <v>#N/A Connection</v>
      </c>
      <c r="I191" t="str" cm="1">
        <f t="array" ref="I191">_xll.BDH(I$2 &amp; " US Equity","PX_LAST",$B191,$B191)</f>
        <v>#N/A Connection</v>
      </c>
      <c r="J191" t="str" cm="1">
        <f t="array" ref="J191">_xll.BDH(J$2 &amp; " US Equity","PX_LAST",$B191,$B191)</f>
        <v>#N/A Connection</v>
      </c>
      <c r="K191" t="str" cm="1">
        <f t="array" ref="K191">_xll.BDH(K$2 &amp; " US Equity","PX_LAST",$B191,$B191)</f>
        <v>#N/A Connection</v>
      </c>
      <c r="L191" t="str" cm="1">
        <f t="array" ref="L191">_xll.BDH(L$2 &amp; " US Equity","PX_LAST",$B191,$B191)</f>
        <v>#N/A Connection</v>
      </c>
      <c r="M191" t="str" cm="1">
        <f t="array" ref="M191">_xll.BDH(M$2 &amp; " US Equity","PX_LAST",$B191,$B191)</f>
        <v>#N/A Connection</v>
      </c>
      <c r="N191" t="str" cm="1">
        <f t="array" ref="N191">_xll.BDH(N$2 &amp; " US Equity","PX_LAST",$B191,$B191)</f>
        <v>#N/A Connection</v>
      </c>
      <c r="O191" t="str" cm="1">
        <f t="array" ref="O191">_xll.BDH(O$2 &amp; " US Equity","PX_LAST",$B191,$B191)</f>
        <v>#N/A Connection</v>
      </c>
      <c r="P191" t="str" cm="1">
        <f t="array" ref="P191">_xll.BDH(P$2 &amp; " US Equity","PX_LAST",$B191,$B191)</f>
        <v>#N/A Connection</v>
      </c>
      <c r="Q191" t="str" cm="1">
        <f t="array" ref="Q191">_xll.BDH(Q$2 &amp; " US Equity","PX_LAST",$B191,$B191)</f>
        <v>#N/A Connection</v>
      </c>
      <c r="R191" t="str" cm="1">
        <f t="array" ref="R191">_xll.BDH(R$2 &amp; " US Equity","PX_LAST",$B191,$B191)</f>
        <v>#N/A Connection</v>
      </c>
      <c r="S191" t="str" cm="1">
        <f t="array" ref="S191">_xll.BDH(S$2 &amp; " US Equity","PX_LAST",$B191,$B191)</f>
        <v>#N/A Connection</v>
      </c>
      <c r="T191" t="str" cm="1">
        <f t="array" ref="T191">_xll.BDH(T$2 &amp; " US Equity","PX_LAST",$B191,$B191)</f>
        <v>#N/A Connection</v>
      </c>
      <c r="U191" t="str" cm="1">
        <f t="array" ref="U191">_xll.BDH(U$2 &amp; " US Equity","PX_LAST",$B191,$B191)</f>
        <v>#N/A Connection</v>
      </c>
      <c r="V191" t="str" cm="1">
        <f t="array" ref="V191">_xll.BDH(V$2 &amp; " US Equity","PX_LAST",$B191,$B191)</f>
        <v>#N/A Connection</v>
      </c>
      <c r="W191" t="str" cm="1">
        <f t="array" ref="W191">_xll.BDH(W$2 &amp; " US Equity","PX_LAST",$B191,$B191)</f>
        <v>#N/A Connection</v>
      </c>
      <c r="X191" t="str" cm="1">
        <f t="array" ref="X191">_xll.BDH(X$2 &amp; " US Equity","PX_LAST",$B191,$B191)</f>
        <v>#N/A Connection</v>
      </c>
      <c r="Y191" t="str" cm="1">
        <f t="array" ref="Y191">_xll.BDH(Y$2 &amp; " US Equity","PX_LAST",$B191,$B191)</f>
        <v>#N/A Connection</v>
      </c>
      <c r="Z191" t="str" cm="1">
        <f t="array" ref="Z191">_xll.BDH(Z$2 &amp; " US Equity","PX_LAST",$B191,$B191)</f>
        <v>#N/A Connection</v>
      </c>
      <c r="AA191" t="str" cm="1">
        <f t="array" ref="AA191">_xll.BDH(AA$2 &amp; " PE Equity","PX_LAST",$B191,$B191)</f>
        <v>#N/A Connection</v>
      </c>
      <c r="AB191" t="str" cm="1">
        <f t="array" ref="AB191">_xll.BDH(AB$2 &amp; " PE Equity","PX_LAST",$B191,$B191)</f>
        <v>#N/A Connection</v>
      </c>
      <c r="AC191" t="str" cm="1">
        <f t="array" ref="AC191">_xll.BDH(AC$2 &amp; " US Equity","PX_LAST",$B191,$B191)</f>
        <v>#N/A Connection</v>
      </c>
      <c r="AD191" t="str" cm="1">
        <f t="array" ref="AD191">_xll.BDH(AD$2 &amp; " US Equity","PX_LAST",$B191,$B191)</f>
        <v>#N/A Connection</v>
      </c>
      <c r="AE191" t="str" cm="1">
        <f t="array" ref="AE191">_xll.BDH(AE$2 &amp; " PE Equity","PX_LAST",$B191,$B191)</f>
        <v>#N/A Connection</v>
      </c>
      <c r="AF191" t="str" cm="1">
        <f t="array" ref="AF191">_xll.BDH(AF$2 &amp; " US Equity","PX_LAST",$B191,$B191)</f>
        <v>#N/A Connection</v>
      </c>
      <c r="AG191" t="str" cm="1">
        <f t="array" ref="AG191">_xll.BDH(AG$2 &amp; " US Equity","PX_LAST",$B191,$B191)</f>
        <v>#N/A Connection</v>
      </c>
      <c r="AH191" t="str" cm="1">
        <f t="array" ref="AH191">_xll.BDH(AH$2 &amp; " US Equity","PX_LAST",$B191,$B191)</f>
        <v>#N/A Connection</v>
      </c>
      <c r="AI191" t="str" cm="1">
        <f t="array" ref="AI191">_xll.BDH(AI$2 &amp; " US Equity","PX_LAST",$B191,$B191)</f>
        <v>#N/A Connection</v>
      </c>
      <c r="AJ191" t="str" cm="1">
        <f t="array" ref="AJ191">_xll.BDH(AJ$2 &amp; " US Equity","PX_LAST",$B191,$B191)</f>
        <v>#N/A Connection</v>
      </c>
      <c r="AK191" t="str" cm="1">
        <f t="array" ref="AK191">_xll.BDH(AK$2 &amp; " US Equity","PX_LAST",$B191,$B191)</f>
        <v>#N/A Connection</v>
      </c>
      <c r="AL191" t="str" cm="1">
        <f t="array" ref="AL191">_xll.BDH(AL$2 &amp; " US Equity","PX_LAST",$B191,$B191)</f>
        <v>#N/A Connection</v>
      </c>
      <c r="AM191" t="str" cm="1">
        <f t="array" ref="AM191">_xll.BDH(AM$2 &amp; " US Equity","PX_LAST",$B191,$B191)</f>
        <v>#N/A Connection</v>
      </c>
      <c r="AN191" t="str" cm="1">
        <f t="array" ref="AN191">_xll.BDH(AN$2 &amp; " US Equity","PX_LAST",$B191,$B191)</f>
        <v>#N/A Connection</v>
      </c>
      <c r="AO191" t="str" cm="1">
        <f t="array" ref="AO191">_xll.BDH(AO$2 &amp; " US Equity","PX_LAST",$B191,$B191)</f>
        <v>#N/A Connection</v>
      </c>
      <c r="AP191" t="str" cm="1">
        <f t="array" ref="AP191">_xll.BDH(AP$2 &amp; " US Equity","PX_LAST",$B191,$B191)</f>
        <v>#N/A Connection</v>
      </c>
      <c r="AQ191" t="str" cm="1">
        <f t="array" ref="AQ191">_xll.BDH(AQ$2 &amp; " US Equity","PX_LAST",$B191,$B191)</f>
        <v>#N/A Connection</v>
      </c>
      <c r="AR191" t="str" cm="1">
        <f t="array" ref="AR191">_xll.BDH(AR$2 &amp; " US Equity","PX_LAST",$B191,$B191)</f>
        <v>#N/A Connection</v>
      </c>
      <c r="AS191" t="str" cm="1">
        <f t="array" ref="AS191">_xll.BDH(AS$2 &amp; " US Equity","PX_LAST",$B191,$B191)</f>
        <v>#N/A Connection</v>
      </c>
      <c r="AT191" t="str" cm="1">
        <f t="array" ref="AT191">_xll.BDH(AT$2 &amp; " US Equity","PX_LAST",$B191,$B191)</f>
        <v>#N/A Connection</v>
      </c>
      <c r="AU191" t="str" cm="1">
        <f t="array" ref="AU191">_xll.BDH(AU$2 &amp; " US Equity","PX_LAST",$B191,$B191)</f>
        <v>#N/A Connection</v>
      </c>
      <c r="AV191" t="str" cm="1">
        <f t="array" ref="AV191">_xll.BDH(AV$2 &amp; " US Equity","PX_LAST",$B191,$B191)</f>
        <v>#N/A Connection</v>
      </c>
      <c r="AW191" t="str" cm="1">
        <f t="array" ref="AW191">_xll.BDH(AW$2 &amp; " US Equity","PX_LAST",$B191,$B191)</f>
        <v>#N/A Connection</v>
      </c>
    </row>
    <row r="192" spans="2:49">
      <c r="B192" s="13">
        <v>46090</v>
      </c>
      <c r="C192" t="str" cm="1">
        <f t="array" ref="C192">_xll.BDH(C$2 &amp; " US Equity","PX_LAST",$B192,$B192)</f>
        <v>#N/A Connection</v>
      </c>
      <c r="D192" t="str" cm="1">
        <f t="array" ref="D192">_xll.BDH(D$2 &amp; " PE Equity","PX_LAST",$B192,$B192)</f>
        <v>#N/A Connection</v>
      </c>
      <c r="E192" t="str" cm="1">
        <f t="array" ref="E192">_xll.BDH(E$2 &amp; " PE Equity","PX_LAST",$B192,$B192)</f>
        <v>#N/A Connection</v>
      </c>
      <c r="F192" t="str" cm="1">
        <f t="array" ref="F192">_xll.BDH(F$2 &amp; " PE Equity","PX_LAST",$B192,$B192)</f>
        <v>#N/A Connection</v>
      </c>
      <c r="G192" t="str" cm="1">
        <f t="array" ref="G192">_xll.BDH(G$2 &amp; " US Equity","PX_LAST",$B192,$B192)</f>
        <v>#N/A Connection</v>
      </c>
      <c r="H192" t="str" cm="1">
        <f t="array" ref="H192">_xll.BDH(H$2 &amp; " PE Equity","PX_LAST",$B192,$B192)</f>
        <v>#N/A Connection</v>
      </c>
      <c r="I192" t="str" cm="1">
        <f t="array" ref="I192">_xll.BDH(I$2 &amp; " US Equity","PX_LAST",$B192,$B192)</f>
        <v>#N/A Connection</v>
      </c>
      <c r="J192" t="str" cm="1">
        <f t="array" ref="J192">_xll.BDH(J$2 &amp; " US Equity","PX_LAST",$B192,$B192)</f>
        <v>#N/A Connection</v>
      </c>
      <c r="K192" t="str" cm="1">
        <f t="array" ref="K192">_xll.BDH(K$2 &amp; " US Equity","PX_LAST",$B192,$B192)</f>
        <v>#N/A Connection</v>
      </c>
      <c r="L192" t="str" cm="1">
        <f t="array" ref="L192">_xll.BDH(L$2 &amp; " US Equity","PX_LAST",$B192,$B192)</f>
        <v>#N/A Connection</v>
      </c>
      <c r="M192" t="str" cm="1">
        <f t="array" ref="M192">_xll.BDH(M$2 &amp; " US Equity","PX_LAST",$B192,$B192)</f>
        <v>#N/A Connection</v>
      </c>
      <c r="N192" t="str" cm="1">
        <f t="array" ref="N192">_xll.BDH(N$2 &amp; " US Equity","PX_LAST",$B192,$B192)</f>
        <v>#N/A Connection</v>
      </c>
      <c r="O192" t="str" cm="1">
        <f t="array" ref="O192">_xll.BDH(O$2 &amp; " US Equity","PX_LAST",$B192,$B192)</f>
        <v>#N/A Connection</v>
      </c>
      <c r="P192" t="str" cm="1">
        <f t="array" ref="P192">_xll.BDH(P$2 &amp; " US Equity","PX_LAST",$B192,$B192)</f>
        <v>#N/A Connection</v>
      </c>
      <c r="Q192" t="str" cm="1">
        <f t="array" ref="Q192">_xll.BDH(Q$2 &amp; " US Equity","PX_LAST",$B192,$B192)</f>
        <v>#N/A Connection</v>
      </c>
      <c r="R192" t="str" cm="1">
        <f t="array" ref="R192">_xll.BDH(R$2 &amp; " US Equity","PX_LAST",$B192,$B192)</f>
        <v>#N/A Connection</v>
      </c>
      <c r="S192" t="str" cm="1">
        <f t="array" ref="S192">_xll.BDH(S$2 &amp; " US Equity","PX_LAST",$B192,$B192)</f>
        <v>#N/A Connection</v>
      </c>
      <c r="T192" t="str" cm="1">
        <f t="array" ref="T192">_xll.BDH(T$2 &amp; " US Equity","PX_LAST",$B192,$B192)</f>
        <v>#N/A Connection</v>
      </c>
      <c r="U192" t="str" cm="1">
        <f t="array" ref="U192">_xll.BDH(U$2 &amp; " US Equity","PX_LAST",$B192,$B192)</f>
        <v>#N/A Connection</v>
      </c>
      <c r="V192" t="str" cm="1">
        <f t="array" ref="V192">_xll.BDH(V$2 &amp; " US Equity","PX_LAST",$B192,$B192)</f>
        <v>#N/A Connection</v>
      </c>
      <c r="W192" t="str" cm="1">
        <f t="array" ref="W192">_xll.BDH(W$2 &amp; " US Equity","PX_LAST",$B192,$B192)</f>
        <v>#N/A Connection</v>
      </c>
      <c r="X192" t="str" cm="1">
        <f t="array" ref="X192">_xll.BDH(X$2 &amp; " US Equity","PX_LAST",$B192,$B192)</f>
        <v>#N/A Connection</v>
      </c>
      <c r="Y192" t="str" cm="1">
        <f t="array" ref="Y192">_xll.BDH(Y$2 &amp; " US Equity","PX_LAST",$B192,$B192)</f>
        <v>#N/A Connection</v>
      </c>
      <c r="Z192" t="str" cm="1">
        <f t="array" ref="Z192">_xll.BDH(Z$2 &amp; " US Equity","PX_LAST",$B192,$B192)</f>
        <v>#N/A Connection</v>
      </c>
      <c r="AA192" t="str" cm="1">
        <f t="array" ref="AA192">_xll.BDH(AA$2 &amp; " PE Equity","PX_LAST",$B192,$B192)</f>
        <v>#N/A Connection</v>
      </c>
      <c r="AB192" t="str" cm="1">
        <f t="array" ref="AB192">_xll.BDH(AB$2 &amp; " PE Equity","PX_LAST",$B192,$B192)</f>
        <v>#N/A Connection</v>
      </c>
      <c r="AC192" t="str" cm="1">
        <f t="array" ref="AC192">_xll.BDH(AC$2 &amp; " US Equity","PX_LAST",$B192,$B192)</f>
        <v>#N/A Connection</v>
      </c>
      <c r="AD192" t="str" cm="1">
        <f t="array" ref="AD192">_xll.BDH(AD$2 &amp; " US Equity","PX_LAST",$B192,$B192)</f>
        <v>#N/A Connection</v>
      </c>
      <c r="AE192" t="str" cm="1">
        <f t="array" ref="AE192">_xll.BDH(AE$2 &amp; " PE Equity","PX_LAST",$B192,$B192)</f>
        <v>#N/A Connection</v>
      </c>
      <c r="AF192" t="str" cm="1">
        <f t="array" ref="AF192">_xll.BDH(AF$2 &amp; " US Equity","PX_LAST",$B192,$B192)</f>
        <v>#N/A Connection</v>
      </c>
      <c r="AG192" t="str" cm="1">
        <f t="array" ref="AG192">_xll.BDH(AG$2 &amp; " US Equity","PX_LAST",$B192,$B192)</f>
        <v>#N/A Connection</v>
      </c>
      <c r="AH192" t="str" cm="1">
        <f t="array" ref="AH192">_xll.BDH(AH$2 &amp; " US Equity","PX_LAST",$B192,$B192)</f>
        <v>#N/A Connection</v>
      </c>
      <c r="AI192" t="str" cm="1">
        <f t="array" ref="AI192">_xll.BDH(AI$2 &amp; " US Equity","PX_LAST",$B192,$B192)</f>
        <v>#N/A Connection</v>
      </c>
      <c r="AJ192" t="str" cm="1">
        <f t="array" ref="AJ192">_xll.BDH(AJ$2 &amp; " US Equity","PX_LAST",$B192,$B192)</f>
        <v>#N/A Connection</v>
      </c>
      <c r="AK192" t="str" cm="1">
        <f t="array" ref="AK192">_xll.BDH(AK$2 &amp; " US Equity","PX_LAST",$B192,$B192)</f>
        <v>#N/A Connection</v>
      </c>
      <c r="AL192" t="str" cm="1">
        <f t="array" ref="AL192">_xll.BDH(AL$2 &amp; " US Equity","PX_LAST",$B192,$B192)</f>
        <v>#N/A Connection</v>
      </c>
      <c r="AM192" t="str" cm="1">
        <f t="array" ref="AM192">_xll.BDH(AM$2 &amp; " US Equity","PX_LAST",$B192,$B192)</f>
        <v>#N/A Connection</v>
      </c>
      <c r="AN192" t="str" cm="1">
        <f t="array" ref="AN192">_xll.BDH(AN$2 &amp; " US Equity","PX_LAST",$B192,$B192)</f>
        <v>#N/A Connection</v>
      </c>
      <c r="AO192" t="str" cm="1">
        <f t="array" ref="AO192">_xll.BDH(AO$2 &amp; " US Equity","PX_LAST",$B192,$B192)</f>
        <v>#N/A Connection</v>
      </c>
      <c r="AP192" t="str" cm="1">
        <f t="array" ref="AP192">_xll.BDH(AP$2 &amp; " US Equity","PX_LAST",$B192,$B192)</f>
        <v>#N/A Connection</v>
      </c>
      <c r="AQ192" t="str" cm="1">
        <f t="array" ref="AQ192">_xll.BDH(AQ$2 &amp; " US Equity","PX_LAST",$B192,$B192)</f>
        <v>#N/A Connection</v>
      </c>
      <c r="AR192" t="str" cm="1">
        <f t="array" ref="AR192">_xll.BDH(AR$2 &amp; " US Equity","PX_LAST",$B192,$B192)</f>
        <v>#N/A Connection</v>
      </c>
      <c r="AS192" t="str" cm="1">
        <f t="array" ref="AS192">_xll.BDH(AS$2 &amp; " US Equity","PX_LAST",$B192,$B192)</f>
        <v>#N/A Connection</v>
      </c>
      <c r="AT192" t="str" cm="1">
        <f t="array" ref="AT192">_xll.BDH(AT$2 &amp; " US Equity","PX_LAST",$B192,$B192)</f>
        <v>#N/A Connection</v>
      </c>
      <c r="AU192" t="str" cm="1">
        <f t="array" ref="AU192">_xll.BDH(AU$2 &amp; " US Equity","PX_LAST",$B192,$B192)</f>
        <v>#N/A Connection</v>
      </c>
      <c r="AV192" t="str" cm="1">
        <f t="array" ref="AV192">_xll.BDH(AV$2 &amp; " US Equity","PX_LAST",$B192,$B192)</f>
        <v>#N/A Connection</v>
      </c>
      <c r="AW192" t="str" cm="1">
        <f t="array" ref="AW192">_xll.BDH(AW$2 &amp; " US Equity","PX_LAST",$B192,$B192)</f>
        <v>#N/A Connection</v>
      </c>
    </row>
    <row r="193" spans="2:49">
      <c r="B193" s="13">
        <v>46091</v>
      </c>
      <c r="C193" t="str" cm="1">
        <f t="array" ref="C193">_xll.BDH(C$2 &amp; " US Equity","PX_LAST",$B193,$B193)</f>
        <v>#N/A Connection</v>
      </c>
      <c r="D193" t="str" cm="1">
        <f t="array" ref="D193">_xll.BDH(D$2 &amp; " PE Equity","PX_LAST",$B193,$B193)</f>
        <v>#N/A Connection</v>
      </c>
      <c r="E193" t="str" cm="1">
        <f t="array" ref="E193">_xll.BDH(E$2 &amp; " PE Equity","PX_LAST",$B193,$B193)</f>
        <v>#N/A Connection</v>
      </c>
      <c r="F193" t="str" cm="1">
        <f t="array" ref="F193">_xll.BDH(F$2 &amp; " PE Equity","PX_LAST",$B193,$B193)</f>
        <v>#N/A Connection</v>
      </c>
      <c r="G193" t="str" cm="1">
        <f t="array" ref="G193">_xll.BDH(G$2 &amp; " US Equity","PX_LAST",$B193,$B193)</f>
        <v>#N/A Connection</v>
      </c>
      <c r="H193" t="str" cm="1">
        <f t="array" ref="H193">_xll.BDH(H$2 &amp; " PE Equity","PX_LAST",$B193,$B193)</f>
        <v>#N/A Connection</v>
      </c>
      <c r="I193" t="str" cm="1">
        <f t="array" ref="I193">_xll.BDH(I$2 &amp; " US Equity","PX_LAST",$B193,$B193)</f>
        <v>#N/A Connection</v>
      </c>
      <c r="J193" t="str" cm="1">
        <f t="array" ref="J193">_xll.BDH(J$2 &amp; " US Equity","PX_LAST",$B193,$B193)</f>
        <v>#N/A Connection</v>
      </c>
      <c r="K193" t="str" cm="1">
        <f t="array" ref="K193">_xll.BDH(K$2 &amp; " US Equity","PX_LAST",$B193,$B193)</f>
        <v>#N/A Connection</v>
      </c>
      <c r="L193" t="str" cm="1">
        <f t="array" ref="L193">_xll.BDH(L$2 &amp; " US Equity","PX_LAST",$B193,$B193)</f>
        <v>#N/A Connection</v>
      </c>
      <c r="M193" t="str" cm="1">
        <f t="array" ref="M193">_xll.BDH(M$2 &amp; " US Equity","PX_LAST",$B193,$B193)</f>
        <v>#N/A Connection</v>
      </c>
      <c r="N193" t="str" cm="1">
        <f t="array" ref="N193">_xll.BDH(N$2 &amp; " US Equity","PX_LAST",$B193,$B193)</f>
        <v>#N/A Connection</v>
      </c>
      <c r="O193" t="str" cm="1">
        <f t="array" ref="O193">_xll.BDH(O$2 &amp; " US Equity","PX_LAST",$B193,$B193)</f>
        <v>#N/A Connection</v>
      </c>
      <c r="P193" t="str" cm="1">
        <f t="array" ref="P193">_xll.BDH(P$2 &amp; " US Equity","PX_LAST",$B193,$B193)</f>
        <v>#N/A Connection</v>
      </c>
      <c r="Q193" t="str" cm="1">
        <f t="array" ref="Q193">_xll.BDH(Q$2 &amp; " US Equity","PX_LAST",$B193,$B193)</f>
        <v>#N/A Connection</v>
      </c>
      <c r="R193" t="str" cm="1">
        <f t="array" ref="R193">_xll.BDH(R$2 &amp; " US Equity","PX_LAST",$B193,$B193)</f>
        <v>#N/A Connection</v>
      </c>
      <c r="S193" t="str" cm="1">
        <f t="array" ref="S193">_xll.BDH(S$2 &amp; " US Equity","PX_LAST",$B193,$B193)</f>
        <v>#N/A Connection</v>
      </c>
      <c r="T193" t="str" cm="1">
        <f t="array" ref="T193">_xll.BDH(T$2 &amp; " US Equity","PX_LAST",$B193,$B193)</f>
        <v>#N/A Connection</v>
      </c>
      <c r="U193" t="str" cm="1">
        <f t="array" ref="U193">_xll.BDH(U$2 &amp; " US Equity","PX_LAST",$B193,$B193)</f>
        <v>#N/A Connection</v>
      </c>
      <c r="V193" t="str" cm="1">
        <f t="array" ref="V193">_xll.BDH(V$2 &amp; " US Equity","PX_LAST",$B193,$B193)</f>
        <v>#N/A Connection</v>
      </c>
      <c r="W193" t="str" cm="1">
        <f t="array" ref="W193">_xll.BDH(W$2 &amp; " US Equity","PX_LAST",$B193,$B193)</f>
        <v>#N/A Connection</v>
      </c>
      <c r="X193" t="str" cm="1">
        <f t="array" ref="X193">_xll.BDH(X$2 &amp; " US Equity","PX_LAST",$B193,$B193)</f>
        <v>#N/A Connection</v>
      </c>
      <c r="Y193" t="str" cm="1">
        <f t="array" ref="Y193">_xll.BDH(Y$2 &amp; " US Equity","PX_LAST",$B193,$B193)</f>
        <v>#N/A Connection</v>
      </c>
      <c r="Z193" t="str" cm="1">
        <f t="array" ref="Z193">_xll.BDH(Z$2 &amp; " US Equity","PX_LAST",$B193,$B193)</f>
        <v>#N/A Connection</v>
      </c>
      <c r="AA193" t="str" cm="1">
        <f t="array" ref="AA193">_xll.BDH(AA$2 &amp; " PE Equity","PX_LAST",$B193,$B193)</f>
        <v>#N/A Connection</v>
      </c>
      <c r="AB193" t="str" cm="1">
        <f t="array" ref="AB193">_xll.BDH(AB$2 &amp; " PE Equity","PX_LAST",$B193,$B193)</f>
        <v>#N/A Connection</v>
      </c>
      <c r="AC193" t="str" cm="1">
        <f t="array" ref="AC193">_xll.BDH(AC$2 &amp; " US Equity","PX_LAST",$B193,$B193)</f>
        <v>#N/A Connection</v>
      </c>
      <c r="AD193" t="str" cm="1">
        <f t="array" ref="AD193">_xll.BDH(AD$2 &amp; " US Equity","PX_LAST",$B193,$B193)</f>
        <v>#N/A Connection</v>
      </c>
      <c r="AE193" t="str" cm="1">
        <f t="array" ref="AE193">_xll.BDH(AE$2 &amp; " PE Equity","PX_LAST",$B193,$B193)</f>
        <v>#N/A Connection</v>
      </c>
      <c r="AF193" t="str" cm="1">
        <f t="array" ref="AF193">_xll.BDH(AF$2 &amp; " US Equity","PX_LAST",$B193,$B193)</f>
        <v>#N/A Connection</v>
      </c>
      <c r="AG193" t="str" cm="1">
        <f t="array" ref="AG193">_xll.BDH(AG$2 &amp; " US Equity","PX_LAST",$B193,$B193)</f>
        <v>#N/A Connection</v>
      </c>
      <c r="AH193" t="str" cm="1">
        <f t="array" ref="AH193">_xll.BDH(AH$2 &amp; " US Equity","PX_LAST",$B193,$B193)</f>
        <v>#N/A Connection</v>
      </c>
      <c r="AI193" t="str" cm="1">
        <f t="array" ref="AI193">_xll.BDH(AI$2 &amp; " US Equity","PX_LAST",$B193,$B193)</f>
        <v>#N/A Connection</v>
      </c>
      <c r="AJ193" t="str" cm="1">
        <f t="array" ref="AJ193">_xll.BDH(AJ$2 &amp; " US Equity","PX_LAST",$B193,$B193)</f>
        <v>#N/A Connection</v>
      </c>
      <c r="AK193" t="str" cm="1">
        <f t="array" ref="AK193">_xll.BDH(AK$2 &amp; " US Equity","PX_LAST",$B193,$B193)</f>
        <v>#N/A Connection</v>
      </c>
      <c r="AL193" t="str" cm="1">
        <f t="array" ref="AL193">_xll.BDH(AL$2 &amp; " US Equity","PX_LAST",$B193,$B193)</f>
        <v>#N/A Connection</v>
      </c>
      <c r="AM193" t="str" cm="1">
        <f t="array" ref="AM193">_xll.BDH(AM$2 &amp; " US Equity","PX_LAST",$B193,$B193)</f>
        <v>#N/A Connection</v>
      </c>
      <c r="AN193" t="str" cm="1">
        <f t="array" ref="AN193">_xll.BDH(AN$2 &amp; " US Equity","PX_LAST",$B193,$B193)</f>
        <v>#N/A Connection</v>
      </c>
      <c r="AO193" t="str" cm="1">
        <f t="array" ref="AO193">_xll.BDH(AO$2 &amp; " US Equity","PX_LAST",$B193,$B193)</f>
        <v>#N/A Connection</v>
      </c>
      <c r="AP193" t="str" cm="1">
        <f t="array" ref="AP193">_xll.BDH(AP$2 &amp; " US Equity","PX_LAST",$B193,$B193)</f>
        <v>#N/A Connection</v>
      </c>
      <c r="AQ193" t="str" cm="1">
        <f t="array" ref="AQ193">_xll.BDH(AQ$2 &amp; " US Equity","PX_LAST",$B193,$B193)</f>
        <v>#N/A Connection</v>
      </c>
      <c r="AR193" t="str" cm="1">
        <f t="array" ref="AR193">_xll.BDH(AR$2 &amp; " US Equity","PX_LAST",$B193,$B193)</f>
        <v>#N/A Connection</v>
      </c>
      <c r="AS193" t="str" cm="1">
        <f t="array" ref="AS193">_xll.BDH(AS$2 &amp; " US Equity","PX_LAST",$B193,$B193)</f>
        <v>#N/A Connection</v>
      </c>
      <c r="AT193" t="str" cm="1">
        <f t="array" ref="AT193">_xll.BDH(AT$2 &amp; " US Equity","PX_LAST",$B193,$B193)</f>
        <v>#N/A Connection</v>
      </c>
      <c r="AU193" t="str" cm="1">
        <f t="array" ref="AU193">_xll.BDH(AU$2 &amp; " US Equity","PX_LAST",$B193,$B193)</f>
        <v>#N/A Connection</v>
      </c>
      <c r="AV193" t="str" cm="1">
        <f t="array" ref="AV193">_xll.BDH(AV$2 &amp; " US Equity","PX_LAST",$B193,$B193)</f>
        <v>#N/A Connection</v>
      </c>
      <c r="AW193" t="str" cm="1">
        <f t="array" ref="AW193">_xll.BDH(AW$2 &amp; " US Equity","PX_LAST",$B193,$B193)</f>
        <v>#N/A Connection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186A-7304-40F0-823F-B124ECA2C2D2}">
  <sheetPr codeName="Hoja9">
    <tabColor rgb="FFA6C9EC"/>
  </sheetPr>
  <dimension ref="F3:I10"/>
  <sheetViews>
    <sheetView workbookViewId="0">
      <selection activeCell="B1" sqref="B1"/>
    </sheetView>
  </sheetViews>
  <sheetFormatPr baseColWidth="10" defaultRowHeight="14.4"/>
  <sheetData>
    <row r="3" spans="6:9">
      <c r="H3" t="s">
        <v>217</v>
      </c>
    </row>
    <row r="4" spans="6:9">
      <c r="F4" s="13">
        <v>46022</v>
      </c>
      <c r="G4">
        <v>80</v>
      </c>
      <c r="H4">
        <v>80</v>
      </c>
    </row>
    <row r="5" spans="6:9">
      <c r="F5" s="13">
        <v>46053</v>
      </c>
      <c r="G5">
        <v>100</v>
      </c>
    </row>
    <row r="6" spans="6:9">
      <c r="F6" s="13">
        <v>46068</v>
      </c>
      <c r="G6">
        <v>120</v>
      </c>
      <c r="H6">
        <v>20</v>
      </c>
    </row>
    <row r="7" spans="6:9">
      <c r="F7" s="13">
        <v>46081</v>
      </c>
      <c r="G7">
        <v>125</v>
      </c>
    </row>
    <row r="9" spans="6:9">
      <c r="G9" s="23">
        <f>+(G7-G4)/(G4+H6)</f>
        <v>0.45</v>
      </c>
      <c r="I9">
        <f>+(G7-G4)/(G4+H6*13/60)</f>
        <v>0.53359683794466406</v>
      </c>
    </row>
    <row r="10" spans="6:9">
      <c r="G10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B505-13DB-46B8-AD0E-E51F8A5B1232}">
  <sheetPr codeName="Hoja4">
    <tabColor rgb="FFA6C9EC"/>
  </sheetPr>
  <dimension ref="A1:R153"/>
  <sheetViews>
    <sheetView topLeftCell="A126" zoomScaleNormal="100" workbookViewId="0">
      <selection activeCell="D149" sqref="D149"/>
    </sheetView>
  </sheetViews>
  <sheetFormatPr baseColWidth="10" defaultColWidth="11.5546875" defaultRowHeight="14.4"/>
  <cols>
    <col min="1" max="1" width="10.33203125" style="1" bestFit="1" customWidth="1"/>
    <col min="2" max="2" width="18.44140625" style="1" customWidth="1"/>
    <col min="3" max="3" width="12" style="1" bestFit="1" customWidth="1"/>
    <col min="4" max="4" width="10.88671875" style="1" bestFit="1" customWidth="1"/>
    <col min="5" max="5" width="10.5546875" style="1" customWidth="1"/>
    <col min="6" max="6" width="13" style="1" bestFit="1" customWidth="1"/>
    <col min="7" max="7" width="19.33203125" style="1" bestFit="1" customWidth="1"/>
    <col min="8" max="8" width="30.88671875" style="1" customWidth="1"/>
    <col min="9" max="9" width="21.5546875" style="1" bestFit="1" customWidth="1"/>
    <col min="10" max="10" width="11" style="1" bestFit="1" customWidth="1"/>
    <col min="11" max="11" width="13" style="1" bestFit="1" customWidth="1"/>
    <col min="12" max="12" width="15.5546875" style="1" customWidth="1"/>
    <col min="13" max="13" width="28.6640625" style="1" customWidth="1"/>
    <col min="14" max="14" width="22.44140625" style="1" bestFit="1" customWidth="1"/>
    <col min="15" max="16384" width="11.5546875" style="1"/>
  </cols>
  <sheetData>
    <row r="1" spans="1:15">
      <c r="A1" s="3" t="s">
        <v>15</v>
      </c>
      <c r="B1" s="3" t="s">
        <v>38</v>
      </c>
      <c r="C1" s="3" t="s">
        <v>39</v>
      </c>
      <c r="D1" s="3" t="s">
        <v>40</v>
      </c>
      <c r="E1" s="3" t="s">
        <v>27</v>
      </c>
      <c r="F1" s="3" t="s">
        <v>17</v>
      </c>
      <c r="G1" s="3" t="s">
        <v>41</v>
      </c>
      <c r="H1" s="3" t="s">
        <v>16</v>
      </c>
      <c r="I1" s="3" t="s">
        <v>42</v>
      </c>
      <c r="J1" s="3" t="s">
        <v>29</v>
      </c>
      <c r="K1" s="3" t="s">
        <v>43</v>
      </c>
      <c r="L1" s="3" t="s">
        <v>33</v>
      </c>
      <c r="M1" s="3" t="s">
        <v>26</v>
      </c>
      <c r="N1" s="63" t="s">
        <v>193</v>
      </c>
      <c r="O1" s="3" t="s">
        <v>194</v>
      </c>
    </row>
    <row r="2" spans="1:15">
      <c r="A2" s="4" t="str">
        <f>+IF(COUNTIF(Tabla2[Cod_ope],Tabla1[[#This Row],[Cod_Ope]])&gt;0,"out","stock")</f>
        <v>out</v>
      </c>
      <c r="B2" s="4">
        <v>45912</v>
      </c>
      <c r="C2" s="1">
        <v>39592</v>
      </c>
      <c r="D2" s="1" t="s">
        <v>44</v>
      </c>
      <c r="E2" s="1" t="s">
        <v>45</v>
      </c>
      <c r="F2" s="1" t="str" cm="1">
        <f t="array" ref="F2">_xll.BDP(G2,"DS004")</f>
        <v>USD</v>
      </c>
      <c r="G2" s="1" t="str">
        <f>D2&amp; " US Equity"</f>
        <v>ITUB US Equity</v>
      </c>
      <c r="H2" s="1" t="str">
        <f>+_xll.BDP($G2,"Name")</f>
        <v>ITAU UNIBANCO H-SPON PRF ADR</v>
      </c>
      <c r="I2" s="1" t="str">
        <f>+_xlfn.CONCAT(Tabla1[[#This Row],[Fecha de compra]],Tabla1[[#This Row],[Ticker]],Tabla1[[#This Row],[Q]])</f>
        <v>45912ITUB5705</v>
      </c>
      <c r="J2" s="7">
        <v>5705</v>
      </c>
      <c r="K2" s="5">
        <v>6.9882999999999997</v>
      </c>
      <c r="L2" s="2">
        <f>+Tabla1[[#This Row],[Q]]*Tabla1[[#This Row],[P]]</f>
        <v>39868.251499999998</v>
      </c>
      <c r="M2" s="23">
        <f>+VLOOKUP(Tabla1[[#This Row],[Identificador]],'P&amp;L Total'!A:L,12,FALSE)</f>
        <v>0.15526952191520116</v>
      </c>
      <c r="N2" s="4">
        <f>WORKDAY(Tabla1[[#This Row],[Fecha de compra]],0)</f>
        <v>45912</v>
      </c>
      <c r="O2" s="1" t="s">
        <v>195</v>
      </c>
    </row>
    <row r="3" spans="1:15">
      <c r="A3" s="4" t="str">
        <f>+IF(COUNTIF(Tabla2[Cod_ope],Tabla1[[#This Row],[Cod_Ope]])&gt;0,"out","stock")</f>
        <v>stock</v>
      </c>
      <c r="B3" s="4">
        <v>45912</v>
      </c>
      <c r="C3" s="1">
        <v>39592</v>
      </c>
      <c r="D3" s="1" t="s">
        <v>46</v>
      </c>
      <c r="E3" s="1" t="s">
        <v>47</v>
      </c>
      <c r="F3" s="1" t="str" cm="1">
        <f t="array" ref="F3">_xll.BDP(G3,"DS004")</f>
        <v>USD</v>
      </c>
      <c r="G3" s="1" t="str">
        <f>D3&amp; " US Equity"</f>
        <v>EEM US Equity</v>
      </c>
      <c r="H3" s="1" t="str">
        <f>+_xll.BDP($G3,"Name")</f>
        <v>ISHARES MSCI EMERGING MARKET</v>
      </c>
      <c r="I3" s="1" t="str">
        <f>+_xlfn.CONCAT(Tabla1[[#This Row],[Fecha de compra]],Tabla1[[#This Row],[Ticker]],Tabla1[[#This Row],[Q]])</f>
        <v>45912EEM1527</v>
      </c>
      <c r="J3" s="7">
        <v>1527</v>
      </c>
      <c r="K3" s="5">
        <v>52.29</v>
      </c>
      <c r="L3" s="2">
        <f>+Tabla1[[#This Row],[Q]]*Tabla1[[#This Row],[P]]</f>
        <v>79846.83</v>
      </c>
      <c r="M3" s="23">
        <f>+VLOOKUP(Tabla1[[#This Row],[Identificador]],'P&amp;L Total'!A:L,12,FALSE)</f>
        <v>9.8275989153014304E-2</v>
      </c>
      <c r="N3" s="4">
        <f>WORKDAY(Tabla1[[#This Row],[Fecha de compra]],0)</f>
        <v>45912</v>
      </c>
      <c r="O3" s="1" t="s">
        <v>195</v>
      </c>
    </row>
    <row r="4" spans="1:15">
      <c r="A4" s="4" t="str">
        <f>+IF(COUNTIF(Tabla2[Cod_ope],Tabla1[[#This Row],[Cod_Ope]])&gt;0,"out","stock")</f>
        <v>stock</v>
      </c>
      <c r="B4" s="4">
        <v>45912</v>
      </c>
      <c r="C4" s="1">
        <v>39592</v>
      </c>
      <c r="D4" s="1" t="s">
        <v>52</v>
      </c>
      <c r="E4" s="1" t="s">
        <v>53</v>
      </c>
      <c r="F4" s="1" t="str" cm="1">
        <f t="array" ref="F4">_xll.BDP(G4,"DS004")</f>
        <v>USD</v>
      </c>
      <c r="G4" s="1" t="str">
        <f>D4&amp; " US Equity"</f>
        <v>XLU US Equity</v>
      </c>
      <c r="H4" s="1" t="str">
        <f>+_xll.BDP($G4,"Name")</f>
        <v>ST SR UTL SL SE SPDR ETF-USD</v>
      </c>
      <c r="I4" s="1" t="str">
        <f>+_xlfn.CONCAT(Tabla1[[#This Row],[Fecha de compra]],Tabla1[[#This Row],[Ticker]],Tabla1[[#This Row],[Q]])</f>
        <v>45912XLU1872</v>
      </c>
      <c r="J4" s="7">
        <f>936*2</f>
        <v>1872</v>
      </c>
      <c r="K4" s="5">
        <f>85.3599/2</f>
        <v>42.679949999999998</v>
      </c>
      <c r="L4" s="2">
        <f>+Tabla1[[#This Row],[Q]]*Tabla1[[#This Row],[P]]</f>
        <v>79896.866399999999</v>
      </c>
      <c r="M4" s="23">
        <f>+VLOOKUP(Tabla1[[#This Row],[Identificador]],'P&amp;L Total'!A:L,12,FALSE)</f>
        <v>7.1288450342394741E-2</v>
      </c>
      <c r="N4" s="4">
        <f>WORKDAY(Tabla1[[#This Row],[Fecha de compra]],0)</f>
        <v>45912</v>
      </c>
      <c r="O4" s="1" t="s">
        <v>195</v>
      </c>
    </row>
    <row r="5" spans="1:15">
      <c r="A5" s="4" t="str">
        <f>+IF(COUNTIF(Tabla2[Cod_ope],Tabla1[[#This Row],[Cod_Ope]])&gt;0,"out","stock")</f>
        <v>stock</v>
      </c>
      <c r="B5" s="4">
        <v>45912</v>
      </c>
      <c r="C5" s="1">
        <v>39592</v>
      </c>
      <c r="D5" s="1" t="s">
        <v>48</v>
      </c>
      <c r="E5" s="1" t="s">
        <v>49</v>
      </c>
      <c r="F5" s="1" t="str" cm="1">
        <f t="array" ref="F5">_xll.BDP(G5,"DS004")</f>
        <v>USD</v>
      </c>
      <c r="G5" s="1" t="str">
        <f>D5&amp; " US Equity"</f>
        <v>XLI US Equity</v>
      </c>
      <c r="H5" s="1" t="str">
        <f>+_xll.BDP($G5,"Name")</f>
        <v>SS INDUSTRIAL SELECT SECTOR</v>
      </c>
      <c r="I5" s="1" t="str">
        <f>+_xlfn.CONCAT(Tabla1[[#This Row],[Fecha de compra]],Tabla1[[#This Row],[Ticker]],Tabla1[[#This Row],[Q]])</f>
        <v>45912XLI526</v>
      </c>
      <c r="J5" s="7">
        <v>526</v>
      </c>
      <c r="K5" s="5">
        <v>151.87780000000001</v>
      </c>
      <c r="L5" s="2">
        <f>+Tabla1[[#This Row],[Q]]*Tabla1[[#This Row],[P]]</f>
        <v>79887.722800000003</v>
      </c>
      <c r="M5" s="23">
        <f>+VLOOKUP(Tabla1[[#This Row],[Identificador]],'P&amp;L Total'!A:L,12,FALSE)</f>
        <v>6.3487407571855142E-2</v>
      </c>
      <c r="N5" s="4">
        <f>WORKDAY(Tabla1[[#This Row],[Fecha de compra]],0)</f>
        <v>45912</v>
      </c>
      <c r="O5" s="1" t="s">
        <v>195</v>
      </c>
    </row>
    <row r="6" spans="1:15">
      <c r="A6" s="4" t="str">
        <f>+IF(COUNTIF(Tabla2[Cod_ope],Tabla1[[#This Row],[Cod_Ope]])&gt;0,"out","stock")</f>
        <v>stock</v>
      </c>
      <c r="B6" s="4">
        <v>45912</v>
      </c>
      <c r="C6" s="1">
        <v>39592</v>
      </c>
      <c r="D6" s="1" t="s">
        <v>50</v>
      </c>
      <c r="E6" s="1" t="s">
        <v>51</v>
      </c>
      <c r="F6" s="1" t="str" cm="1">
        <f t="array" ref="F6">_xll.BDP(G6,"DS004")</f>
        <v>USD</v>
      </c>
      <c r="G6" s="1" t="str">
        <f>D6&amp; " US Equity"</f>
        <v>XLY US Equity</v>
      </c>
      <c r="H6" s="1" t="str">
        <f>+_xll.BDP($G6,"Name")</f>
        <v>SS CONSUMER DISC SELECT SECT</v>
      </c>
      <c r="I6" s="1" t="str">
        <f>+_xlfn.CONCAT(Tabla1[[#This Row],[Fecha de compra]],Tabla1[[#This Row],[Ticker]],Tabla1[[#This Row],[Q]])</f>
        <v>45912XLY670</v>
      </c>
      <c r="J6" s="7">
        <f>335*2</f>
        <v>670</v>
      </c>
      <c r="K6" s="5">
        <f>238.33/2</f>
        <v>119.16500000000001</v>
      </c>
      <c r="L6" s="2">
        <f>+Tabla1[[#This Row],[Q]]*Tabla1[[#This Row],[P]]</f>
        <v>79840.55</v>
      </c>
      <c r="M6" s="23">
        <f>+VLOOKUP(Tabla1[[#This Row],[Identificador]],'P&amp;L Total'!A:L,12,FALSE)</f>
        <v>-2.4749211857159687E-2</v>
      </c>
      <c r="N6" s="4">
        <f>WORKDAY(Tabla1[[#This Row],[Fecha de compra]],0)</f>
        <v>45912</v>
      </c>
      <c r="O6" s="1" t="s">
        <v>195</v>
      </c>
    </row>
    <row r="7" spans="1:15">
      <c r="A7" s="4" t="str">
        <f>+IF(COUNTIF(Tabla2[Cod_ope],Tabla1[[#This Row],[Cod_Ope]])&gt;0,"out","stock")</f>
        <v>out</v>
      </c>
      <c r="B7" s="4">
        <v>45917</v>
      </c>
      <c r="C7" s="1">
        <v>39592</v>
      </c>
      <c r="D7" s="1" t="s">
        <v>54</v>
      </c>
      <c r="E7" s="1" t="s">
        <v>55</v>
      </c>
      <c r="F7" s="1" t="str" cm="1">
        <f t="array" ref="F7">_xll.BDP(G7,"DS004")</f>
        <v>USD</v>
      </c>
      <c r="G7" s="1" t="str">
        <f>D7&amp; " US Equity"</f>
        <v>PLTR US Equity</v>
      </c>
      <c r="H7" s="1" t="str">
        <f>+_xll.BDP($G7,"Name")</f>
        <v>PALANTIR TECHNOLOGIES INC-A</v>
      </c>
      <c r="I7" s="1" t="str">
        <f>+_xlfn.CONCAT(Tabla1[[#This Row],[Fecha de compra]],Tabla1[[#This Row],[Ticker]],Tabla1[[#This Row],[Q]])</f>
        <v>45917PLTR491</v>
      </c>
      <c r="J7" s="7">
        <v>491</v>
      </c>
      <c r="K7" s="5">
        <v>162.92599999999999</v>
      </c>
      <c r="L7" s="2">
        <f>+Tabla1[[#This Row],[Q]]*Tabla1[[#This Row],[P]]</f>
        <v>79996.665999999997</v>
      </c>
      <c r="M7" s="23">
        <f>+VLOOKUP(Tabla1[[#This Row],[Identificador]],'P&amp;L Total'!A:L,12,FALSE)</f>
        <v>4.8158250908487937E-2</v>
      </c>
      <c r="N7" s="4">
        <f>WORKDAY(Tabla1[[#This Row],[Fecha de compra]],0)</f>
        <v>45917</v>
      </c>
      <c r="O7" s="1" t="s">
        <v>195</v>
      </c>
    </row>
    <row r="8" spans="1:15">
      <c r="A8" s="4" t="str">
        <f>+IF(COUNTIF(Tabla2[Cod_ope],Tabla1[[#This Row],[Cod_Ope]])&gt;0,"out","stock")</f>
        <v>out</v>
      </c>
      <c r="B8" s="4">
        <v>45917</v>
      </c>
      <c r="C8" s="1">
        <v>39592</v>
      </c>
      <c r="D8" s="1" t="s">
        <v>56</v>
      </c>
      <c r="E8" s="1" t="s">
        <v>57</v>
      </c>
      <c r="F8" s="1" t="str" cm="1">
        <f t="array" ref="F8">_xll.BDP(G8,"DS004")</f>
        <v>USD</v>
      </c>
      <c r="G8" s="1" t="str">
        <f>D8&amp; " US Equity"</f>
        <v>SPY US Equity</v>
      </c>
      <c r="H8" s="1" t="str">
        <f>+_xll.BDP($G8,"Name")</f>
        <v>SS SPDR S&amp;P 500 ETF TRUST-US</v>
      </c>
      <c r="I8" s="1" t="str">
        <f>+_xlfn.CONCAT(Tabla1[[#This Row],[Fecha de compra]],Tabla1[[#This Row],[Ticker]],Tabla1[[#This Row],[Q]])</f>
        <v>45917SPY151</v>
      </c>
      <c r="J8" s="7">
        <v>151</v>
      </c>
      <c r="K8" s="5">
        <v>658.38</v>
      </c>
      <c r="L8" s="2">
        <f>+Tabla1[[#This Row],[Q]]*Tabla1[[#This Row],[P]]</f>
        <v>99415.38</v>
      </c>
      <c r="M8" s="23">
        <f>+VLOOKUP(Tabla1[[#This Row],[Identificador]],'P&amp;L Total'!A:L,12,FALSE)</f>
        <v>3.6936014033720738E-2</v>
      </c>
      <c r="N8" s="4">
        <f>WORKDAY(Tabla1[[#This Row],[Fecha de compra]],0)</f>
        <v>45917</v>
      </c>
      <c r="O8" s="1" t="s">
        <v>195</v>
      </c>
    </row>
    <row r="9" spans="1:15">
      <c r="A9" s="4" t="str">
        <f>+IF(COUNTIF(Tabla2[Cod_ope],Tabla1[[#This Row],[Cod_Ope]])&gt;0,"out","stock")</f>
        <v>stock</v>
      </c>
      <c r="B9" s="4">
        <v>45922</v>
      </c>
      <c r="C9" s="1">
        <v>39592</v>
      </c>
      <c r="D9" s="1" t="s">
        <v>58</v>
      </c>
      <c r="E9" s="1" t="s">
        <v>59</v>
      </c>
      <c r="F9" s="1" t="str" cm="1">
        <f t="array" ref="F9">_xll.BDP(G9,"DS004")</f>
        <v>USD</v>
      </c>
      <c r="G9" s="1" t="str">
        <f>D9&amp; " US Equity"</f>
        <v>FDX US Equity</v>
      </c>
      <c r="H9" s="1" t="str">
        <f>+_xll.BDP($G9,"Name")</f>
        <v>FEDEX CORP</v>
      </c>
      <c r="I9" s="1" t="str">
        <f>+_xlfn.CONCAT(Tabla1[[#This Row],[Fecha de compra]],Tabla1[[#This Row],[Ticker]],Tabla1[[#This Row],[Q]])</f>
        <v>45922FDX218</v>
      </c>
      <c r="J9" s="7">
        <v>218</v>
      </c>
      <c r="K9" s="5">
        <v>228.4</v>
      </c>
      <c r="L9" s="2">
        <f>+Tabla1[[#This Row],[Q]]*Tabla1[[#This Row],[P]]</f>
        <v>49791.200000000004</v>
      </c>
      <c r="M9" s="23">
        <f>+VLOOKUP(Tabla1[[#This Row],[Identificador]],'P&amp;L Total'!A:L,12,FALSE)</f>
        <v>0.5802101576182136</v>
      </c>
      <c r="N9" s="4">
        <f>WORKDAY(Tabla1[[#This Row],[Fecha de compra]],0)</f>
        <v>45922</v>
      </c>
      <c r="O9" s="1" t="s">
        <v>195</v>
      </c>
    </row>
    <row r="10" spans="1:15">
      <c r="A10" s="4" t="str">
        <f>+IF(COUNTIF(Tabla2[Cod_ope],Tabla1[[#This Row],[Cod_Ope]])&gt;0,"out","stock")</f>
        <v>out</v>
      </c>
      <c r="B10" s="4">
        <v>45922</v>
      </c>
      <c r="C10" s="1">
        <v>39592</v>
      </c>
      <c r="D10" s="1" t="s">
        <v>60</v>
      </c>
      <c r="E10" s="1" t="s">
        <v>61</v>
      </c>
      <c r="F10" s="1" t="str" cm="1">
        <f t="array" ref="F10">_xll.BDP(G10,"DS004")</f>
        <v>USD</v>
      </c>
      <c r="G10" s="1" t="str">
        <f>D10&amp; " US Equity"</f>
        <v>XPEV US Equity</v>
      </c>
      <c r="H10" s="1" t="str">
        <f>+_xll.BDP($G10,"Name")</f>
        <v>XPENG INC - ADR</v>
      </c>
      <c r="I10" s="1" t="str">
        <f>+_xlfn.CONCAT(Tabla1[[#This Row],[Fecha de compra]],Tabla1[[#This Row],[Ticker]],Tabla1[[#This Row],[Q]])</f>
        <v>45922XPEV1403</v>
      </c>
      <c r="J10" s="7">
        <v>1403</v>
      </c>
      <c r="K10" s="5">
        <v>21.347999999999999</v>
      </c>
      <c r="L10" s="2">
        <f>+Tabla1[[#This Row],[Q]]*Tabla1[[#This Row],[P]]</f>
        <v>29951.243999999999</v>
      </c>
      <c r="M10" s="23">
        <f>+VLOOKUP(Tabla1[[#This Row],[Identificador]],'P&amp;L Total'!A:L,12,FALSE)</f>
        <v>0.26335696166461892</v>
      </c>
      <c r="N10" s="4">
        <f>WORKDAY(Tabla1[[#This Row],[Fecha de compra]],0)</f>
        <v>45922</v>
      </c>
      <c r="O10" s="1" t="s">
        <v>195</v>
      </c>
    </row>
    <row r="11" spans="1:15">
      <c r="A11" s="4" t="str">
        <f>+IF(COUNTIF(Tabla2[Cod_ope],Tabla1[[#This Row],[Cod_Ope]])&gt;0,"out","stock")</f>
        <v>out</v>
      </c>
      <c r="B11" s="4">
        <v>45922</v>
      </c>
      <c r="C11" s="1">
        <v>39592</v>
      </c>
      <c r="D11" s="1" t="s">
        <v>64</v>
      </c>
      <c r="E11" s="1" t="s">
        <v>65</v>
      </c>
      <c r="F11" s="1" t="str" cm="1">
        <f t="array" ref="F11">_xll.BDP(G11,"DS004")</f>
        <v>USD</v>
      </c>
      <c r="G11" s="1" t="str">
        <f>D11&amp; " US Equity"</f>
        <v>EWP US Equity</v>
      </c>
      <c r="H11" s="1" t="str">
        <f>+_xll.BDP($G11,"Name")</f>
        <v>ISHARES MSCI SPAIN ETF</v>
      </c>
      <c r="I11" s="1" t="str">
        <f>+_xlfn.CONCAT(Tabla1[[#This Row],[Fecha de compra]],Tabla1[[#This Row],[Ticker]],Tabla1[[#This Row],[Q]])</f>
        <v>45922EWP1031</v>
      </c>
      <c r="J11" s="7">
        <v>1031</v>
      </c>
      <c r="K11" s="5">
        <v>48.407089999999997</v>
      </c>
      <c r="L11" s="2">
        <f>+Tabla1[[#This Row],[Q]]*Tabla1[[#This Row],[P]]</f>
        <v>49907.709789999994</v>
      </c>
      <c r="M11" s="23">
        <f>+VLOOKUP(Tabla1[[#This Row],[Identificador]],'P&amp;L Total'!A:L,12,FALSE)</f>
        <v>0.15211366764661968</v>
      </c>
      <c r="N11" s="4">
        <f>WORKDAY(Tabla1[[#This Row],[Fecha de compra]],0)</f>
        <v>45922</v>
      </c>
      <c r="O11" s="1" t="s">
        <v>195</v>
      </c>
    </row>
    <row r="12" spans="1:15">
      <c r="A12" s="4" t="str">
        <f>+IF(COUNTIF(Tabla2[Cod_ope],Tabla1[[#This Row],[Cod_Ope]])&gt;0,"out","stock")</f>
        <v>stock</v>
      </c>
      <c r="B12" s="4">
        <v>45922</v>
      </c>
      <c r="C12" s="1">
        <v>39592</v>
      </c>
      <c r="D12" s="1" t="s">
        <v>72</v>
      </c>
      <c r="E12" s="1" t="s">
        <v>73</v>
      </c>
      <c r="F12" s="1" t="str" cm="1">
        <f t="array" ref="F12">_xll.BDP(G12,"DS004")</f>
        <v>USD</v>
      </c>
      <c r="G12" s="1" t="str">
        <f>D12&amp; " US Equity"</f>
        <v>NIO US Equity</v>
      </c>
      <c r="H12" s="1" t="str">
        <f>+_xll.BDP($G12,"Name")</f>
        <v>NIO INC - ADR</v>
      </c>
      <c r="I12" s="1" t="str">
        <f>+_xlfn.CONCAT(Tabla1[[#This Row],[Fecha de compra]],Tabla1[[#This Row],[Ticker]],Tabla1[[#This Row],[Q]])</f>
        <v>45922NIO4360</v>
      </c>
      <c r="J12" s="7">
        <v>4360</v>
      </c>
      <c r="K12" s="5">
        <v>6.86</v>
      </c>
      <c r="L12" s="2">
        <f>+Tabla1[[#This Row],[Q]]*Tabla1[[#This Row],[P]]</f>
        <v>29909.600000000002</v>
      </c>
      <c r="M12" s="23">
        <f>+VLOOKUP(Tabla1[[#This Row],[Identificador]],'P&amp;L Total'!A:L,12,FALSE)</f>
        <v>1.6996563488661616E-3</v>
      </c>
      <c r="N12" s="4">
        <f>WORKDAY(Tabla1[[#This Row],[Fecha de compra]],1)</f>
        <v>45923</v>
      </c>
      <c r="O12" s="1" t="s">
        <v>195</v>
      </c>
    </row>
    <row r="13" spans="1:15">
      <c r="A13" s="4" t="str">
        <f>+IF(COUNTIF(Tabla2[Cod_ope],Tabla1[[#This Row],[Cod_Ope]])&gt;0,"out","stock")</f>
        <v>stock</v>
      </c>
      <c r="B13" s="4">
        <v>45922</v>
      </c>
      <c r="C13" s="1">
        <v>39592</v>
      </c>
      <c r="D13" s="1" t="s">
        <v>62</v>
      </c>
      <c r="E13" s="1" t="s">
        <v>63</v>
      </c>
      <c r="F13" s="1" t="str" cm="1">
        <f t="array" ref="F13">_xll.BDP(G13,"DS004")</f>
        <v>USD</v>
      </c>
      <c r="G13" s="1" t="str">
        <f>D13&amp; " US Equity"</f>
        <v>PRU US Equity</v>
      </c>
      <c r="H13" s="1" t="str">
        <f>+_xll.BDP($G13,"Name")</f>
        <v>PRUDENTIAL FINANCIAL INC</v>
      </c>
      <c r="I13" s="1" t="str">
        <f>+_xlfn.CONCAT(Tabla1[[#This Row],[Fecha de compra]],Tabla1[[#This Row],[Ticker]],Tabla1[[#This Row],[Q]])</f>
        <v>45922PRU483</v>
      </c>
      <c r="J13" s="7">
        <v>483</v>
      </c>
      <c r="K13" s="5">
        <v>103.3625</v>
      </c>
      <c r="L13" s="2">
        <f>+Tabla1[[#This Row],[Q]]*Tabla1[[#This Row],[P]]</f>
        <v>49924.087500000001</v>
      </c>
      <c r="M13" s="23">
        <f>+VLOOKUP(Tabla1[[#This Row],[Identificador]],'P&amp;L Total'!A:L,12,FALSE)</f>
        <v>-6.3296650139073637E-2</v>
      </c>
      <c r="N13" s="4">
        <f>WORKDAY(Tabla1[[#This Row],[Fecha de compra]],0)</f>
        <v>45922</v>
      </c>
      <c r="O13" s="1" t="s">
        <v>195</v>
      </c>
    </row>
    <row r="14" spans="1:15">
      <c r="A14" s="4" t="str">
        <f>+IF(COUNTIF(Tabla2[Cod_ope],Tabla1[[#This Row],[Cod_Ope]])&gt;0,"out","stock")</f>
        <v>stock</v>
      </c>
      <c r="B14" s="4">
        <v>45922</v>
      </c>
      <c r="C14" s="1">
        <v>39592</v>
      </c>
      <c r="D14" s="1" t="s">
        <v>70</v>
      </c>
      <c r="E14" s="1" t="s">
        <v>71</v>
      </c>
      <c r="F14" s="1" t="str" cm="1">
        <f t="array" ref="F14">_xll.BDP(G14,"DS004")</f>
        <v>USD</v>
      </c>
      <c r="G14" s="1" t="str">
        <f>D14&amp; " US Equity"</f>
        <v>KMB US Equity</v>
      </c>
      <c r="H14" s="1" t="str">
        <f>+_xll.BDP($G14,"Name")</f>
        <v>KIMBERLY-CLARK CORP</v>
      </c>
      <c r="I14" s="1" t="str">
        <f>+_xlfn.CONCAT(Tabla1[[#This Row],[Fecha de compra]],Tabla1[[#This Row],[Ticker]],Tabla1[[#This Row],[Q]])</f>
        <v>45922KMB402</v>
      </c>
      <c r="J14" s="7">
        <v>402</v>
      </c>
      <c r="K14" s="5">
        <v>124.18989999999999</v>
      </c>
      <c r="L14" s="2">
        <f>+Tabla1[[#This Row],[Q]]*Tabla1[[#This Row],[P]]</f>
        <v>49924.339799999994</v>
      </c>
      <c r="M14" s="23">
        <f>+VLOOKUP(Tabla1[[#This Row],[Identificador]],'P&amp;L Total'!A:L,12,FALSE)</f>
        <v>-0.10395594405862663</v>
      </c>
      <c r="N14" s="4">
        <f>WORKDAY(Tabla1[[#This Row],[Fecha de compra]],1)</f>
        <v>45923</v>
      </c>
      <c r="O14" s="1" t="s">
        <v>195</v>
      </c>
    </row>
    <row r="15" spans="1:15">
      <c r="A15" s="4" t="str">
        <f>+IF(COUNTIF(Tabla2[Cod_ope],Tabla1[[#This Row],[Cod_Ope]])&gt;0,"out","stock")</f>
        <v>stock</v>
      </c>
      <c r="B15" s="4">
        <v>45922</v>
      </c>
      <c r="C15" s="1">
        <v>39592</v>
      </c>
      <c r="D15" s="1" t="s">
        <v>66</v>
      </c>
      <c r="E15" s="1" t="s">
        <v>67</v>
      </c>
      <c r="F15" s="1" t="str" cm="1">
        <f t="array" ref="F15">_xll.BDP(G15,"DS004")</f>
        <v>USD</v>
      </c>
      <c r="G15" s="1" t="str">
        <f>D15&amp; " US Equity"</f>
        <v>UNH US Equity</v>
      </c>
      <c r="H15" s="1" t="str">
        <f>+_xll.BDP($G15,"Name")</f>
        <v>UNITEDHEALTH GROUP INC</v>
      </c>
      <c r="I15" s="1" t="str">
        <f>+_xlfn.CONCAT(Tabla1[[#This Row],[Fecha de compra]],Tabla1[[#This Row],[Ticker]],Tabla1[[#This Row],[Q]])</f>
        <v>45922UNH147</v>
      </c>
      <c r="J15" s="7">
        <v>147</v>
      </c>
      <c r="K15" s="5">
        <v>340.3</v>
      </c>
      <c r="L15" s="2">
        <f>+Tabla1[[#This Row],[Q]]*Tabla1[[#This Row],[P]]</f>
        <v>50024.1</v>
      </c>
      <c r="M15" s="23">
        <f>+VLOOKUP(Tabla1[[#This Row],[Identificador]],'P&amp;L Total'!A:L,12,FALSE)</f>
        <v>-0.16883552450870001</v>
      </c>
      <c r="N15" s="4">
        <f>WORKDAY(Tabla1[[#This Row],[Fecha de compra]],1)</f>
        <v>45923</v>
      </c>
      <c r="O15" s="1" t="s">
        <v>195</v>
      </c>
    </row>
    <row r="16" spans="1:15">
      <c r="A16" s="4" t="str">
        <f>+IF(COUNTIF(Tabla2[Cod_ope],Tabla1[[#This Row],[Cod_Ope]])&gt;0,"out","stock")</f>
        <v>stock</v>
      </c>
      <c r="B16" s="4">
        <v>45922</v>
      </c>
      <c r="C16" s="1">
        <v>39592</v>
      </c>
      <c r="D16" s="1" t="s">
        <v>68</v>
      </c>
      <c r="E16" s="1" t="s">
        <v>69</v>
      </c>
      <c r="F16" s="1" t="str" cm="1">
        <f t="array" ref="F16">_xll.BDP(G16,"DS004")</f>
        <v>USD</v>
      </c>
      <c r="G16" s="1" t="str">
        <f>D16&amp; " US Equity"</f>
        <v>KKR US Equity</v>
      </c>
      <c r="H16" s="1" t="str">
        <f>+_xll.BDP($G16,"Name")</f>
        <v>KKR &amp; CO INC</v>
      </c>
      <c r="I16" s="1" t="str">
        <f>+_xlfn.CONCAT(Tabla1[[#This Row],[Fecha de compra]],Tabla1[[#This Row],[Ticker]],Tabla1[[#This Row],[Q]])</f>
        <v>45922KKR341</v>
      </c>
      <c r="J16" s="7">
        <v>341</v>
      </c>
      <c r="K16" s="5">
        <v>146.35</v>
      </c>
      <c r="L16" s="2">
        <f>+Tabla1[[#This Row],[Q]]*Tabla1[[#This Row],[P]]</f>
        <v>49905.35</v>
      </c>
      <c r="M16" s="23">
        <f>+VLOOKUP(Tabla1[[#This Row],[Identificador]],'P&amp;L Total'!A:L,12,FALSE)</f>
        <v>-0.38404509736932019</v>
      </c>
      <c r="N16" s="4">
        <f>WORKDAY(Tabla1[[#This Row],[Fecha de compra]],1)</f>
        <v>45923</v>
      </c>
      <c r="O16" s="1" t="s">
        <v>195</v>
      </c>
    </row>
    <row r="17" spans="1:15">
      <c r="A17" s="4" t="str">
        <f>+IF(COUNTIF(Tabla2[Cod_ope],Tabla1[[#This Row],[Cod_Ope]])&gt;0,"out","stock")</f>
        <v>stock</v>
      </c>
      <c r="B17" s="4">
        <v>45927</v>
      </c>
      <c r="C17" s="1">
        <v>39592</v>
      </c>
      <c r="D17" s="1" t="s">
        <v>46</v>
      </c>
      <c r="E17" s="1" t="s">
        <v>47</v>
      </c>
      <c r="F17" s="1" t="str" cm="1">
        <f t="array" ref="F17">_xll.BDP(G17,"DS004")</f>
        <v>USD</v>
      </c>
      <c r="G17" s="1" t="str">
        <f>D17&amp; " US Equity"</f>
        <v>EEM US Equity</v>
      </c>
      <c r="H17" s="1" t="str">
        <f>+_xll.BDP($G17,"Name")</f>
        <v>ISHARES MSCI EMERGING MARKET</v>
      </c>
      <c r="I17" s="1" t="str">
        <f>+_xlfn.CONCAT(Tabla1[[#This Row],[Fecha de compra]],Tabla1[[#This Row],[Ticker]],Tabla1[[#This Row],[Q]])</f>
        <v>45927EEM1436</v>
      </c>
      <c r="J17" s="7">
        <v>1436</v>
      </c>
      <c r="K17" s="1">
        <v>55.579900000000002</v>
      </c>
      <c r="L17" s="2">
        <f>+Tabla1[[#This Row],[Q]]*Tabla1[[#This Row],[P]]</f>
        <v>79812.736400000009</v>
      </c>
      <c r="M17" s="23">
        <f>+VLOOKUP(Tabla1[[#This Row],[Identificador]],'P&amp;L Total'!A:L,12,FALSE)</f>
        <v>9.8275989153014304E-2</v>
      </c>
      <c r="N17" s="4">
        <f>WORKDAY(Tabla1[[#This Row],[Fecha de compra]],0)</f>
        <v>45927</v>
      </c>
      <c r="O17" s="1" t="s">
        <v>195</v>
      </c>
    </row>
    <row r="18" spans="1:15">
      <c r="A18" s="4" t="str">
        <f>+IF(COUNTIF(Tabla2[Cod_ope],Tabla1[[#This Row],[Cod_Ope]])&gt;0,"out","stock")</f>
        <v>stock</v>
      </c>
      <c r="B18" s="4">
        <v>45927</v>
      </c>
      <c r="C18" s="1">
        <v>39592</v>
      </c>
      <c r="D18" s="1" t="s">
        <v>74</v>
      </c>
      <c r="E18" s="1" t="s">
        <v>75</v>
      </c>
      <c r="F18" s="1" t="str" cm="1">
        <f t="array" ref="F18">_xll.BDP(G18,"DS004")</f>
        <v>USD</v>
      </c>
      <c r="G18" s="1" t="str">
        <f>D18&amp; " US Equity"</f>
        <v>EUFN US Equity</v>
      </c>
      <c r="H18" s="1" t="str">
        <f>+_xll.BDP($G18,"Name")</f>
        <v>ISHARES MSCI EUROPE FINANCIA</v>
      </c>
      <c r="I18" s="1" t="str">
        <f>+_xlfn.CONCAT(Tabla1[[#This Row],[Fecha de compra]],Tabla1[[#This Row],[Ticker]],Tabla1[[#This Row],[Q]])</f>
        <v>45927EUFN2062</v>
      </c>
      <c r="J18" s="7">
        <v>2062</v>
      </c>
      <c r="K18" s="1">
        <v>33.879983000000003</v>
      </c>
      <c r="L18" s="2">
        <f>+Tabla1[[#This Row],[Q]]*Tabla1[[#This Row],[P]]</f>
        <v>69860.524946000005</v>
      </c>
      <c r="M18" s="23">
        <f>+VLOOKUP(Tabla1[[#This Row],[Identificador]],'P&amp;L Total'!A:L,12,FALSE)</f>
        <v>5.8038722834815204E-2</v>
      </c>
      <c r="N18" s="4">
        <f>WORKDAY(Tabla1[[#This Row],[Fecha de compra]],0)</f>
        <v>45927</v>
      </c>
      <c r="O18" s="1" t="s">
        <v>195</v>
      </c>
    </row>
    <row r="19" spans="1:15">
      <c r="A19" s="4" t="str">
        <f>+IF(COUNTIF(Tabla2[Cod_ope],Tabla1[[#This Row],[Cod_Ope]])&gt;0,"out","stock")</f>
        <v>stock</v>
      </c>
      <c r="B19" s="4">
        <v>45927</v>
      </c>
      <c r="C19" s="1">
        <v>39592</v>
      </c>
      <c r="D19" s="1" t="s">
        <v>76</v>
      </c>
      <c r="E19" s="1" t="s">
        <v>77</v>
      </c>
      <c r="F19" s="1" t="str" cm="1">
        <f t="array" ref="F19">_xll.BDP(G19,"DS004")</f>
        <v>USD</v>
      </c>
      <c r="G19" s="1" t="str">
        <f>D19&amp; " US Equity"</f>
        <v>EZU US Equity</v>
      </c>
      <c r="H19" s="1" t="str">
        <f>+_xll.BDP($G19,"Name")</f>
        <v>ISHARES MSCI EUROZONE ETF</v>
      </c>
      <c r="I19" s="1" t="str">
        <f>+_xlfn.CONCAT(Tabla1[[#This Row],[Fecha de compra]],Tabla1[[#This Row],[Ticker]],Tabla1[[#This Row],[Q]])</f>
        <v>45927EZU1584</v>
      </c>
      <c r="J19" s="7">
        <v>1584</v>
      </c>
      <c r="K19" s="1">
        <v>63.025879000000003</v>
      </c>
      <c r="L19" s="2">
        <f>+Tabla1[[#This Row],[Q]]*Tabla1[[#This Row],[P]]</f>
        <v>99832.99233600001</v>
      </c>
      <c r="M19" s="23">
        <f>+VLOOKUP(Tabla1[[#This Row],[Identificador]],'P&amp;L Total'!A:L,12,FALSE)</f>
        <v>3.22703309927235E-2</v>
      </c>
      <c r="N19" s="4">
        <f>WORKDAY(Tabla1[[#This Row],[Fecha de compra]],0)</f>
        <v>45927</v>
      </c>
      <c r="O19" s="1" t="s">
        <v>195</v>
      </c>
    </row>
    <row r="20" spans="1:15">
      <c r="A20" s="4" t="str">
        <f>+IF(COUNTIF(Tabla2[Cod_ope],Tabla1[[#This Row],[Cod_Ope]])&gt;0,"out","stock")</f>
        <v>stock</v>
      </c>
      <c r="B20" s="4">
        <v>45927</v>
      </c>
      <c r="C20" s="1">
        <v>39592</v>
      </c>
      <c r="D20" s="1" t="s">
        <v>66</v>
      </c>
      <c r="E20" s="1" t="s">
        <v>67</v>
      </c>
      <c r="F20" s="1" t="str" cm="1">
        <f t="array" ref="F20">_xll.BDP(G20,"DS004")</f>
        <v>USD</v>
      </c>
      <c r="G20" s="1" t="str">
        <f>D20&amp; " US Equity"</f>
        <v>UNH US Equity</v>
      </c>
      <c r="H20" s="1" t="str">
        <f>+_xll.BDP($G20,"Name")</f>
        <v>UNITEDHEALTH GROUP INC</v>
      </c>
      <c r="I20" s="1" t="str">
        <f>+_xlfn.CONCAT(Tabla1[[#This Row],[Fecha de compra]],Tabla1[[#This Row],[Ticker]],Tabla1[[#This Row],[Q]])</f>
        <v>45927UNH137</v>
      </c>
      <c r="J20" s="7">
        <v>137</v>
      </c>
      <c r="K20" s="1">
        <v>364.02339999999998</v>
      </c>
      <c r="L20" s="2">
        <f>+Tabla1[[#This Row],[Q]]*Tabla1[[#This Row],[P]]</f>
        <v>49871.205799999996</v>
      </c>
      <c r="M20" s="23">
        <f>+VLOOKUP(Tabla1[[#This Row],[Identificador]],'P&amp;L Total'!A:L,12,FALSE)</f>
        <v>-0.16883552450870001</v>
      </c>
      <c r="N20" s="4">
        <f>WORKDAY(Tabla1[[#This Row],[Fecha de compra]],1)</f>
        <v>45929</v>
      </c>
      <c r="O20" s="1" t="s">
        <v>195</v>
      </c>
    </row>
    <row r="21" spans="1:15">
      <c r="A21" s="4" t="str">
        <f>+IF(COUNTIF(Tabla2[Cod_ope],Tabla1[[#This Row],[Cod_Ope]])&gt;0,"out","stock")</f>
        <v>out</v>
      </c>
      <c r="B21" s="4">
        <v>45932</v>
      </c>
      <c r="C21" s="1">
        <v>39592</v>
      </c>
      <c r="D21" s="1" t="s">
        <v>78</v>
      </c>
      <c r="E21" s="1" t="s">
        <v>79</v>
      </c>
      <c r="F21" s="1" t="str" cm="1">
        <f t="array" ref="F21">_xll.BDP(G21,"DS004")</f>
        <v>USD</v>
      </c>
      <c r="G21" s="1" t="str">
        <f>D21&amp; " US Equity"</f>
        <v>EWZ US Equity</v>
      </c>
      <c r="H21" s="1" t="str">
        <f>+_xll.BDP($G21,"Name")</f>
        <v>ISHARES MSCI BRAZIL ETF</v>
      </c>
      <c r="I21" s="1" t="str">
        <f>+_xlfn.CONCAT(Tabla1[[#This Row],[Fecha de compra]],Tabla1[[#This Row],[Ticker]],Tabla1[[#This Row],[Q]])</f>
        <v>45932EWZ1994</v>
      </c>
      <c r="J21" s="7">
        <v>1994</v>
      </c>
      <c r="K21" s="5">
        <v>30.03</v>
      </c>
      <c r="L21" s="2">
        <f>+Tabla1[[#This Row],[Q]]*Tabla1[[#This Row],[P]]</f>
        <v>59879.82</v>
      </c>
      <c r="M21" s="23">
        <f>+VLOOKUP(Tabla1[[#This Row],[Identificador]],'P&amp;L Total'!A:L,12,FALSE)</f>
        <v>3.1229701028196336E-2</v>
      </c>
      <c r="N21" s="4">
        <f>WORKDAY(Tabla1[[#This Row],[Fecha de compra]],0)</f>
        <v>45932</v>
      </c>
      <c r="O21" s="1" t="s">
        <v>195</v>
      </c>
    </row>
    <row r="22" spans="1:15">
      <c r="A22" s="4" t="str">
        <f>+IF(COUNTIF(Tabla2[Cod_ope],Tabla1[[#This Row],[Cod_Ope]])&gt;0,"out","stock")</f>
        <v>out</v>
      </c>
      <c r="B22" s="4">
        <v>45932</v>
      </c>
      <c r="C22" s="1">
        <v>39592</v>
      </c>
      <c r="D22" s="1" t="s">
        <v>80</v>
      </c>
      <c r="E22" s="1" t="s">
        <v>81</v>
      </c>
      <c r="F22" s="1" t="str" cm="1">
        <f t="array" ref="F22">_xll.BDP(G22,"DS004")</f>
        <v>USD</v>
      </c>
      <c r="G22" s="1" t="str">
        <f>D22&amp; " US Equity"</f>
        <v>EWZS US Equity</v>
      </c>
      <c r="H22" s="1" t="str">
        <f>+_xll.BDP($G22,"Name")</f>
        <v>ISHARES MSCI BRAZIL SMALL-CA</v>
      </c>
      <c r="I22" s="1" t="str">
        <f>+_xlfn.CONCAT(Tabla1[[#This Row],[Fecha de compra]],Tabla1[[#This Row],[Ticker]],Tabla1[[#This Row],[Q]])</f>
        <v>45932EWZS4422</v>
      </c>
      <c r="J22" s="7">
        <v>4422</v>
      </c>
      <c r="K22" s="5">
        <v>13.52</v>
      </c>
      <c r="L22" s="2">
        <f>+Tabla1[[#This Row],[Q]]*Tabla1[[#This Row],[P]]</f>
        <v>59785.439999999995</v>
      </c>
      <c r="M22" s="23">
        <f>+VLOOKUP(Tabla1[[#This Row],[Identificador]],'P&amp;L Total'!A:L,12,FALSE)</f>
        <v>2.247468801506957E-2</v>
      </c>
      <c r="N22" s="4">
        <f>WORKDAY(Tabla1[[#This Row],[Fecha de compra]],0)</f>
        <v>45932</v>
      </c>
      <c r="O22" s="1" t="s">
        <v>195</v>
      </c>
    </row>
    <row r="23" spans="1:15">
      <c r="A23" s="4" t="str">
        <f>+IF(COUNTIF(Tabla2[Cod_ope],Tabla1[[#This Row],[Cod_Ope]])&gt;0,"out","stock")</f>
        <v>out</v>
      </c>
      <c r="B23" s="4">
        <v>45937</v>
      </c>
      <c r="C23" s="1">
        <v>39592</v>
      </c>
      <c r="D23" s="1" t="s">
        <v>78</v>
      </c>
      <c r="E23" s="1" t="s">
        <v>79</v>
      </c>
      <c r="F23" s="1" t="str" cm="1">
        <f t="array" ref="F23">_xll.BDP(G23,"DS004")</f>
        <v>USD</v>
      </c>
      <c r="G23" s="1" t="str">
        <f>D23&amp; " US Equity"</f>
        <v>EWZ US Equity</v>
      </c>
      <c r="H23" s="1" t="str">
        <f>+_xll.BDP($G23,"Name")</f>
        <v>ISHARES MSCI BRAZIL ETF</v>
      </c>
      <c r="I23" s="1" t="str">
        <f>+_xlfn.CONCAT(Tabla1[[#This Row],[Fecha de compra]],Tabla1[[#This Row],[Ticker]],Tabla1[[#This Row],[Q]])</f>
        <v>45937EWZ1008</v>
      </c>
      <c r="J23" s="7">
        <v>1008</v>
      </c>
      <c r="K23" s="5">
        <v>29.69</v>
      </c>
      <c r="L23" s="2">
        <f>+Tabla1[[#This Row],[Q]]*Tabla1[[#This Row],[P]]</f>
        <v>29927.52</v>
      </c>
      <c r="M23" s="23">
        <f>+VLOOKUP(Tabla1[[#This Row],[Identificador]],'P&amp;L Total'!A:L,12,FALSE)</f>
        <v>3.1229701028196336E-2</v>
      </c>
      <c r="N23" s="4">
        <f>WORKDAY(Tabla1[[#This Row],[Fecha de compra]],0)</f>
        <v>45937</v>
      </c>
      <c r="O23" s="1" t="s">
        <v>195</v>
      </c>
    </row>
    <row r="24" spans="1:15">
      <c r="A24" s="4" t="str">
        <f>+IF(COUNTIF(Tabla2[Cod_ope],Tabla1[[#This Row],[Cod_Ope]])&gt;0,"out","stock")</f>
        <v>out</v>
      </c>
      <c r="B24" s="4">
        <v>45937</v>
      </c>
      <c r="C24" s="1">
        <v>39592</v>
      </c>
      <c r="D24" s="1" t="s">
        <v>80</v>
      </c>
      <c r="E24" s="1" t="s">
        <v>81</v>
      </c>
      <c r="F24" s="1" t="str" cm="1">
        <f t="array" ref="F24">_xll.BDP(G24,"DS004")</f>
        <v>USD</v>
      </c>
      <c r="G24" s="1" t="str">
        <f>D24&amp; " US Equity"</f>
        <v>EWZS US Equity</v>
      </c>
      <c r="H24" s="1" t="str">
        <f>+_xll.BDP($G24,"Name")</f>
        <v>ISHARES MSCI BRAZIL SMALL-CA</v>
      </c>
      <c r="I24" s="1" t="str">
        <f>+_xlfn.CONCAT(Tabla1[[#This Row],[Fecha de compra]],Tabla1[[#This Row],[Ticker]],Tabla1[[#This Row],[Q]])</f>
        <v>45937EWZS2266</v>
      </c>
      <c r="J24" s="7">
        <v>2266</v>
      </c>
      <c r="K24" s="5">
        <v>13.2</v>
      </c>
      <c r="L24" s="2">
        <f>+Tabla1[[#This Row],[Q]]*Tabla1[[#This Row],[P]]</f>
        <v>29911.199999999997</v>
      </c>
      <c r="M24" s="23">
        <f>+VLOOKUP(Tabla1[[#This Row],[Identificador]],'P&amp;L Total'!A:L,12,FALSE)</f>
        <v>2.247468801506957E-2</v>
      </c>
      <c r="N24" s="4">
        <f>WORKDAY(Tabla1[[#This Row],[Fecha de compra]],0)</f>
        <v>45937</v>
      </c>
      <c r="O24" s="1" t="s">
        <v>195</v>
      </c>
    </row>
    <row r="25" spans="1:15">
      <c r="A25" s="4" t="str">
        <f>+IF(COUNTIF(Tabla2[Cod_ope],Tabla1[[#This Row],[Cod_Ope]])&gt;0,"out","stock")</f>
        <v>stock</v>
      </c>
      <c r="B25" s="4">
        <v>45939</v>
      </c>
      <c r="C25" s="1">
        <v>39592</v>
      </c>
      <c r="D25" s="1" t="s">
        <v>82</v>
      </c>
      <c r="E25" s="1" t="s">
        <v>83</v>
      </c>
      <c r="F25" s="1" t="str" cm="1">
        <f t="array" ref="F25">_xll.BDP(G25,"DS004")</f>
        <v>PEN</v>
      </c>
      <c r="G25" s="1" t="str">
        <f>D25&amp; " pe Equity"</f>
        <v>FERREYC1 pe Equity</v>
      </c>
      <c r="H25" s="1" t="str">
        <f>+_xll.BDP($G25,"Name")</f>
        <v>FERREYCORP SAA</v>
      </c>
      <c r="I25" s="1" t="str">
        <f>+_xlfn.CONCAT(Tabla1[[#This Row],[Fecha de compra]],Tabla1[[#This Row],[Ticker]],Tabla1[[#This Row],[Q]])</f>
        <v>45939FERREYC123520</v>
      </c>
      <c r="J25" s="7">
        <v>23520</v>
      </c>
      <c r="K25" s="1">
        <v>3.31</v>
      </c>
      <c r="L25" s="2">
        <f>+Tabla1[[#This Row],[Q]]*Tabla1[[#This Row],[P]]</f>
        <v>77851.199999999997</v>
      </c>
      <c r="M25" s="23">
        <f>+VLOOKUP(Tabla1[[#This Row],[Identificador]],'P&amp;L Total'!A:L,12,FALSE)</f>
        <v>0.26768554140952877</v>
      </c>
      <c r="N25" s="4">
        <f>WORKDAY(Tabla1[[#This Row],[Fecha de compra]],0)</f>
        <v>45939</v>
      </c>
      <c r="O25" s="1" t="s">
        <v>195</v>
      </c>
    </row>
    <row r="26" spans="1:15">
      <c r="A26" s="4" t="str">
        <f>+IF(COUNTIF(Tabla2[Cod_ope],Tabla1[[#This Row],[Cod_Ope]])&gt;0,"out","stock")</f>
        <v>stock</v>
      </c>
      <c r="B26" s="4">
        <v>45939</v>
      </c>
      <c r="C26" s="1">
        <v>39592</v>
      </c>
      <c r="D26" s="1" t="s">
        <v>82</v>
      </c>
      <c r="E26" s="1" t="s">
        <v>83</v>
      </c>
      <c r="F26" s="1" t="str" cm="1">
        <f t="array" ref="F26">_xll.BDP(G26,"DS004")</f>
        <v>PEN</v>
      </c>
      <c r="G26" s="1" t="str">
        <f>D26&amp; " pe Equity"</f>
        <v>FERREYC1 pe Equity</v>
      </c>
      <c r="H26" s="1" t="str">
        <f>+_xll.BDP($G26,"Name")</f>
        <v>FERREYCORP SAA</v>
      </c>
      <c r="I26" s="1" t="str">
        <f>+_xlfn.CONCAT(Tabla1[[#This Row],[Fecha de compra]],Tabla1[[#This Row],[Ticker]],Tabla1[[#This Row],[Q]])</f>
        <v>45939FERREYC120000</v>
      </c>
      <c r="J26" s="7">
        <v>20000</v>
      </c>
      <c r="K26" s="1">
        <v>3.31</v>
      </c>
      <c r="L26" s="2">
        <f>+Tabla1[[#This Row],[Q]]*Tabla1[[#This Row],[P]]</f>
        <v>66200</v>
      </c>
      <c r="M26" s="23">
        <f>+VLOOKUP(Tabla1[[#This Row],[Identificador]],'P&amp;L Total'!A:L,12,FALSE)</f>
        <v>0.26768554140952877</v>
      </c>
      <c r="N26" s="4">
        <f>WORKDAY(Tabla1[[#This Row],[Fecha de compra]],0)</f>
        <v>45939</v>
      </c>
      <c r="O26" s="1" t="s">
        <v>195</v>
      </c>
    </row>
    <row r="27" spans="1:15">
      <c r="A27" s="4" t="str">
        <f>+IF(COUNTIF(Tabla2[Cod_ope],Tabla1[[#This Row],[Cod_Ope]])&gt;0,"out","stock")</f>
        <v>out</v>
      </c>
      <c r="B27" s="4">
        <v>45939</v>
      </c>
      <c r="C27" s="1">
        <v>39592</v>
      </c>
      <c r="D27" s="1" t="s">
        <v>60</v>
      </c>
      <c r="E27" s="1" t="s">
        <v>61</v>
      </c>
      <c r="F27" s="1" t="str" cm="1">
        <f t="array" ref="F27">_xll.BDP(G27,"DS004")</f>
        <v>USD</v>
      </c>
      <c r="G27" s="1" t="str">
        <f>D27&amp; " US Equity"</f>
        <v>XPEV US Equity</v>
      </c>
      <c r="H27" s="1" t="str">
        <f>+_xll.BDP($G27,"Name")</f>
        <v>XPENG INC - ADR</v>
      </c>
      <c r="I27" s="1" t="str">
        <f>+_xlfn.CONCAT(Tabla1[[#This Row],[Fecha de compra]],Tabla1[[#This Row],[Ticker]],Tabla1[[#This Row],[Q]])</f>
        <v>45939XPEV1097</v>
      </c>
      <c r="J27" s="7">
        <v>1097</v>
      </c>
      <c r="K27" s="5">
        <v>22.736726000000001</v>
      </c>
      <c r="L27" s="2">
        <f>+Tabla1[[#This Row],[Q]]*Tabla1[[#This Row],[P]]</f>
        <v>24942.188421999999</v>
      </c>
      <c r="M27" s="23">
        <f>+VLOOKUP(Tabla1[[#This Row],[Identificador]],'P&amp;L Total'!A:L,12,FALSE)</f>
        <v>0.26335696166461892</v>
      </c>
      <c r="N27" s="4">
        <f>WORKDAY(Tabla1[[#This Row],[Fecha de compra]],0)</f>
        <v>45939</v>
      </c>
      <c r="O27" s="1" t="s">
        <v>195</v>
      </c>
    </row>
    <row r="28" spans="1:15">
      <c r="A28" s="4" t="str">
        <f>+IF(COUNTIF(Tabla2[Cod_ope],Tabla1[[#This Row],[Cod_Ope]])&gt;0,"out","stock")</f>
        <v>stock</v>
      </c>
      <c r="B28" s="4">
        <v>45939</v>
      </c>
      <c r="C28" s="1">
        <v>39592</v>
      </c>
      <c r="D28" s="1" t="s">
        <v>74</v>
      </c>
      <c r="E28" s="1" t="s">
        <v>75</v>
      </c>
      <c r="F28" s="1" t="str" cm="1">
        <f t="array" ref="F28">_xll.BDP(G28,"DS004")</f>
        <v>USD</v>
      </c>
      <c r="G28" s="1" t="str">
        <f>D28&amp; " US Equity"</f>
        <v>EUFN US Equity</v>
      </c>
      <c r="H28" s="1" t="str">
        <f>+_xll.BDP($G28,"Name")</f>
        <v>ISHARES MSCI EUROPE FINANCIA</v>
      </c>
      <c r="I28" s="1" t="str">
        <f>+_xlfn.CONCAT(Tabla1[[#This Row],[Fecha de compra]],Tabla1[[#This Row],[Ticker]],Tabla1[[#This Row],[Q]])</f>
        <v>45939EUFN2073</v>
      </c>
      <c r="J28" s="7">
        <v>2073</v>
      </c>
      <c r="K28" s="5">
        <v>33.709000000000003</v>
      </c>
      <c r="L28" s="2">
        <f>+Tabla1[[#This Row],[Q]]*Tabla1[[#This Row],[P]]</f>
        <v>69878.757000000012</v>
      </c>
      <c r="M28" s="23">
        <f>+VLOOKUP(Tabla1[[#This Row],[Identificador]],'P&amp;L Total'!A:L,12,FALSE)</f>
        <v>5.8038722834815204E-2</v>
      </c>
      <c r="N28" s="4">
        <f>WORKDAY(Tabla1[[#This Row],[Fecha de compra]],0)</f>
        <v>45939</v>
      </c>
      <c r="O28" s="1" t="s">
        <v>195</v>
      </c>
    </row>
    <row r="29" spans="1:15">
      <c r="A29" s="4" t="str">
        <f>+IF(COUNTIF(Tabla2[Cod_ope],Tabla1[[#This Row],[Cod_Ope]])&gt;0,"out","stock")</f>
        <v>stock</v>
      </c>
      <c r="B29" s="4">
        <v>45939</v>
      </c>
      <c r="C29" s="1">
        <v>39592</v>
      </c>
      <c r="D29" s="1" t="s">
        <v>76</v>
      </c>
      <c r="E29" s="1" t="s">
        <v>77</v>
      </c>
      <c r="F29" s="1" t="str" cm="1">
        <f t="array" ref="F29">_xll.BDP(G29,"DS004")</f>
        <v>USD</v>
      </c>
      <c r="G29" s="1" t="str">
        <f>D29&amp; " US Equity"</f>
        <v>EZU US Equity</v>
      </c>
      <c r="H29" s="1" t="str">
        <f>+_xll.BDP($G29,"Name")</f>
        <v>ISHARES MSCI EUROZONE ETF</v>
      </c>
      <c r="I29" s="1" t="str">
        <f>+_xlfn.CONCAT(Tabla1[[#This Row],[Fecha de compra]],Tabla1[[#This Row],[Ticker]],Tabla1[[#This Row],[Q]])</f>
        <v>45939EZU807</v>
      </c>
      <c r="J29" s="7">
        <v>807</v>
      </c>
      <c r="K29" s="5">
        <v>61.85</v>
      </c>
      <c r="L29" s="2">
        <f>+Tabla1[[#This Row],[Q]]*Tabla1[[#This Row],[P]]</f>
        <v>49912.950000000004</v>
      </c>
      <c r="M29" s="23">
        <f>+VLOOKUP(Tabla1[[#This Row],[Identificador]],'P&amp;L Total'!A:L,12,FALSE)</f>
        <v>3.22703309927235E-2</v>
      </c>
      <c r="N29" s="4">
        <f>WORKDAY(Tabla1[[#This Row],[Fecha de compra]],0)</f>
        <v>45939</v>
      </c>
      <c r="O29" s="1" t="s">
        <v>195</v>
      </c>
    </row>
    <row r="30" spans="1:15">
      <c r="A30" s="4" t="str">
        <f>+IF(COUNTIF(Tabla2[Cod_ope],Tabla1[[#This Row],[Cod_Ope]])&gt;0,"out","stock")</f>
        <v>stock</v>
      </c>
      <c r="B30" s="4">
        <v>45939</v>
      </c>
      <c r="C30" s="1">
        <v>39592</v>
      </c>
      <c r="D30" s="1" t="s">
        <v>84</v>
      </c>
      <c r="E30" s="1" t="s">
        <v>85</v>
      </c>
      <c r="F30" s="1" t="str" cm="1">
        <f t="array" ref="F30">_xll.BDP(G30,"DS004")</f>
        <v>USD</v>
      </c>
      <c r="G30" s="1" t="str">
        <f>D30&amp; " US Equity"</f>
        <v>BIDU US Equity</v>
      </c>
      <c r="H30" s="1" t="str">
        <f>+_xll.BDP($G30,"Name")</f>
        <v>BAIDU INC - SPON ADR</v>
      </c>
      <c r="I30" s="1" t="str">
        <f>+_xlfn.CONCAT(Tabla1[[#This Row],[Fecha de compra]],Tabla1[[#This Row],[Ticker]],Tabla1[[#This Row],[Q]])</f>
        <v>45939BIDU378</v>
      </c>
      <c r="J30" s="7">
        <v>378</v>
      </c>
      <c r="K30" s="5">
        <v>132.1</v>
      </c>
      <c r="L30" s="2">
        <f>+Tabla1[[#This Row],[Q]]*Tabla1[[#This Row],[P]]</f>
        <v>49933.799999999996</v>
      </c>
      <c r="M30" s="23">
        <f>+VLOOKUP(Tabla1[[#This Row],[Identificador]],'P&amp;L Total'!A:L,12,FALSE)</f>
        <v>-2.9078851194650817E-3</v>
      </c>
      <c r="N30" s="4">
        <f>WORKDAY(Tabla1[[#This Row],[Fecha de compra]],0)</f>
        <v>45939</v>
      </c>
      <c r="O30" s="1" t="s">
        <v>195</v>
      </c>
    </row>
    <row r="31" spans="1:15">
      <c r="A31" s="4" t="str">
        <f>+IF(COUNTIF(Tabla2[Cod_ope],Tabla1[[#This Row],[Cod_Ope]])&gt;0,"out","stock")</f>
        <v>stock</v>
      </c>
      <c r="B31" s="4">
        <v>45939</v>
      </c>
      <c r="C31" s="1">
        <v>39592</v>
      </c>
      <c r="D31" s="1" t="s">
        <v>72</v>
      </c>
      <c r="E31" s="1" t="s">
        <v>73</v>
      </c>
      <c r="F31" s="1" t="str" cm="1">
        <f t="array" ref="F31">_xll.BDP(G31,"DS004")</f>
        <v>USD</v>
      </c>
      <c r="G31" s="1" t="str">
        <f>D31&amp; " US Equity"</f>
        <v>NIO US Equity</v>
      </c>
      <c r="H31" s="1" t="str">
        <f>+_xll.BDP($G31,"Name")</f>
        <v>NIO INC - ADR</v>
      </c>
      <c r="I31" s="1" t="str">
        <f>+_xlfn.CONCAT(Tabla1[[#This Row],[Fecha de compra]],Tabla1[[#This Row],[Ticker]],Tabla1[[#This Row],[Q]])</f>
        <v>45939NIO3328</v>
      </c>
      <c r="J31" s="7">
        <v>3328</v>
      </c>
      <c r="K31" s="5">
        <v>7.4965000000000002</v>
      </c>
      <c r="L31" s="2">
        <f>+Tabla1[[#This Row],[Q]]*Tabla1[[#This Row],[P]]</f>
        <v>24948.351999999999</v>
      </c>
      <c r="M31" s="23">
        <f>+VLOOKUP(Tabla1[[#This Row],[Identificador]],'P&amp;L Total'!A:L,12,FALSE)</f>
        <v>1.6996563488661616E-3</v>
      </c>
      <c r="N31" s="4">
        <f>WORKDAY(Tabla1[[#This Row],[Fecha de compra]],1)</f>
        <v>45940</v>
      </c>
      <c r="O31" s="1" t="s">
        <v>195</v>
      </c>
    </row>
    <row r="32" spans="1:15">
      <c r="A32" s="4" t="str">
        <f>+IF(COUNTIF(Tabla2[Cod_ope],Tabla1[[#This Row],[Cod_Ope]])&gt;0,"out","stock")</f>
        <v>stock</v>
      </c>
      <c r="B32" s="4">
        <v>45939</v>
      </c>
      <c r="C32" s="1">
        <v>39592</v>
      </c>
      <c r="D32" s="1" t="s">
        <v>86</v>
      </c>
      <c r="E32" s="1" t="s">
        <v>87</v>
      </c>
      <c r="F32" s="1" t="str" cm="1">
        <f t="array" ref="F32">_xll.BDP(G32,"DS004")</f>
        <v>USD</v>
      </c>
      <c r="G32" s="1" t="str">
        <f>D32&amp; " US Equity"</f>
        <v>TCHI US Equity</v>
      </c>
      <c r="H32" s="1" t="str">
        <f>+_xll.BDP($G32,"Name")</f>
        <v>ISHARES MSCI CHINA TECH</v>
      </c>
      <c r="I32" s="1" t="str">
        <f>+_xlfn.CONCAT(Tabla1[[#This Row],[Fecha de compra]],Tabla1[[#This Row],[Ticker]],Tabla1[[#This Row],[Q]])</f>
        <v>45939TCHI2252</v>
      </c>
      <c r="J32" s="7">
        <v>2252</v>
      </c>
      <c r="K32" s="5">
        <v>26.6</v>
      </c>
      <c r="L32" s="2">
        <f>+Tabla1[[#This Row],[Q]]*Tabla1[[#This Row],[P]]</f>
        <v>59903.200000000004</v>
      </c>
      <c r="M32" s="23">
        <f>+VLOOKUP(Tabla1[[#This Row],[Identificador]],'P&amp;L Total'!A:L,12,FALSE)</f>
        <v>-5.9251607862615144E-2</v>
      </c>
      <c r="N32" s="4">
        <f>WORKDAY(Tabla1[[#This Row],[Fecha de compra]],0)</f>
        <v>45939</v>
      </c>
      <c r="O32" s="1" t="s">
        <v>195</v>
      </c>
    </row>
    <row r="33" spans="1:15">
      <c r="A33" s="4" t="str">
        <f>+IF(COUNTIF(Tabla2[Cod_ope],Tabla1[[#This Row],[Cod_Ope]])&gt;0,"out","stock")</f>
        <v>stock</v>
      </c>
      <c r="B33" s="4">
        <v>45939</v>
      </c>
      <c r="C33" s="1">
        <v>39592</v>
      </c>
      <c r="D33" s="1" t="s">
        <v>88</v>
      </c>
      <c r="E33" s="1" t="s">
        <v>89</v>
      </c>
      <c r="F33" s="1" t="str" cm="1">
        <f t="array" ref="F33">_xll.BDP(G33,"DS004")</f>
        <v>USD</v>
      </c>
      <c r="G33" s="1" t="str">
        <f>D33&amp; " US Equity"</f>
        <v>CQQQ US Equity</v>
      </c>
      <c r="H33" s="1" t="str">
        <f>+_xll.BDP($G33,"Name")</f>
        <v>INVESCO CHINA TECHNOLOGY ETF</v>
      </c>
      <c r="I33" s="1" t="str">
        <f>+_xlfn.CONCAT(Tabla1[[#This Row],[Fecha de compra]],Tabla1[[#This Row],[Ticker]],Tabla1[[#This Row],[Q]])</f>
        <v>45939CQQQ679</v>
      </c>
      <c r="J33" s="7">
        <v>679</v>
      </c>
      <c r="K33" s="5">
        <v>58.74</v>
      </c>
      <c r="L33" s="2">
        <f>+Tabla1[[#This Row],[Q]]*Tabla1[[#This Row],[P]]</f>
        <v>39884.46</v>
      </c>
      <c r="M33" s="23">
        <f>+VLOOKUP(Tabla1[[#This Row],[Identificador]],'P&amp;L Total'!A:L,12,FALSE)</f>
        <v>-6.8768839729956135E-2</v>
      </c>
      <c r="N33" s="4">
        <f>WORKDAY(Tabla1[[#This Row],[Fecha de compra]],0)</f>
        <v>45939</v>
      </c>
      <c r="O33" s="1" t="s">
        <v>195</v>
      </c>
    </row>
    <row r="34" spans="1:15">
      <c r="A34" s="4" t="str">
        <f>+IF(COUNTIF(Tabla2[Cod_ope],Tabla1[[#This Row],[Cod_Ope]])&gt;0,"out","stock")</f>
        <v>stock</v>
      </c>
      <c r="B34" s="4">
        <v>45940</v>
      </c>
      <c r="C34" s="1">
        <v>39592</v>
      </c>
      <c r="D34" s="1" t="s">
        <v>90</v>
      </c>
      <c r="E34" s="1" t="s">
        <v>91</v>
      </c>
      <c r="F34" s="1" t="str" cm="1">
        <f t="array" ref="F34">_xll.BDP(G34,"DS004")</f>
        <v>PEN</v>
      </c>
      <c r="G34" s="1" t="str">
        <f>D34&amp; " pe Equity"</f>
        <v>MINSURI1 pe Equity</v>
      </c>
      <c r="H34" s="1" t="str">
        <f>+_xll.BDP($G34,"Name")</f>
        <v>MINSUR SA-INVERSIONES</v>
      </c>
      <c r="I34" s="1" t="str">
        <f>+_xlfn.CONCAT(Tabla1[[#This Row],[Fecha de compra]],Tabla1[[#This Row],[Ticker]],Tabla1[[#This Row],[Q]])</f>
        <v>45940MINSURI115450</v>
      </c>
      <c r="J34" s="7">
        <v>15450</v>
      </c>
      <c r="K34" s="1">
        <v>4.3</v>
      </c>
      <c r="L34" s="2">
        <f>+Tabla1[[#This Row],[Q]]*Tabla1[[#This Row],[P]]</f>
        <v>66435</v>
      </c>
      <c r="M34" s="23">
        <f>+VLOOKUP(Tabla1[[#This Row],[Identificador]],'P&amp;L Total'!A:L,12,FALSE)</f>
        <v>0.30273196905633853</v>
      </c>
      <c r="N34" s="4">
        <f>WORKDAY(Tabla1[[#This Row],[Fecha de compra]],0)</f>
        <v>45940</v>
      </c>
      <c r="O34" s="1" t="s">
        <v>195</v>
      </c>
    </row>
    <row r="35" spans="1:15">
      <c r="A35" s="4" t="str">
        <f>+IF(COUNTIF(Tabla2[Cod_ope],Tabla1[[#This Row],[Cod_Ope]])&gt;0,"out","stock")</f>
        <v>stock</v>
      </c>
      <c r="B35" s="4">
        <v>45943</v>
      </c>
      <c r="C35" s="1">
        <v>39592</v>
      </c>
      <c r="D35" s="1" t="s">
        <v>82</v>
      </c>
      <c r="E35" s="1" t="s">
        <v>83</v>
      </c>
      <c r="F35" s="1" t="str" cm="1">
        <f t="array" ref="F35">_xll.BDP(G35,"DS004")</f>
        <v>PEN</v>
      </c>
      <c r="G35" s="1" t="str">
        <f>D35&amp; " pe Equity"</f>
        <v>FERREYC1 pe Equity</v>
      </c>
      <c r="H35" s="1" t="str">
        <f>+_xll.BDP($G35,"Name")</f>
        <v>FERREYCORP SAA</v>
      </c>
      <c r="I35" s="1" t="str">
        <f>+_xlfn.CONCAT(Tabla1[[#This Row],[Fecha de compra]],Tabla1[[#This Row],[Ticker]],Tabla1[[#This Row],[Q]])</f>
        <v>45943FERREYC1202</v>
      </c>
      <c r="J35" s="7">
        <v>202</v>
      </c>
      <c r="K35" s="1">
        <v>3.3</v>
      </c>
      <c r="L35" s="2">
        <f>+Tabla1[[#This Row],[Q]]*Tabla1[[#This Row],[P]]</f>
        <v>666.59999999999991</v>
      </c>
      <c r="M35" s="23">
        <f>+VLOOKUP(Tabla1[[#This Row],[Identificador]],'P&amp;L Total'!A:L,12,FALSE)</f>
        <v>0.26768554140952877</v>
      </c>
      <c r="N35" s="4">
        <f>WORKDAY(Tabla1[[#This Row],[Fecha de compra]],0)</f>
        <v>45943</v>
      </c>
      <c r="O35" s="1" t="s">
        <v>195</v>
      </c>
    </row>
    <row r="36" spans="1:15">
      <c r="A36" s="4" t="str">
        <f>+IF(COUNTIF(Tabla2[Cod_ope],Tabla1[[#This Row],[Cod_Ope]])&gt;0,"out","stock")</f>
        <v>stock</v>
      </c>
      <c r="B36" s="4">
        <v>45944</v>
      </c>
      <c r="C36" s="1">
        <v>39592</v>
      </c>
      <c r="D36" s="1" t="s">
        <v>92</v>
      </c>
      <c r="E36" s="1" t="s">
        <v>93</v>
      </c>
      <c r="F36" s="1" t="str" cm="1">
        <f t="array" ref="F36">_xll.BDP(G36,"DS004")</f>
        <v>PEN</v>
      </c>
      <c r="G36" s="1" t="str">
        <f>D36&amp; " PE Equity"</f>
        <v>SIDERC1 PE Equity</v>
      </c>
      <c r="H36" s="1" t="str">
        <f>+_xll.BDP($G36,"Name")</f>
        <v>EMPRESA SIDERURGICA PERU SAA</v>
      </c>
      <c r="I36" s="1" t="str">
        <f>+_xlfn.CONCAT(Tabla1[[#This Row],[Fecha de compra]],Tabla1[[#This Row],[Ticker]],Tabla1[[#This Row],[Q]])</f>
        <v>45944SIDERC130000</v>
      </c>
      <c r="J36" s="7">
        <v>30000</v>
      </c>
      <c r="K36" s="1">
        <v>1.78</v>
      </c>
      <c r="L36" s="2">
        <f>+Tabla1[[#This Row],[Q]]*Tabla1[[#This Row],[P]]</f>
        <v>53400</v>
      </c>
      <c r="M36" s="23">
        <f>+VLOOKUP(Tabla1[[#This Row],[Identificador]],'P&amp;L Total'!A:L,12,FALSE)</f>
        <v>0.34374632782420567</v>
      </c>
      <c r="N36" s="4">
        <f>WORKDAY(Tabla1[[#This Row],[Fecha de compra]],0)</f>
        <v>45944</v>
      </c>
      <c r="O36" s="1" t="s">
        <v>195</v>
      </c>
    </row>
    <row r="37" spans="1:15">
      <c r="A37" s="4" t="str">
        <f>+IF(COUNTIF(Tabla2[Cod_ope],Tabla1[[#This Row],[Cod_Ope]])&gt;0,"out","stock")</f>
        <v>stock</v>
      </c>
      <c r="B37" s="4">
        <v>45944</v>
      </c>
      <c r="C37" s="1">
        <v>39592</v>
      </c>
      <c r="D37" s="1" t="s">
        <v>84</v>
      </c>
      <c r="E37" s="1" t="s">
        <v>85</v>
      </c>
      <c r="F37" s="1" t="str" cm="1">
        <f t="array" ref="F37">_xll.BDP(G37,"DS004")</f>
        <v>USD</v>
      </c>
      <c r="G37" s="1" t="str">
        <f>D37&amp; " US Equity"</f>
        <v>BIDU US Equity</v>
      </c>
      <c r="H37" s="1" t="str">
        <f>+_xll.BDP($G37,"Name")</f>
        <v>BAIDU INC - SPON ADR</v>
      </c>
      <c r="I37" s="1" t="str">
        <f>+_xlfn.CONCAT(Tabla1[[#This Row],[Fecha de compra]],Tabla1[[#This Row],[Ticker]],Tabla1[[#This Row],[Q]])</f>
        <v>45944BIDU250</v>
      </c>
      <c r="J37" s="7">
        <v>250</v>
      </c>
      <c r="K37" s="5">
        <v>119.69</v>
      </c>
      <c r="L37" s="2">
        <f>+Tabla1[[#This Row],[Q]]*Tabla1[[#This Row],[P]]</f>
        <v>29922.5</v>
      </c>
      <c r="M37" s="23">
        <f>+VLOOKUP(Tabla1[[#This Row],[Identificador]],'P&amp;L Total'!A:L,12,FALSE)</f>
        <v>-2.9078851194650817E-3</v>
      </c>
      <c r="N37" s="4">
        <f>WORKDAY(Tabla1[[#This Row],[Fecha de compra]],0)</f>
        <v>45944</v>
      </c>
      <c r="O37" s="1" t="s">
        <v>195</v>
      </c>
    </row>
    <row r="38" spans="1:15">
      <c r="A38" s="4" t="str">
        <f>+IF(COUNTIF(Tabla2[Cod_ope],Tabla1[[#This Row],[Cod_Ope]])&gt;0,"out","stock")</f>
        <v>stock</v>
      </c>
      <c r="B38" s="4">
        <v>45945</v>
      </c>
      <c r="C38" s="1">
        <v>39592</v>
      </c>
      <c r="D38" s="1" t="s">
        <v>92</v>
      </c>
      <c r="E38" s="1" t="s">
        <v>93</v>
      </c>
      <c r="F38" s="1" t="str" cm="1">
        <f t="array" ref="F38">_xll.BDP(G38,"DS004")</f>
        <v>PEN</v>
      </c>
      <c r="G38" s="1" t="str">
        <f>D38&amp; " PE Equity"</f>
        <v>SIDERC1 PE Equity</v>
      </c>
      <c r="H38" s="1" t="str">
        <f>+_xll.BDP($G38,"Name")</f>
        <v>EMPRESA SIDERURGICA PERU SAA</v>
      </c>
      <c r="I38" s="1" t="str">
        <f>+_xlfn.CONCAT(Tabla1[[#This Row],[Fecha de compra]],Tabla1[[#This Row],[Ticker]],Tabla1[[#This Row],[Q]])</f>
        <v>45945SIDERC115000</v>
      </c>
      <c r="J38" s="7">
        <v>15000</v>
      </c>
      <c r="K38" s="1">
        <v>1.76</v>
      </c>
      <c r="L38" s="2">
        <f>+Tabla1[[#This Row],[Q]]*Tabla1[[#This Row],[P]]</f>
        <v>26400</v>
      </c>
      <c r="M38" s="23">
        <f>+VLOOKUP(Tabla1[[#This Row],[Identificador]],'P&amp;L Total'!A:L,12,FALSE)</f>
        <v>0.34374632782420567</v>
      </c>
      <c r="N38" s="4">
        <f>WORKDAY(Tabla1[[#This Row],[Fecha de compra]],0)</f>
        <v>45945</v>
      </c>
      <c r="O38" s="1" t="s">
        <v>195</v>
      </c>
    </row>
    <row r="39" spans="1:15">
      <c r="A39" s="4" t="str">
        <f>+IF(COUNTIF(Tabla2[Cod_ope],Tabla1[[#This Row],[Cod_Ope]])&gt;0,"out","stock")</f>
        <v>stock</v>
      </c>
      <c r="B39" s="4">
        <v>45945</v>
      </c>
      <c r="C39" s="1">
        <v>39592</v>
      </c>
      <c r="D39" s="1" t="s">
        <v>92</v>
      </c>
      <c r="E39" s="1" t="s">
        <v>93</v>
      </c>
      <c r="F39" s="1" t="str" cm="1">
        <f t="array" ref="F39">_xll.BDP(G39,"DS004")</f>
        <v>PEN</v>
      </c>
      <c r="G39" s="1" t="str">
        <f>D39&amp; " PE Equity"</f>
        <v>SIDERC1 PE Equity</v>
      </c>
      <c r="H39" s="1" t="str">
        <f>+_xll.BDP($G39,"Name")</f>
        <v>EMPRESA SIDERURGICA PERU SAA</v>
      </c>
      <c r="I39" s="1" t="str">
        <f>+_xlfn.CONCAT(Tabla1[[#This Row],[Fecha de compra]],Tabla1[[#This Row],[Ticker]],Tabla1[[#This Row],[Q]])</f>
        <v>45945SIDERC114649</v>
      </c>
      <c r="J39" s="7">
        <v>14649</v>
      </c>
      <c r="K39" s="1">
        <v>1.76</v>
      </c>
      <c r="L39" s="2">
        <f>+Tabla1[[#This Row],[Q]]*Tabla1[[#This Row],[P]]</f>
        <v>25782.240000000002</v>
      </c>
      <c r="M39" s="23">
        <f>+VLOOKUP(Tabla1[[#This Row],[Identificador]],'P&amp;L Total'!A:L,12,FALSE)</f>
        <v>0.34374632782420567</v>
      </c>
      <c r="N39" s="4">
        <f>WORKDAY(Tabla1[[#This Row],[Fecha de compra]],0)</f>
        <v>45945</v>
      </c>
      <c r="O39" s="1" t="s">
        <v>195</v>
      </c>
    </row>
    <row r="40" spans="1:15">
      <c r="A40" s="4" t="str">
        <f>+IF(COUNTIF(Tabla2[Cod_ope],Tabla1[[#This Row],[Cod_Ope]])&gt;0,"out","stock")</f>
        <v>stock</v>
      </c>
      <c r="B40" s="4">
        <v>45945</v>
      </c>
      <c r="C40" s="1">
        <v>39592</v>
      </c>
      <c r="D40" s="1" t="s">
        <v>82</v>
      </c>
      <c r="E40" s="1" t="s">
        <v>83</v>
      </c>
      <c r="F40" s="1" t="str" cm="1">
        <f t="array" ref="F40">_xll.BDP(G40,"DS004")</f>
        <v>PEN</v>
      </c>
      <c r="G40" s="1" t="str">
        <f>D40&amp; " pe Equity"</f>
        <v>FERREYC1 pe Equity</v>
      </c>
      <c r="H40" s="1" t="str">
        <f>+_xll.BDP($G40,"Name")</f>
        <v>FERREYCORP SAA</v>
      </c>
      <c r="I40" s="1" t="str">
        <f>+_xlfn.CONCAT(Tabla1[[#This Row],[Fecha de compra]],Tabla1[[#This Row],[Ticker]],Tabla1[[#This Row],[Q]])</f>
        <v>45945FERREYC119770</v>
      </c>
      <c r="J40" s="7">
        <f>150+19083+537</f>
        <v>19770</v>
      </c>
      <c r="K40" s="1">
        <v>3.35</v>
      </c>
      <c r="L40" s="2">
        <f>+Tabla1[[#This Row],[Q]]*Tabla1[[#This Row],[P]]</f>
        <v>66229.5</v>
      </c>
      <c r="M40" s="23">
        <f>+VLOOKUP(Tabla1[[#This Row],[Identificador]],'P&amp;L Total'!A:L,12,FALSE)</f>
        <v>0.26768554140952877</v>
      </c>
      <c r="N40" s="4">
        <f>WORKDAY(Tabla1[[#This Row],[Fecha de compra]],0)</f>
        <v>45945</v>
      </c>
      <c r="O40" s="1" t="s">
        <v>195</v>
      </c>
    </row>
    <row r="41" spans="1:15">
      <c r="A41" s="4" t="str">
        <f>+IF(COUNTIF(Tabla2[Cod_ope],Tabla1[[#This Row],[Cod_Ope]])&gt;0,"out","stock")</f>
        <v>stock</v>
      </c>
      <c r="B41" s="4">
        <v>45951</v>
      </c>
      <c r="C41" s="1">
        <v>39592</v>
      </c>
      <c r="D41" s="1" t="s">
        <v>90</v>
      </c>
      <c r="E41" s="1" t="s">
        <v>91</v>
      </c>
      <c r="F41" s="1" t="str" cm="1">
        <f t="array" ref="F41">_xll.BDP(G41,"DS004")</f>
        <v>PEN</v>
      </c>
      <c r="G41" s="1" t="str">
        <f>D41&amp; " pe Equity"</f>
        <v>MINSURI1 pe Equity</v>
      </c>
      <c r="H41" s="1" t="str">
        <f>+_xll.BDP($G41,"Name")</f>
        <v>MINSUR SA-INVERSIONES</v>
      </c>
      <c r="I41" s="1" t="str">
        <f>+_xlfn.CONCAT(Tabla1[[#This Row],[Fecha de compra]],Tabla1[[#This Row],[Ticker]],Tabla1[[#This Row],[Q]])</f>
        <v>45951MINSURI115000</v>
      </c>
      <c r="J41" s="7">
        <v>15000</v>
      </c>
      <c r="K41" s="1">
        <v>4.4800000000000004</v>
      </c>
      <c r="L41" s="2">
        <f>+Tabla1[[#This Row],[Q]]*Tabla1[[#This Row],[P]]</f>
        <v>67200</v>
      </c>
      <c r="M41" s="23">
        <f>+VLOOKUP(Tabla1[[#This Row],[Identificador]],'P&amp;L Total'!A:L,12,FALSE)</f>
        <v>0.30273196905633853</v>
      </c>
      <c r="N41" s="4">
        <f>WORKDAY(Tabla1[[#This Row],[Fecha de compra]],0)</f>
        <v>45951</v>
      </c>
      <c r="O41" s="1" t="s">
        <v>195</v>
      </c>
    </row>
    <row r="42" spans="1:15">
      <c r="A42" s="4" t="str">
        <f>+IF(COUNTIF(Tabla2[Cod_ope],Tabla1[[#This Row],[Cod_Ope]])&gt;0,"out","stock")</f>
        <v>stock</v>
      </c>
      <c r="B42" s="4">
        <v>45951</v>
      </c>
      <c r="C42" s="1">
        <v>39592</v>
      </c>
      <c r="D42" s="1" t="s">
        <v>90</v>
      </c>
      <c r="E42" s="1" t="s">
        <v>91</v>
      </c>
      <c r="F42" s="1" t="str" cm="1">
        <f t="array" ref="F42">_xll.BDP(G42,"DS004")</f>
        <v>PEN</v>
      </c>
      <c r="G42" s="1" t="str">
        <f>D42&amp; " pe Equity"</f>
        <v>MINSURI1 pe Equity</v>
      </c>
      <c r="H42" s="1" t="str">
        <f>+_xll.BDP($G42,"Name")</f>
        <v>MINSUR SA-INVERSIONES</v>
      </c>
      <c r="I42" s="1" t="str">
        <f>+_xlfn.CONCAT(Tabla1[[#This Row],[Fecha de compra]],Tabla1[[#This Row],[Ticker]],Tabla1[[#This Row],[Q]])</f>
        <v>45951MINSURI115000</v>
      </c>
      <c r="J42" s="7">
        <v>15000</v>
      </c>
      <c r="K42" s="1">
        <v>4.45</v>
      </c>
      <c r="L42" s="2">
        <f>+Tabla1[[#This Row],[Q]]*Tabla1[[#This Row],[P]]</f>
        <v>66750</v>
      </c>
      <c r="M42" s="23">
        <f>+VLOOKUP(Tabla1[[#This Row],[Identificador]],'P&amp;L Total'!A:L,12,FALSE)</f>
        <v>0.30273196905633853</v>
      </c>
      <c r="N42" s="4">
        <f>WORKDAY(Tabla1[[#This Row],[Fecha de compra]],0)</f>
        <v>45951</v>
      </c>
      <c r="O42" s="1" t="s">
        <v>195</v>
      </c>
    </row>
    <row r="43" spans="1:15">
      <c r="A43" s="4" t="str">
        <f>+IF(COUNTIF(Tabla2[Cod_ope],Tabla1[[#This Row],[Cod_Ope]])&gt;0,"out","stock")</f>
        <v>stock</v>
      </c>
      <c r="B43" s="4">
        <v>45951</v>
      </c>
      <c r="C43" s="1">
        <v>39592</v>
      </c>
      <c r="D43" s="1" t="s">
        <v>90</v>
      </c>
      <c r="E43" s="1" t="s">
        <v>91</v>
      </c>
      <c r="F43" s="1" t="str" cm="1">
        <f t="array" ref="F43">_xll.BDP(G43,"DS004")</f>
        <v>PEN</v>
      </c>
      <c r="G43" s="1" t="str">
        <f>D43&amp; " pe Equity"</f>
        <v>MINSURI1 pe Equity</v>
      </c>
      <c r="H43" s="1" t="str">
        <f>+_xll.BDP($G43,"Name")</f>
        <v>MINSUR SA-INVERSIONES</v>
      </c>
      <c r="I43" s="1" t="str">
        <f>+_xlfn.CONCAT(Tabla1[[#This Row],[Fecha de compra]],Tabla1[[#This Row],[Ticker]],Tabla1[[#This Row],[Q]])</f>
        <v>45951MINSURI115000</v>
      </c>
      <c r="J43" s="7">
        <v>15000</v>
      </c>
      <c r="K43" s="1">
        <v>4.4000000000000004</v>
      </c>
      <c r="L43" s="2">
        <f>+Tabla1[[#This Row],[Q]]*Tabla1[[#This Row],[P]]</f>
        <v>66000</v>
      </c>
      <c r="M43" s="23">
        <f>+VLOOKUP(Tabla1[[#This Row],[Identificador]],'P&amp;L Total'!A:L,12,FALSE)</f>
        <v>0.30273196905633853</v>
      </c>
      <c r="N43" s="4">
        <f>WORKDAY(Tabla1[[#This Row],[Fecha de compra]],0)</f>
        <v>45951</v>
      </c>
      <c r="O43" s="1" t="s">
        <v>195</v>
      </c>
    </row>
    <row r="44" spans="1:15">
      <c r="A44" s="4" t="str">
        <f>+IF(COUNTIF(Tabla2[Cod_ope],Tabla1[[#This Row],[Cod_Ope]])&gt;0,"out","stock")</f>
        <v>out</v>
      </c>
      <c r="B44" s="4">
        <v>45951</v>
      </c>
      <c r="C44" s="1">
        <v>39592</v>
      </c>
      <c r="D44" s="1" t="s">
        <v>94</v>
      </c>
      <c r="E44" s="1" t="s">
        <v>95</v>
      </c>
      <c r="F44" s="1" t="str" cm="1">
        <f t="array" ref="F44">_xll.BDP(G44,"DS004")</f>
        <v>USD</v>
      </c>
      <c r="G44" s="1" t="str">
        <f>D44&amp; " us Equity"</f>
        <v>BVN us Equity</v>
      </c>
      <c r="H44" s="1" t="str">
        <f>+_xll.BDP($G44,"Name")</f>
        <v>CIA DE MINAS BUENAVENTUR-ADR</v>
      </c>
      <c r="I44" s="1" t="str">
        <f>+_xlfn.CONCAT(Tabla1[[#This Row],[Fecha de compra]],Tabla1[[#This Row],[Ticker]],Tabla1[[#This Row],[Q]])</f>
        <v>45951BVN2612</v>
      </c>
      <c r="J44" s="7">
        <f>2464+148</f>
        <v>2612</v>
      </c>
      <c r="K44" s="1">
        <v>22.92</v>
      </c>
      <c r="L44" s="2">
        <f>+Tabla1[[#This Row],[Q]]*Tabla1[[#This Row],[P]]</f>
        <v>59867.040000000001</v>
      </c>
      <c r="M44" s="23">
        <f>+VLOOKUP(Tabla1[[#This Row],[Identificador]],'P&amp;L Total'!A:L,12,FALSE)</f>
        <v>6.5707416606485283E-2</v>
      </c>
      <c r="N44" s="4">
        <f>WORKDAY(Tabla1[[#This Row],[Fecha de compra]],0)</f>
        <v>45951</v>
      </c>
      <c r="O44" s="1" t="s">
        <v>195</v>
      </c>
    </row>
    <row r="45" spans="1:15">
      <c r="A45" s="4" t="str">
        <f>+IF(COUNTIF(Tabla2[Cod_ope],Tabla1[[#This Row],[Cod_Ope]])&gt;0,"out","stock")</f>
        <v>stock</v>
      </c>
      <c r="B45" s="4">
        <v>45951</v>
      </c>
      <c r="C45" s="1">
        <v>39592</v>
      </c>
      <c r="D45" s="1" t="s">
        <v>96</v>
      </c>
      <c r="E45" s="1" t="s">
        <v>97</v>
      </c>
      <c r="F45" s="1" t="str" cm="1">
        <f t="array" ref="F45">_xll.BDP(G45,"DS004")</f>
        <v>USD</v>
      </c>
      <c r="G45" s="1" t="str">
        <f>D45&amp; " us Equity"</f>
        <v>AUNA us Equity</v>
      </c>
      <c r="H45" s="1" t="str">
        <f>+_xll.BDP($G45,"Name")</f>
        <v>AUNA SA-CLASS A</v>
      </c>
      <c r="I45" s="1" t="str">
        <f>+_xlfn.CONCAT(Tabla1[[#This Row],[Fecha de compra]],Tabla1[[#This Row],[Ticker]],Tabla1[[#This Row],[Q]])</f>
        <v>45951AUNA10000</v>
      </c>
      <c r="J45" s="7">
        <v>10000</v>
      </c>
      <c r="K45" s="1">
        <v>6.3179999999999996</v>
      </c>
      <c r="L45" s="2">
        <f>+Tabla1[[#This Row],[Q]]*Tabla1[[#This Row],[P]]</f>
        <v>63179.999999999993</v>
      </c>
      <c r="M45" s="23">
        <f>+VLOOKUP(Tabla1[[#This Row],[Identificador]],'P&amp;L Total'!A:L,12,FALSE)</f>
        <v>-8.6320451888425076E-2</v>
      </c>
      <c r="N45" s="4">
        <f>WORKDAY(Tabla1[[#This Row],[Fecha de compra]],0)</f>
        <v>45951</v>
      </c>
      <c r="O45" s="1" t="s">
        <v>195</v>
      </c>
    </row>
    <row r="46" spans="1:15">
      <c r="A46" s="4" t="str">
        <f>+IF(COUNTIF(Tabla2[Cod_ope],Tabla1[[#This Row],[Cod_Ope]])&gt;0,"out","stock")</f>
        <v>stock</v>
      </c>
      <c r="B46" s="4">
        <v>45952</v>
      </c>
      <c r="C46" s="1">
        <v>39592</v>
      </c>
      <c r="D46" s="1" t="s">
        <v>90</v>
      </c>
      <c r="E46" s="1" t="s">
        <v>91</v>
      </c>
      <c r="F46" s="1" t="str" cm="1">
        <f t="array" ref="F46">_xll.BDP(G46,"DS004")</f>
        <v>PEN</v>
      </c>
      <c r="G46" s="1" t="str">
        <f>D46&amp; " pe Equity"</f>
        <v>MINSURI1 pe Equity</v>
      </c>
      <c r="H46" s="1" t="str">
        <f>+_xll.BDP($G46,"Name")</f>
        <v>MINSUR SA-INVERSIONES</v>
      </c>
      <c r="I46" s="1" t="str">
        <f>+_xlfn.CONCAT(Tabla1[[#This Row],[Fecha de compra]],Tabla1[[#This Row],[Ticker]],Tabla1[[#This Row],[Q]])</f>
        <v>45952MINSURI110000</v>
      </c>
      <c r="J46" s="7">
        <v>10000</v>
      </c>
      <c r="K46" s="1">
        <v>4.41</v>
      </c>
      <c r="L46" s="2">
        <f>+Tabla1[[#This Row],[Q]]*Tabla1[[#This Row],[P]]</f>
        <v>44100</v>
      </c>
      <c r="M46" s="23">
        <f>+VLOOKUP(Tabla1[[#This Row],[Identificador]],'P&amp;L Total'!A:L,12,FALSE)</f>
        <v>0.30273196905633853</v>
      </c>
      <c r="N46" s="4">
        <f>WORKDAY(Tabla1[[#This Row],[Fecha de compra]],0)</f>
        <v>45952</v>
      </c>
      <c r="O46" s="1" t="s">
        <v>195</v>
      </c>
    </row>
    <row r="47" spans="1:15">
      <c r="A47" s="4" t="str">
        <f>+IF(COUNTIF(Tabla2[Cod_ope],Tabla1[[#This Row],[Cod_Ope]])&gt;0,"out","stock")</f>
        <v>stock</v>
      </c>
      <c r="B47" s="4">
        <v>45952</v>
      </c>
      <c r="C47" s="1">
        <v>39592</v>
      </c>
      <c r="D47" s="1" t="s">
        <v>90</v>
      </c>
      <c r="E47" s="1" t="s">
        <v>91</v>
      </c>
      <c r="F47" s="1" t="str" cm="1">
        <f t="array" ref="F47">_xll.BDP(G47,"DS004")</f>
        <v>PEN</v>
      </c>
      <c r="G47" s="1" t="str">
        <f>D47&amp; " pe Equity"</f>
        <v>MINSURI1 pe Equity</v>
      </c>
      <c r="H47" s="1" t="str">
        <f>+_xll.BDP($G47,"Name")</f>
        <v>MINSUR SA-INVERSIONES</v>
      </c>
      <c r="I47" s="1" t="str">
        <f>+_xlfn.CONCAT(Tabla1[[#This Row],[Fecha de compra]],Tabla1[[#This Row],[Ticker]],Tabla1[[#This Row],[Q]])</f>
        <v>45952MINSURI110000</v>
      </c>
      <c r="J47" s="7">
        <v>10000</v>
      </c>
      <c r="K47" s="1">
        <v>4.38</v>
      </c>
      <c r="L47" s="2">
        <f>+Tabla1[[#This Row],[Q]]*Tabla1[[#This Row],[P]]</f>
        <v>43800</v>
      </c>
      <c r="M47" s="23">
        <f>+VLOOKUP(Tabla1[[#This Row],[Identificador]],'P&amp;L Total'!A:L,12,FALSE)</f>
        <v>0.30273196905633853</v>
      </c>
      <c r="N47" s="4">
        <f>WORKDAY(Tabla1[[#This Row],[Fecha de compra]],0)</f>
        <v>45952</v>
      </c>
      <c r="O47" s="1" t="s">
        <v>195</v>
      </c>
    </row>
    <row r="48" spans="1:15">
      <c r="A48" s="4" t="str">
        <f>+IF(COUNTIF(Tabla2[Cod_ope],Tabla1[[#This Row],[Cod_Ope]])&gt;0,"out","stock")</f>
        <v>stock</v>
      </c>
      <c r="B48" s="4">
        <v>45952</v>
      </c>
      <c r="C48" s="1">
        <v>39592</v>
      </c>
      <c r="D48" s="1" t="s">
        <v>90</v>
      </c>
      <c r="E48" s="1" t="s">
        <v>91</v>
      </c>
      <c r="F48" s="1" t="str" cm="1">
        <f t="array" ref="F48">_xll.BDP(G48,"DS004")</f>
        <v>PEN</v>
      </c>
      <c r="G48" s="1" t="str">
        <f>D48&amp; " pe Equity"</f>
        <v>MINSURI1 pe Equity</v>
      </c>
      <c r="H48" s="1" t="str">
        <f>+_xll.BDP($G48,"Name")</f>
        <v>MINSUR SA-INVERSIONES</v>
      </c>
      <c r="I48" s="1" t="str">
        <f>+_xlfn.CONCAT(Tabla1[[#This Row],[Fecha de compra]],Tabla1[[#This Row],[Ticker]],Tabla1[[#This Row],[Q]])</f>
        <v>45952MINSURI110000</v>
      </c>
      <c r="J48" s="7">
        <v>10000</v>
      </c>
      <c r="K48" s="1">
        <v>4.3499999999999996</v>
      </c>
      <c r="L48" s="2">
        <f>+Tabla1[[#This Row],[Q]]*Tabla1[[#This Row],[P]]</f>
        <v>43500</v>
      </c>
      <c r="M48" s="23">
        <f>+VLOOKUP(Tabla1[[#This Row],[Identificador]],'P&amp;L Total'!A:L,12,FALSE)</f>
        <v>0.30273196905633853</v>
      </c>
      <c r="N48" s="4">
        <f>WORKDAY(Tabla1[[#This Row],[Fecha de compra]],0)</f>
        <v>45952</v>
      </c>
      <c r="O48" s="1" t="s">
        <v>195</v>
      </c>
    </row>
    <row r="49" spans="1:15">
      <c r="A49" s="4" t="str">
        <f>+IF(COUNTIF(Tabla2[Cod_ope],Tabla1[[#This Row],[Cod_Ope]])&gt;0,"out","stock")</f>
        <v>stock</v>
      </c>
      <c r="B49" s="4">
        <v>45952</v>
      </c>
      <c r="C49" s="1">
        <v>39592</v>
      </c>
      <c r="D49" s="1" t="s">
        <v>82</v>
      </c>
      <c r="E49" s="1" t="s">
        <v>83</v>
      </c>
      <c r="F49" s="1" t="str" cm="1">
        <f t="array" ref="F49">_xll.BDP(G49,"DS004")</f>
        <v>PEN</v>
      </c>
      <c r="G49" s="1" t="str">
        <f>D49&amp; " pe Equity"</f>
        <v>FERREYC1 pe Equity</v>
      </c>
      <c r="H49" s="1" t="str">
        <f>+_xll.BDP($G49,"Name")</f>
        <v>FERREYCORP SAA</v>
      </c>
      <c r="I49" s="1" t="str">
        <f>+_xlfn.CONCAT(Tabla1[[#This Row],[Fecha de compra]],Tabla1[[#This Row],[Ticker]],Tabla1[[#This Row],[Q]])</f>
        <v>45952FERREYC120000</v>
      </c>
      <c r="J49" s="7">
        <v>20000</v>
      </c>
      <c r="K49" s="1">
        <v>3.32</v>
      </c>
      <c r="L49" s="2">
        <f>+Tabla1[[#This Row],[Q]]*Tabla1[[#This Row],[P]]</f>
        <v>66400</v>
      </c>
      <c r="M49" s="23">
        <f>+VLOOKUP(Tabla1[[#This Row],[Identificador]],'P&amp;L Total'!A:L,12,FALSE)</f>
        <v>0.26768554140952877</v>
      </c>
      <c r="N49" s="4">
        <f>WORKDAY(Tabla1[[#This Row],[Fecha de compra]],0)</f>
        <v>45952</v>
      </c>
      <c r="O49" s="1" t="s">
        <v>195</v>
      </c>
    </row>
    <row r="50" spans="1:15">
      <c r="A50" s="4" t="str">
        <f>+IF(COUNTIF(Tabla2[Cod_ope],Tabla1[[#This Row],[Cod_Ope]])&gt;0,"out","stock")</f>
        <v>stock</v>
      </c>
      <c r="B50" s="4">
        <v>45952</v>
      </c>
      <c r="C50" s="1">
        <v>39592</v>
      </c>
      <c r="D50" s="1" t="s">
        <v>82</v>
      </c>
      <c r="E50" s="1" t="s">
        <v>83</v>
      </c>
      <c r="F50" s="1" t="str" cm="1">
        <f t="array" ref="F50">_xll.BDP(G50,"DS004")</f>
        <v>PEN</v>
      </c>
      <c r="G50" s="1" t="str">
        <f>D50&amp; " pe Equity"</f>
        <v>FERREYC1 pe Equity</v>
      </c>
      <c r="H50" s="1" t="str">
        <f>+_xll.BDP($G50,"Name")</f>
        <v>FERREYCORP SAA</v>
      </c>
      <c r="I50" s="1" t="str">
        <f>+_xlfn.CONCAT(Tabla1[[#This Row],[Fecha de compra]],Tabla1[[#This Row],[Ticker]],Tabla1[[#This Row],[Q]])</f>
        <v>45952FERREYC120000</v>
      </c>
      <c r="J50" s="7">
        <v>20000</v>
      </c>
      <c r="K50" s="1">
        <v>3.3</v>
      </c>
      <c r="L50" s="2">
        <f>+Tabla1[[#This Row],[Q]]*Tabla1[[#This Row],[P]]</f>
        <v>66000</v>
      </c>
      <c r="M50" s="23">
        <f>+VLOOKUP(Tabla1[[#This Row],[Identificador]],'P&amp;L Total'!A:L,12,FALSE)</f>
        <v>0.26768554140952877</v>
      </c>
      <c r="N50" s="4">
        <f>WORKDAY(Tabla1[[#This Row],[Fecha de compra]],0)</f>
        <v>45952</v>
      </c>
      <c r="O50" s="1" t="s">
        <v>195</v>
      </c>
    </row>
    <row r="51" spans="1:15">
      <c r="A51" s="4" t="str">
        <f>+IF(COUNTIF(Tabla2[Cod_ope],Tabla1[[#This Row],[Cod_Ope]])&gt;0,"out","stock")</f>
        <v>out</v>
      </c>
      <c r="B51" s="4">
        <v>45952</v>
      </c>
      <c r="C51" s="1">
        <v>39592</v>
      </c>
      <c r="D51" s="1" t="s">
        <v>94</v>
      </c>
      <c r="E51" s="1" t="s">
        <v>95</v>
      </c>
      <c r="F51" s="1" t="str" cm="1">
        <f t="array" ref="F51">_xll.BDP(G51,"DS004")</f>
        <v>USD</v>
      </c>
      <c r="G51" s="1" t="str">
        <f>D51&amp; " us Equity"</f>
        <v>BVN us Equity</v>
      </c>
      <c r="H51" s="1" t="str">
        <f>+_xll.BDP($G51,"Name")</f>
        <v>CIA DE MINAS BUENAVENTUR-ADR</v>
      </c>
      <c r="I51" s="1" t="str">
        <f>+_xlfn.CONCAT(Tabla1[[#This Row],[Fecha de compra]],Tabla1[[#This Row],[Ticker]],Tabla1[[#This Row],[Q]])</f>
        <v>45952BVN2000</v>
      </c>
      <c r="J51" s="7">
        <v>2000</v>
      </c>
      <c r="K51" s="1">
        <v>22.666499999999999</v>
      </c>
      <c r="L51" s="2">
        <f>+Tabla1[[#This Row],[Q]]*Tabla1[[#This Row],[P]]</f>
        <v>45333</v>
      </c>
      <c r="M51" s="23">
        <f>+VLOOKUP(Tabla1[[#This Row],[Identificador]],'P&amp;L Total'!A:L,12,FALSE)</f>
        <v>6.5707416606485283E-2</v>
      </c>
      <c r="N51" s="4">
        <f>WORKDAY(Tabla1[[#This Row],[Fecha de compra]],0)</f>
        <v>45952</v>
      </c>
      <c r="O51" s="1" t="s">
        <v>195</v>
      </c>
    </row>
    <row r="52" spans="1:15">
      <c r="A52" s="4" t="str">
        <f>+IF(COUNTIF(Tabla2[Cod_ope],Tabla1[[#This Row],[Cod_Ope]])&gt;0,"out","stock")</f>
        <v>stock</v>
      </c>
      <c r="B52" s="4">
        <v>45952</v>
      </c>
      <c r="C52" s="1">
        <v>39592</v>
      </c>
      <c r="D52" s="1" t="s">
        <v>96</v>
      </c>
      <c r="E52" s="1" t="s">
        <v>97</v>
      </c>
      <c r="F52" s="1" t="str" cm="1">
        <f t="array" ref="F52">_xll.BDP(G52,"DS004")</f>
        <v>USD</v>
      </c>
      <c r="G52" s="1" t="str">
        <f>D52&amp; " us Equity"</f>
        <v>AUNA us Equity</v>
      </c>
      <c r="H52" s="1" t="str">
        <f>+_xll.BDP($G52,"Name")</f>
        <v>AUNA SA-CLASS A</v>
      </c>
      <c r="I52" s="1" t="str">
        <f>+_xlfn.CONCAT(Tabla1[[#This Row],[Fecha de compra]],Tabla1[[#This Row],[Ticker]],Tabla1[[#This Row],[Q]])</f>
        <v>45952AUNA5000</v>
      </c>
      <c r="J52" s="7">
        <v>5000</v>
      </c>
      <c r="K52" s="1">
        <v>6.383</v>
      </c>
      <c r="L52" s="2">
        <f>+Tabla1[[#This Row],[Q]]*Tabla1[[#This Row],[P]]</f>
        <v>31915</v>
      </c>
      <c r="M52" s="23">
        <f>+VLOOKUP(Tabla1[[#This Row],[Identificador]],'P&amp;L Total'!A:L,12,FALSE)</f>
        <v>-8.6320451888425076E-2</v>
      </c>
      <c r="N52" s="4">
        <f>WORKDAY(Tabla1[[#This Row],[Fecha de compra]],0)</f>
        <v>45952</v>
      </c>
      <c r="O52" s="1" t="s">
        <v>195</v>
      </c>
    </row>
    <row r="53" spans="1:15">
      <c r="A53" s="4" t="str">
        <f>+IF(COUNTIF(Tabla2[Cod_ope],Tabla1[[#This Row],[Cod_Ope]])&gt;0,"out","stock")</f>
        <v>stock</v>
      </c>
      <c r="B53" s="4">
        <v>45957</v>
      </c>
      <c r="C53" s="1">
        <v>39592</v>
      </c>
      <c r="D53" s="1" t="s">
        <v>90</v>
      </c>
      <c r="E53" s="1" t="s">
        <v>91</v>
      </c>
      <c r="F53" s="1" t="str" cm="1">
        <f t="array" ref="F53">_xll.BDP(G53,"DS004")</f>
        <v>PEN</v>
      </c>
      <c r="G53" s="1" t="str">
        <f>D53&amp; " pe Equity"</f>
        <v>MINSURI1 pe Equity</v>
      </c>
      <c r="H53" s="1" t="str">
        <f>+_xll.BDP($G53,"Name")</f>
        <v>MINSUR SA-INVERSIONES</v>
      </c>
      <c r="I53" s="1" t="str">
        <f>+_xlfn.CONCAT(Tabla1[[#This Row],[Fecha de compra]],Tabla1[[#This Row],[Ticker]],Tabla1[[#This Row],[Q]])</f>
        <v>45957MINSURI15580</v>
      </c>
      <c r="J53" s="7">
        <v>5580</v>
      </c>
      <c r="K53" s="1">
        <v>4.2300000000000004</v>
      </c>
      <c r="L53" s="2">
        <f>+Tabla1[[#This Row],[Q]]*Tabla1[[#This Row],[P]]</f>
        <v>23603.4</v>
      </c>
      <c r="M53" s="23">
        <f>+VLOOKUP(Tabla1[[#This Row],[Identificador]],'P&amp;L Total'!A:L,12,FALSE)</f>
        <v>0.30273196905633853</v>
      </c>
      <c r="N53" s="4">
        <f>WORKDAY(Tabla1[[#This Row],[Fecha de compra]],0)</f>
        <v>45957</v>
      </c>
      <c r="O53" s="1" t="s">
        <v>195</v>
      </c>
    </row>
    <row r="54" spans="1:15">
      <c r="A54" s="4" t="str">
        <f>+IF(COUNTIF(Tabla2[Cod_ope],Tabla1[[#This Row],[Cod_Ope]])&gt;0,"out","stock")</f>
        <v>stock</v>
      </c>
      <c r="B54" s="4">
        <v>45967</v>
      </c>
      <c r="C54" s="1">
        <v>39592</v>
      </c>
      <c r="D54" s="1" t="s">
        <v>46</v>
      </c>
      <c r="E54" s="1" t="s">
        <v>47</v>
      </c>
      <c r="F54" s="1" t="str" cm="1">
        <f t="array" ref="F54">_xll.BDP(G54,"DS004")</f>
        <v>USD</v>
      </c>
      <c r="G54" s="1" t="str">
        <f>D54&amp; " US Equity"</f>
        <v>EEM US Equity</v>
      </c>
      <c r="H54" s="1" t="str">
        <f>+_xll.BDP($G54,"Name")</f>
        <v>ISHARES MSCI EMERGING MARKET</v>
      </c>
      <c r="I54" s="1" t="str">
        <f>+_xlfn.CONCAT(Tabla1[[#This Row],[Fecha de compra]],Tabla1[[#This Row],[Ticker]],Tabla1[[#This Row],[Q]])</f>
        <v>45967EEM1462</v>
      </c>
      <c r="J54" s="7">
        <v>1462</v>
      </c>
      <c r="K54" s="1">
        <v>54.61</v>
      </c>
      <c r="L54" s="2">
        <f>+Tabla1[[#This Row],[Q]]*Tabla1[[#This Row],[P]]</f>
        <v>79839.819999999992</v>
      </c>
      <c r="M54" s="23">
        <f>+VLOOKUP(Tabla1[[#This Row],[Identificador]],'P&amp;L Total'!A:L,12,FALSE)</f>
        <v>9.8275989153014304E-2</v>
      </c>
      <c r="N54" s="4">
        <f>WORKDAY(Tabla1[[#This Row],[Fecha de compra]],0)</f>
        <v>45967</v>
      </c>
      <c r="O54" s="1" t="s">
        <v>195</v>
      </c>
    </row>
    <row r="55" spans="1:15">
      <c r="A55" s="4" t="str">
        <f>+IF(COUNTIF(Tabla2[Cod_ope],Tabla1[[#This Row],[Cod_Ope]])&gt;0,"out","stock")</f>
        <v>stock</v>
      </c>
      <c r="B55" s="4">
        <v>45967</v>
      </c>
      <c r="C55" s="1">
        <v>39592</v>
      </c>
      <c r="D55" s="1" t="s">
        <v>100</v>
      </c>
      <c r="E55" s="1" t="s">
        <v>101</v>
      </c>
      <c r="F55" s="1" t="str" cm="1">
        <f t="array" ref="F55">_xll.BDP(G55,"DS004")</f>
        <v>USD</v>
      </c>
      <c r="G55" s="1" t="str">
        <f>D55&amp; " US Equity"</f>
        <v>PFE US Equity</v>
      </c>
      <c r="H55" s="1" t="str">
        <f>+_xll.BDP($G55,"Name")</f>
        <v>PFIZER INC</v>
      </c>
      <c r="I55" s="1" t="str">
        <f>+_xlfn.CONCAT(Tabla1[[#This Row],[Fecha de compra]],Tabla1[[#This Row],[Ticker]],Tabla1[[#This Row],[Q]])</f>
        <v>45967PFE3195</v>
      </c>
      <c r="J55" s="7">
        <v>3195</v>
      </c>
      <c r="K55" s="1">
        <v>25.029601</v>
      </c>
      <c r="L55" s="2">
        <f>+Tabla1[[#This Row],[Q]]*Tabla1[[#This Row],[P]]</f>
        <v>79969.575194999998</v>
      </c>
      <c r="M55" s="23">
        <f>+VLOOKUP(Tabla1[[#This Row],[Identificador]],'P&amp;L Total'!A:L,12,FALSE)</f>
        <v>0.10229483881904471</v>
      </c>
      <c r="N55" s="4">
        <f>WORKDAY(Tabla1[[#This Row],[Fecha de compra]],0)</f>
        <v>45967</v>
      </c>
      <c r="O55" s="1" t="s">
        <v>195</v>
      </c>
    </row>
    <row r="56" spans="1:15">
      <c r="A56" s="4" t="str">
        <f>+IF(COUNTIF(Tabla2[Cod_ope],Tabla1[[#This Row],[Cod_Ope]])&gt;0,"out","stock")</f>
        <v>out</v>
      </c>
      <c r="B56" s="4">
        <v>45967</v>
      </c>
      <c r="C56" s="1">
        <v>39592</v>
      </c>
      <c r="D56" s="1" t="s">
        <v>54</v>
      </c>
      <c r="E56" s="1" t="s">
        <v>55</v>
      </c>
      <c r="F56" s="1" t="str" cm="1">
        <f t="array" ref="F56">_xll.BDP(G56,"DS004")</f>
        <v>USD</v>
      </c>
      <c r="G56" s="1" t="str">
        <f>D56&amp; " US Equity"</f>
        <v>PLTR US Equity</v>
      </c>
      <c r="H56" s="1" t="str">
        <f>+_xll.BDP($G56,"Name")</f>
        <v>PALANTIR TECHNOLOGIES INC-A</v>
      </c>
      <c r="I56" s="1" t="str">
        <f>+_xlfn.CONCAT(Tabla1[[#This Row],[Fecha de compra]],Tabla1[[#This Row],[Ticker]],Tabla1[[#This Row],[Q]])</f>
        <v>45967PLTR434</v>
      </c>
      <c r="J56" s="7">
        <v>434</v>
      </c>
      <c r="K56" s="1">
        <v>184.31</v>
      </c>
      <c r="L56" s="2">
        <f>+Tabla1[[#This Row],[Q]]*Tabla1[[#This Row],[P]]</f>
        <v>79990.540000000008</v>
      </c>
      <c r="M56" s="23">
        <f>+VLOOKUP(Tabla1[[#This Row],[Identificador]],'P&amp;L Total'!A:L,12,FALSE)</f>
        <v>4.8158250908487937E-2</v>
      </c>
      <c r="N56" s="4">
        <f>WORKDAY(Tabla1[[#This Row],[Fecha de compra]],0)</f>
        <v>45967</v>
      </c>
      <c r="O56" s="1" t="s">
        <v>195</v>
      </c>
    </row>
    <row r="57" spans="1:15">
      <c r="A57" s="4" t="str">
        <f>+IF(COUNTIF(Tabla2[Cod_ope],Tabla1[[#This Row],[Cod_Ope]])&gt;0,"out","stock")</f>
        <v>out</v>
      </c>
      <c r="B57" s="4">
        <v>45967</v>
      </c>
      <c r="C57" s="1">
        <v>39592</v>
      </c>
      <c r="D57" s="1" t="s">
        <v>98</v>
      </c>
      <c r="E57" s="1" t="s">
        <v>99</v>
      </c>
      <c r="F57" s="1" t="str" cm="1">
        <f t="array" ref="F57">_xll.BDP(G57,"DS004")</f>
        <v>PEN</v>
      </c>
      <c r="G57" s="1" t="str">
        <f>D57&amp; " pe Equity"</f>
        <v>VOLCABC1 pe Equity</v>
      </c>
      <c r="H57" s="1" t="str">
        <f>+_xll.BDP($G57,"Name")</f>
        <v>VOLCAN CIA MINERA SAA-CMN B</v>
      </c>
      <c r="I57" s="1" t="str">
        <f>+_xlfn.CONCAT(Tabla1[[#This Row],[Fecha de compra]],Tabla1[[#This Row],[Ticker]],Tabla1[[#This Row],[Q]])</f>
        <v>45967VOLCABC1167440</v>
      </c>
      <c r="J57" s="7">
        <f>95000+72150+290</f>
        <v>167440</v>
      </c>
      <c r="K57" s="1">
        <v>0.46500000000000002</v>
      </c>
      <c r="L57" s="2">
        <f>+Tabla1[[#This Row],[Q]]*Tabla1[[#This Row],[P]]</f>
        <v>77859.600000000006</v>
      </c>
      <c r="M57" s="23">
        <f>+VLOOKUP(Tabla1[[#This Row],[Identificador]],'P&amp;L Total'!A:L,12,FALSE)</f>
        <v>3.145970534781288E-2</v>
      </c>
      <c r="N57" s="4">
        <f>WORKDAY(Tabla1[[#This Row],[Fecha de compra]],0)</f>
        <v>45967</v>
      </c>
      <c r="O57" s="1" t="s">
        <v>195</v>
      </c>
    </row>
    <row r="58" spans="1:15">
      <c r="A58" s="4" t="str">
        <f>+IF(COUNTIF(Tabla2[Cod_ope],Tabla1[[#This Row],[Cod_Ope]])&gt;0,"out","stock")</f>
        <v>out</v>
      </c>
      <c r="B58" s="4">
        <v>45967</v>
      </c>
      <c r="C58" s="1">
        <v>39592</v>
      </c>
      <c r="D58" s="1" t="s">
        <v>98</v>
      </c>
      <c r="E58" s="1" t="s">
        <v>99</v>
      </c>
      <c r="F58" s="1" t="str" cm="1">
        <f t="array" ref="F58">_xll.BDP(G58,"DS004")</f>
        <v>PEN</v>
      </c>
      <c r="G58" s="1" t="str">
        <f>D58&amp; " pe Equity"</f>
        <v>VOLCABC1 pe Equity</v>
      </c>
      <c r="H58" s="1" t="str">
        <f>+_xll.BDP($G58,"Name")</f>
        <v>VOLCAN CIA MINERA SAA-CMN B</v>
      </c>
      <c r="I58" s="1" t="str">
        <f>+_xlfn.CONCAT(Tabla1[[#This Row],[Fecha de compra]],Tabla1[[#This Row],[Ticker]],Tabla1[[#This Row],[Q]])</f>
        <v>45967VOLCABC150</v>
      </c>
      <c r="J58" s="7">
        <v>50</v>
      </c>
      <c r="K58" s="1">
        <v>0.46300000000000002</v>
      </c>
      <c r="L58" s="2">
        <f>+Tabla1[[#This Row],[Q]]*Tabla1[[#This Row],[P]]</f>
        <v>23.150000000000002</v>
      </c>
      <c r="M58" s="23">
        <f>+VLOOKUP(Tabla1[[#This Row],[Identificador]],'P&amp;L Total'!A:L,12,FALSE)</f>
        <v>3.145970534781288E-2</v>
      </c>
      <c r="N58" s="4">
        <f>WORKDAY(Tabla1[[#This Row],[Fecha de compra]],0)</f>
        <v>45967</v>
      </c>
      <c r="O58" s="1" t="s">
        <v>195</v>
      </c>
    </row>
    <row r="59" spans="1:15">
      <c r="A59" s="4" t="str">
        <f>+IF(COUNTIF(Tabla2[Cod_ope],Tabla1[[#This Row],[Cod_Ope]])&gt;0,"out","stock")</f>
        <v>stock</v>
      </c>
      <c r="B59" s="4">
        <v>45967</v>
      </c>
      <c r="C59" s="1">
        <v>39592</v>
      </c>
      <c r="D59" s="1" t="s">
        <v>66</v>
      </c>
      <c r="E59" s="1" t="s">
        <v>67</v>
      </c>
      <c r="F59" s="1" t="str" cm="1">
        <f t="array" ref="F59">_xll.BDP(G59,"DS004")</f>
        <v>USD</v>
      </c>
      <c r="G59" s="1" t="str">
        <f>D59&amp; " US Equity"</f>
        <v>UNH US Equity</v>
      </c>
      <c r="H59" s="1" t="str">
        <f>+_xll.BDP($G59,"Name")</f>
        <v>UNITEDHEALTH GROUP INC</v>
      </c>
      <c r="I59" s="1" t="str">
        <f>+_xlfn.CONCAT(Tabla1[[#This Row],[Fecha de compra]],Tabla1[[#This Row],[Ticker]],Tabla1[[#This Row],[Q]])</f>
        <v>45967UNH153</v>
      </c>
      <c r="J59" s="7">
        <v>153</v>
      </c>
      <c r="K59" s="1">
        <v>324.91559999999998</v>
      </c>
      <c r="L59" s="2">
        <f>+Tabla1[[#This Row],[Q]]*Tabla1[[#This Row],[P]]</f>
        <v>49712.086799999997</v>
      </c>
      <c r="M59" s="23">
        <f>+VLOOKUP(Tabla1[[#This Row],[Identificador]],'P&amp;L Total'!A:L,12,FALSE)</f>
        <v>-0.16883552450870001</v>
      </c>
      <c r="N59" s="4">
        <f>WORKDAY(Tabla1[[#This Row],[Fecha de compra]],1)</f>
        <v>45968</v>
      </c>
      <c r="O59" s="1" t="s">
        <v>195</v>
      </c>
    </row>
    <row r="60" spans="1:15">
      <c r="A60" s="4" t="str">
        <f>+IF(COUNTIF(Tabla2[Cod_ope],Tabla1[[#This Row],[Cod_Ope]])&gt;0,"out","stock")</f>
        <v>out</v>
      </c>
      <c r="B60" s="4">
        <v>45968</v>
      </c>
      <c r="C60" s="1">
        <v>39592</v>
      </c>
      <c r="D60" s="1" t="s">
        <v>102</v>
      </c>
      <c r="E60" s="1" t="s">
        <v>103</v>
      </c>
      <c r="F60" s="1" t="str" cm="1">
        <f t="array" ref="F60">_xll.BDP(G60,"DS004")</f>
        <v>USD</v>
      </c>
      <c r="G60" s="1" t="str">
        <f>D60&amp; " US Equity"</f>
        <v>EWQ US Equity</v>
      </c>
      <c r="H60" s="1" t="str">
        <f>+_xll.BDP($G60,"Name")</f>
        <v>ISHARES MSCI FRANCE ETF</v>
      </c>
      <c r="I60" s="1" t="str">
        <f>+_xlfn.CONCAT(Tabla1[[#This Row],[Fecha de compra]],Tabla1[[#This Row],[Ticker]],Tabla1[[#This Row],[Q]])</f>
        <v>45968EWQ1839</v>
      </c>
      <c r="J60" s="7">
        <v>1839</v>
      </c>
      <c r="K60" s="1">
        <v>43.48</v>
      </c>
      <c r="L60" s="2">
        <f>+Tabla1[[#This Row],[Q]]*Tabla1[[#This Row],[P]]</f>
        <v>79959.72</v>
      </c>
      <c r="M60" s="23">
        <f>+VLOOKUP(Tabla1[[#This Row],[Identificador]],'P&amp;L Total'!A:L,12,FALSE)</f>
        <v>6.2284153633854637E-2</v>
      </c>
      <c r="N60" s="4">
        <f>WORKDAY(Tabla1[[#This Row],[Fecha de compra]],0)</f>
        <v>45968</v>
      </c>
      <c r="O60" s="1" t="s">
        <v>195</v>
      </c>
    </row>
    <row r="61" spans="1:15">
      <c r="A61" s="4" t="str">
        <f>+IF(COUNTIF(Tabla2[Cod_ope],Tabla1[[#This Row],[Cod_Ope]])&gt;0,"out","stock")</f>
        <v>out</v>
      </c>
      <c r="B61" s="4">
        <v>45968</v>
      </c>
      <c r="C61" s="1">
        <v>39592</v>
      </c>
      <c r="D61" s="1" t="s">
        <v>54</v>
      </c>
      <c r="E61" s="1" t="s">
        <v>55</v>
      </c>
      <c r="F61" s="1" t="str" cm="1">
        <f t="array" ref="F61">_xll.BDP(G61,"DS004")</f>
        <v>USD</v>
      </c>
      <c r="G61" s="1" t="str">
        <f>D61&amp; " US Equity"</f>
        <v>PLTR US Equity</v>
      </c>
      <c r="H61" s="1" t="str">
        <f>+_xll.BDP($G61,"Name")</f>
        <v>PALANTIR TECHNOLOGIES INC-A</v>
      </c>
      <c r="I61" s="1" t="str">
        <f>+_xlfn.CONCAT(Tabla1[[#This Row],[Fecha de compra]],Tabla1[[#This Row],[Ticker]],Tabla1[[#This Row],[Q]])</f>
        <v>45968PLTR117</v>
      </c>
      <c r="J61" s="7">
        <v>117</v>
      </c>
      <c r="K61" s="1">
        <v>170.01</v>
      </c>
      <c r="L61" s="2">
        <f>+Tabla1[[#This Row],[Q]]*Tabla1[[#This Row],[P]]</f>
        <v>19891.169999999998</v>
      </c>
      <c r="M61" s="23">
        <f>+VLOOKUP(Tabla1[[#This Row],[Identificador]],'P&amp;L Total'!A:L,12,FALSE)</f>
        <v>4.8158250908487937E-2</v>
      </c>
      <c r="N61" s="4">
        <f>WORKDAY(Tabla1[[#This Row],[Fecha de compra]],0)</f>
        <v>45968</v>
      </c>
      <c r="O61" s="1" t="s">
        <v>195</v>
      </c>
    </row>
    <row r="62" spans="1:15">
      <c r="A62" s="4" t="str">
        <f>+IF(COUNTIF(Tabla2[Cod_ope],Tabla1[[#This Row],[Cod_Ope]])&gt;0,"out","stock")</f>
        <v>out</v>
      </c>
      <c r="B62" s="4">
        <v>45968</v>
      </c>
      <c r="C62" s="1">
        <v>39592</v>
      </c>
      <c r="D62" s="1" t="s">
        <v>98</v>
      </c>
      <c r="E62" s="1" t="s">
        <v>99</v>
      </c>
      <c r="F62" s="1" t="str" cm="1">
        <f t="array" ref="F62">_xll.BDP(G62,"DS004")</f>
        <v>PEN</v>
      </c>
      <c r="G62" s="1" t="str">
        <f>D62&amp; " pe Equity"</f>
        <v>VOLCABC1 pe Equity</v>
      </c>
      <c r="H62" s="1" t="str">
        <f>+_xll.BDP($G62,"Name")</f>
        <v>VOLCAN CIA MINERA SAA-CMN B</v>
      </c>
      <c r="I62" s="1" t="str">
        <f>+_xlfn.CONCAT(Tabla1[[#This Row],[Fecha de compra]],Tabla1[[#This Row],[Ticker]],Tabla1[[#This Row],[Q]])</f>
        <v>45968VOLCABC1100000</v>
      </c>
      <c r="J62" s="7">
        <v>100000</v>
      </c>
      <c r="K62" s="1">
        <v>0.46600000000000003</v>
      </c>
      <c r="L62" s="2">
        <f>+Tabla1[[#This Row],[Q]]*Tabla1[[#This Row],[P]]</f>
        <v>46600</v>
      </c>
      <c r="M62" s="23">
        <f>+VLOOKUP(Tabla1[[#This Row],[Identificador]],'P&amp;L Total'!A:L,12,FALSE)</f>
        <v>3.145970534781288E-2</v>
      </c>
      <c r="N62" s="4">
        <f>WORKDAY(Tabla1[[#This Row],[Fecha de compra]],0)</f>
        <v>45968</v>
      </c>
      <c r="O62" s="1" t="s">
        <v>195</v>
      </c>
    </row>
    <row r="63" spans="1:15">
      <c r="A63" s="4" t="str">
        <f>+IF(COUNTIF(Tabla2[Cod_ope],Tabla1[[#This Row],[Cod_Ope]])&gt;0,"out","stock")</f>
        <v>out</v>
      </c>
      <c r="B63" s="4">
        <v>45968</v>
      </c>
      <c r="C63" s="1">
        <v>39592</v>
      </c>
      <c r="D63" s="1" t="s">
        <v>98</v>
      </c>
      <c r="E63" s="1" t="s">
        <v>99</v>
      </c>
      <c r="F63" s="1" t="str" cm="1">
        <f t="array" ref="F63">_xll.BDP(G63,"DS004")</f>
        <v>PEN</v>
      </c>
      <c r="G63" s="1" t="str">
        <f>D63&amp; " pe Equity"</f>
        <v>VOLCABC1 pe Equity</v>
      </c>
      <c r="H63" s="1" t="str">
        <f>+_xll.BDP($G63,"Name")</f>
        <v>VOLCAN CIA MINERA SAA-CMN B</v>
      </c>
      <c r="I63" s="1" t="str">
        <f>+_xlfn.CONCAT(Tabla1[[#This Row],[Fecha de compra]],Tabla1[[#This Row],[Ticker]],Tabla1[[#This Row],[Q]])</f>
        <v>45968VOLCABC199560</v>
      </c>
      <c r="J63" s="7">
        <v>99560</v>
      </c>
      <c r="K63" s="1">
        <v>0.46300000000000002</v>
      </c>
      <c r="L63" s="2">
        <f>+Tabla1[[#This Row],[Q]]*Tabla1[[#This Row],[P]]</f>
        <v>46096.28</v>
      </c>
      <c r="M63" s="23">
        <f>+VLOOKUP(Tabla1[[#This Row],[Identificador]],'P&amp;L Total'!A:L,12,FALSE)</f>
        <v>3.145970534781288E-2</v>
      </c>
      <c r="N63" s="4">
        <f>WORKDAY(Tabla1[[#This Row],[Fecha de compra]],0)</f>
        <v>45968</v>
      </c>
      <c r="O63" s="1" t="s">
        <v>195</v>
      </c>
    </row>
    <row r="64" spans="1:15">
      <c r="A64" s="4" t="str">
        <f>+IF(COUNTIF(Tabla2[Cod_ope],Tabla1[[#This Row],[Cod_Ope]])&gt;0,"out","stock")</f>
        <v>out</v>
      </c>
      <c r="B64" s="4">
        <v>45968</v>
      </c>
      <c r="C64" s="1">
        <v>39592</v>
      </c>
      <c r="D64" s="1" t="s">
        <v>98</v>
      </c>
      <c r="E64" s="1" t="s">
        <v>99</v>
      </c>
      <c r="F64" s="1" t="str" cm="1">
        <f t="array" ref="F64">_xll.BDP(G64,"DS004")</f>
        <v>PEN</v>
      </c>
      <c r="G64" s="1" t="str">
        <f>D64&amp; " pe Equity"</f>
        <v>VOLCABC1 pe Equity</v>
      </c>
      <c r="H64" s="1" t="str">
        <f>+_xll.BDP($G64,"Name")</f>
        <v>VOLCAN CIA MINERA SAA-CMN B</v>
      </c>
      <c r="I64" s="1" t="str">
        <f>+_xlfn.CONCAT(Tabla1[[#This Row],[Fecha de compra]],Tabla1[[#This Row],[Ticker]],Tabla1[[#This Row],[Q]])</f>
        <v>45968VOLCABC1440</v>
      </c>
      <c r="J64" s="7">
        <v>440</v>
      </c>
      <c r="K64" s="1">
        <v>0.46300000000000002</v>
      </c>
      <c r="L64" s="2">
        <f>+Tabla1[[#This Row],[Q]]*Tabla1[[#This Row],[P]]</f>
        <v>203.72</v>
      </c>
      <c r="M64" s="23">
        <f>+VLOOKUP(Tabla1[[#This Row],[Identificador]],'P&amp;L Total'!A:L,12,FALSE)</f>
        <v>3.145970534781288E-2</v>
      </c>
      <c r="N64" s="4">
        <f>WORKDAY(Tabla1[[#This Row],[Fecha de compra]],0)</f>
        <v>45968</v>
      </c>
      <c r="O64" s="1" t="s">
        <v>195</v>
      </c>
    </row>
    <row r="65" spans="1:15">
      <c r="A65" s="4" t="str">
        <f>+IF(COUNTIF(Tabla2[Cod_ope],Tabla1[[#This Row],[Cod_Ope]])&gt;0,"out","stock")</f>
        <v>out</v>
      </c>
      <c r="B65" s="4">
        <v>45968</v>
      </c>
      <c r="C65" s="1">
        <v>39592</v>
      </c>
      <c r="D65" s="1" t="s">
        <v>56</v>
      </c>
      <c r="E65" s="1" t="s">
        <v>57</v>
      </c>
      <c r="F65" s="1" t="str" cm="1">
        <f t="array" ref="F65">_xll.BDP(G65,"DS004")</f>
        <v>USD</v>
      </c>
      <c r="G65" s="1" t="str">
        <f>D65&amp; " US Equity"</f>
        <v>SPY US Equity</v>
      </c>
      <c r="H65" s="1" t="str">
        <f>+_xll.BDP($G65,"Name")</f>
        <v>SS SPDR S&amp;P 500 ETF TRUST-US</v>
      </c>
      <c r="I65" s="1" t="str">
        <f>+_xlfn.CONCAT(Tabla1[[#This Row],[Fecha de compra]],Tabla1[[#This Row],[Ticker]],Tabla1[[#This Row],[Q]])</f>
        <v>45968SPY90</v>
      </c>
      <c r="J65" s="7">
        <v>90</v>
      </c>
      <c r="K65" s="1">
        <v>663.09</v>
      </c>
      <c r="L65" s="2">
        <f>+Tabla1[[#This Row],[Q]]*Tabla1[[#This Row],[P]]</f>
        <v>59678.100000000006</v>
      </c>
      <c r="M65" s="23">
        <f>+VLOOKUP(Tabla1[[#This Row],[Identificador]],'P&amp;L Total'!A:L,12,FALSE)</f>
        <v>3.6936014033720738E-2</v>
      </c>
      <c r="N65" s="4">
        <f>WORKDAY(Tabla1[[#This Row],[Fecha de compra]],0)</f>
        <v>45968</v>
      </c>
      <c r="O65" s="1" t="s">
        <v>195</v>
      </c>
    </row>
    <row r="66" spans="1:15">
      <c r="A66" s="4" t="str">
        <f>+IF(COUNTIF(Tabla2[Cod_ope],Tabla1[[#This Row],[Cod_Ope]])&gt;0,"out","stock")</f>
        <v>out</v>
      </c>
      <c r="B66" s="4">
        <v>45968</v>
      </c>
      <c r="C66" s="1">
        <v>39592</v>
      </c>
      <c r="D66" s="1" t="s">
        <v>104</v>
      </c>
      <c r="E66" s="1" t="s">
        <v>105</v>
      </c>
      <c r="F66" s="1" t="str" cm="1">
        <f t="array" ref="F66">_xll.BDP(G66,"DS004")</f>
        <v>USD</v>
      </c>
      <c r="G66" s="1" t="str">
        <f>D66&amp; " US Equity"</f>
        <v>QQQ US Equity</v>
      </c>
      <c r="H66" s="1" t="str">
        <f>+_xll.BDP($G66,"Name")</f>
        <v>INVESCO QQQ TRUST SERIES 1</v>
      </c>
      <c r="I66" s="1" t="str">
        <f>+_xlfn.CONCAT(Tabla1[[#This Row],[Fecha de compra]],Tabla1[[#This Row],[Ticker]],Tabla1[[#This Row],[Q]])</f>
        <v>45968QQQ83</v>
      </c>
      <c r="J66" s="7">
        <v>83</v>
      </c>
      <c r="K66" s="1">
        <v>601.32000000000005</v>
      </c>
      <c r="L66" s="2">
        <f>+Tabla1[[#This Row],[Q]]*Tabla1[[#This Row],[P]]</f>
        <v>49909.560000000005</v>
      </c>
      <c r="M66" s="23">
        <f>+VLOOKUP(Tabla1[[#This Row],[Identificador]],'P&amp;L Total'!A:L,12,FALSE)</f>
        <v>2.0044585970000948E-2</v>
      </c>
      <c r="N66" s="4">
        <f>WORKDAY(Tabla1[[#This Row],[Fecha de compra]],0)</f>
        <v>45968</v>
      </c>
      <c r="O66" s="1" t="s">
        <v>195</v>
      </c>
    </row>
    <row r="67" spans="1:15">
      <c r="A67" s="4" t="str">
        <f>+IF(COUNTIF(Tabla2[Cod_ope],Tabla1[[#This Row],[Cod_Ope]])&gt;0,"out","stock")</f>
        <v>stock</v>
      </c>
      <c r="B67" s="4">
        <v>45973</v>
      </c>
      <c r="C67" s="1">
        <v>39592</v>
      </c>
      <c r="D67" s="1" t="s">
        <v>106</v>
      </c>
      <c r="E67" s="1" t="s">
        <v>107</v>
      </c>
      <c r="F67" s="1" t="str" cm="1">
        <f t="array" ref="F67">_xll.BDP(G67,"DS004")</f>
        <v>USD</v>
      </c>
      <c r="G67" s="1" t="str">
        <f>D67&amp; " US Equity"</f>
        <v>BAP US Equity</v>
      </c>
      <c r="H67" s="1" t="str">
        <f>+_xll.BDP($G67,"Name")</f>
        <v>CREDICORP LTD</v>
      </c>
      <c r="I67" s="1" t="str">
        <f>+_xlfn.CONCAT(Tabla1[[#This Row],[Fecha de compra]],Tabla1[[#This Row],[Ticker]],Tabla1[[#This Row],[Q]])</f>
        <v>45973BAP383</v>
      </c>
      <c r="J67" s="7">
        <v>383</v>
      </c>
      <c r="K67" s="1">
        <v>260.73500000000001</v>
      </c>
      <c r="L67" s="2">
        <f>+Tabla1[[#This Row],[Q]]*Tabla1[[#This Row],[P]]</f>
        <v>99861.505000000005</v>
      </c>
      <c r="M67" s="23">
        <f>+VLOOKUP(Tabla1[[#This Row],[Identificador]],'P&amp;L Total'!A:L,12,FALSE)</f>
        <v>0.15438164630579276</v>
      </c>
      <c r="N67" s="4">
        <f>WORKDAY(Tabla1[[#This Row],[Fecha de compra]],0)</f>
        <v>45973</v>
      </c>
      <c r="O67" s="1" t="s">
        <v>195</v>
      </c>
    </row>
    <row r="68" spans="1:15">
      <c r="A68" s="4" t="str">
        <f>+IF(COUNTIF(Tabla2[Cod_ope],Tabla1[[#This Row],[Cod_Ope]])&gt;0,"out","stock")</f>
        <v>out</v>
      </c>
      <c r="B68" s="4">
        <v>45973</v>
      </c>
      <c r="C68" s="1">
        <v>39592</v>
      </c>
      <c r="D68" s="1" t="s">
        <v>54</v>
      </c>
      <c r="E68" s="1" t="s">
        <v>55</v>
      </c>
      <c r="F68" s="1" t="str" cm="1">
        <f t="array" ref="F68">_xll.BDP(G68,"DS004")</f>
        <v>USD</v>
      </c>
      <c r="G68" s="1" t="str">
        <f>D68&amp; " US Equity"</f>
        <v>PLTR US Equity</v>
      </c>
      <c r="H68" s="1" t="str">
        <f>+_xll.BDP($G68,"Name")</f>
        <v>PALANTIR TECHNOLOGIES INC-A</v>
      </c>
      <c r="I68" s="1" t="str">
        <f>+_xlfn.CONCAT(Tabla1[[#This Row],[Fecha de compra]],Tabla1[[#This Row],[Ticker]],Tabla1[[#This Row],[Q]])</f>
        <v>45973PLTR439</v>
      </c>
      <c r="J68" s="7">
        <v>439</v>
      </c>
      <c r="K68" s="1">
        <v>181.99</v>
      </c>
      <c r="L68" s="2">
        <f>+Tabla1[[#This Row],[Q]]*Tabla1[[#This Row],[P]]</f>
        <v>79893.61</v>
      </c>
      <c r="M68" s="23">
        <f>+VLOOKUP(Tabla1[[#This Row],[Identificador]],'P&amp;L Total'!A:L,12,FALSE)</f>
        <v>4.8158250908487937E-2</v>
      </c>
      <c r="N68" s="4">
        <f>WORKDAY(Tabla1[[#This Row],[Fecha de compra]],0)</f>
        <v>45973</v>
      </c>
      <c r="O68" s="1" t="s">
        <v>195</v>
      </c>
    </row>
    <row r="69" spans="1:15">
      <c r="A69" s="4" t="str">
        <f>+IF(COUNTIF(Tabla2[Cod_ope],Tabla1[[#This Row],[Cod_Ope]])&gt;0,"out","stock")</f>
        <v>stock</v>
      </c>
      <c r="B69" s="4">
        <v>45973</v>
      </c>
      <c r="C69" s="1">
        <v>39592</v>
      </c>
      <c r="D69" s="1" t="s">
        <v>108</v>
      </c>
      <c r="E69" s="1" t="s">
        <v>109</v>
      </c>
      <c r="F69" s="1" t="str" cm="1">
        <f t="array" ref="F69">_xll.BDP(G69,"DS004")</f>
        <v>USD</v>
      </c>
      <c r="G69" s="1" t="str">
        <f>D69&amp; " US Equity"</f>
        <v>TTWO US Equity</v>
      </c>
      <c r="H69" s="1" t="str">
        <f>+_xll.BDP($G69,"Name")</f>
        <v>TAKE-TWO INTERACTIVE SOFTWRE</v>
      </c>
      <c r="I69" s="1" t="str">
        <f>+_xlfn.CONCAT(Tabla1[[#This Row],[Fecha de compra]],Tabla1[[#This Row],[Ticker]],Tabla1[[#This Row],[Q]])</f>
        <v>45973TTWO330</v>
      </c>
      <c r="J69" s="7">
        <v>330</v>
      </c>
      <c r="K69" s="1">
        <v>241.52</v>
      </c>
      <c r="L69" s="2">
        <f>+Tabla1[[#This Row],[Q]]*Tabla1[[#This Row],[P]]</f>
        <v>79701.600000000006</v>
      </c>
      <c r="M69" s="23">
        <f>+VLOOKUP(Tabla1[[#This Row],[Identificador]],'P&amp;L Total'!A:L,12,FALSE)</f>
        <v>-0.13431599867505792</v>
      </c>
      <c r="N69" s="4">
        <f>WORKDAY(Tabla1[[#This Row],[Fecha de compra]],1)</f>
        <v>45974</v>
      </c>
      <c r="O69" s="1" t="s">
        <v>195</v>
      </c>
    </row>
    <row r="70" spans="1:15">
      <c r="A70" s="4" t="str">
        <f>+IF(COUNTIF(Tabla2[Cod_ope],Tabla1[[#This Row],[Cod_Ope]])&gt;0,"out","stock")</f>
        <v>stock</v>
      </c>
      <c r="B70" s="4">
        <v>45974</v>
      </c>
      <c r="C70" s="1">
        <v>39592</v>
      </c>
      <c r="D70" s="1" t="s">
        <v>112</v>
      </c>
      <c r="E70" s="1" t="s">
        <v>113</v>
      </c>
      <c r="F70" s="1" t="str" cm="1">
        <f t="array" ref="F70">_xll.BDP(G70,"DS004")</f>
        <v>USD</v>
      </c>
      <c r="G70" s="1" t="str">
        <f>D70&amp; " US Equity"</f>
        <v>TAN US Equity</v>
      </c>
      <c r="H70" s="1" t="str">
        <f>+_xll.BDP($G70,"Name")</f>
        <v>INVESCO SOLAR ETF</v>
      </c>
      <c r="I70" s="1" t="str">
        <f>+_xlfn.CONCAT(Tabla1[[#This Row],[Fecha de compra]],Tabla1[[#This Row],[Ticker]],Tabla1[[#This Row],[Q]])</f>
        <v>45974TAN1019</v>
      </c>
      <c r="J70" s="7">
        <v>1019</v>
      </c>
      <c r="K70" s="1">
        <v>49</v>
      </c>
      <c r="L70" s="2">
        <f>+Tabla1[[#This Row],[Q]]*Tabla1[[#This Row],[P]]</f>
        <v>49931</v>
      </c>
      <c r="M70" s="23">
        <f>+VLOOKUP(Tabla1[[#This Row],[Identificador]],'P&amp;L Total'!A:L,12,FALSE)</f>
        <v>0.1204081632653061</v>
      </c>
      <c r="N70" s="4">
        <f>WORKDAY(Tabla1[[#This Row],[Fecha de compra]],0)</f>
        <v>45974</v>
      </c>
      <c r="O70" s="1" t="s">
        <v>195</v>
      </c>
    </row>
    <row r="71" spans="1:15">
      <c r="A71" s="4" t="str">
        <f>+IF(COUNTIF(Tabla2[Cod_ope],Tabla1[[#This Row],[Cod_Ope]])&gt;0,"out","stock")</f>
        <v>stock</v>
      </c>
      <c r="B71" s="4">
        <v>45974</v>
      </c>
      <c r="C71" s="1">
        <v>39592</v>
      </c>
      <c r="D71" s="1" t="s">
        <v>114</v>
      </c>
      <c r="E71" s="1" t="s">
        <v>115</v>
      </c>
      <c r="F71" s="1" t="str" cm="1">
        <f t="array" ref="F71">_xll.BDP(G71,"DS004")</f>
        <v>USD</v>
      </c>
      <c r="G71" s="1" t="str">
        <f>D71&amp; " US Equity"</f>
        <v>ICLN US Equity</v>
      </c>
      <c r="H71" s="1" t="str">
        <f>+_xll.BDP($G71,"Name")</f>
        <v>ISHARES GLOBAL CLEAN ENERGY</v>
      </c>
      <c r="I71" s="1" t="str">
        <f>+_xlfn.CONCAT(Tabla1[[#This Row],[Fecha de compra]],Tabla1[[#This Row],[Ticker]],Tabla1[[#This Row],[Q]])</f>
        <v>45974ICLN4702</v>
      </c>
      <c r="J71" s="7">
        <v>4702</v>
      </c>
      <c r="K71" s="1">
        <v>16.989899999999999</v>
      </c>
      <c r="L71" s="2">
        <f>+Tabla1[[#This Row],[Q]]*Tabla1[[#This Row],[P]]</f>
        <v>79886.5098</v>
      </c>
      <c r="M71" s="23">
        <f>+VLOOKUP(Tabla1[[#This Row],[Identificador]],'P&amp;L Total'!A:L,12,FALSE)</f>
        <v>8.1713253168058678E-2</v>
      </c>
      <c r="N71" s="4">
        <f>WORKDAY(Tabla1[[#This Row],[Fecha de compra]],0)</f>
        <v>45974</v>
      </c>
      <c r="O71" s="1" t="s">
        <v>195</v>
      </c>
    </row>
    <row r="72" spans="1:15">
      <c r="A72" s="4" t="str">
        <f>+IF(COUNTIF(Tabla2[Cod_ope],Tabla1[[#This Row],[Cod_Ope]])&gt;0,"out","stock")</f>
        <v>out</v>
      </c>
      <c r="B72" s="4">
        <v>45974</v>
      </c>
      <c r="C72" s="1">
        <v>39592</v>
      </c>
      <c r="D72" s="1" t="s">
        <v>54</v>
      </c>
      <c r="E72" s="1" t="s">
        <v>55</v>
      </c>
      <c r="F72" s="1" t="str" cm="1">
        <f t="array" ref="F72">_xll.BDP(G72,"DS004")</f>
        <v>USD</v>
      </c>
      <c r="G72" s="1" t="str">
        <f>D72&amp; " US Equity"</f>
        <v>PLTR US Equity</v>
      </c>
      <c r="H72" s="1" t="str">
        <f>+_xll.BDP($G72,"Name")</f>
        <v>PALANTIR TECHNOLOGIES INC-A</v>
      </c>
      <c r="I72" s="1" t="str">
        <f>+_xlfn.CONCAT(Tabla1[[#This Row],[Fecha de compra]],Tabla1[[#This Row],[Ticker]],Tabla1[[#This Row],[Q]])</f>
        <v>45974PLTR172</v>
      </c>
      <c r="J72" s="7">
        <v>172</v>
      </c>
      <c r="K72" s="1">
        <v>173.92</v>
      </c>
      <c r="L72" s="2">
        <f>+Tabla1[[#This Row],[Q]]*Tabla1[[#This Row],[P]]</f>
        <v>29914.239999999998</v>
      </c>
      <c r="M72" s="23">
        <f>+VLOOKUP(Tabla1[[#This Row],[Identificador]],'P&amp;L Total'!A:L,12,FALSE)</f>
        <v>4.8158250908487937E-2</v>
      </c>
      <c r="N72" s="4">
        <f>WORKDAY(Tabla1[[#This Row],[Fecha de compra]],0)</f>
        <v>45974</v>
      </c>
      <c r="O72" s="1" t="s">
        <v>195</v>
      </c>
    </row>
    <row r="73" spans="1:15">
      <c r="A73" s="4" t="str">
        <f>+IF(COUNTIF(Tabla2[Cod_ope],Tabla1[[#This Row],[Cod_Ope]])&gt;0,"out","stock")</f>
        <v>stock</v>
      </c>
      <c r="B73" s="4">
        <v>45974</v>
      </c>
      <c r="C73" s="1">
        <v>39592</v>
      </c>
      <c r="D73" s="1" t="s">
        <v>110</v>
      </c>
      <c r="E73" s="1" t="s">
        <v>111</v>
      </c>
      <c r="F73" s="1" t="str" cm="1">
        <f t="array" ref="F73">_xll.BDP(G73,"DS004")</f>
        <v>USD</v>
      </c>
      <c r="G73" s="1" t="str">
        <f>D73&amp; " US Equity"</f>
        <v>DIS US Equity</v>
      </c>
      <c r="H73" s="1" t="str">
        <f>+_xll.BDP($G73,"Name")</f>
        <v>WALT DISNEY CO/THE</v>
      </c>
      <c r="I73" s="1" t="str">
        <f>+_xlfn.CONCAT(Tabla1[[#This Row],[Fecha de compra]],Tabla1[[#This Row],[Ticker]],Tabla1[[#This Row],[Q]])</f>
        <v>45974DIS752</v>
      </c>
      <c r="J73" s="7">
        <v>752</v>
      </c>
      <c r="K73" s="1">
        <v>106.14</v>
      </c>
      <c r="L73" s="2">
        <f>+Tabla1[[#This Row],[Q]]*Tabla1[[#This Row],[P]]</f>
        <v>79817.279999999999</v>
      </c>
      <c r="M73" s="23">
        <f>+VLOOKUP(Tabla1[[#This Row],[Identificador]],'P&amp;L Total'!A:L,12,FALSE)</f>
        <v>-3.8345581307706794E-2</v>
      </c>
      <c r="N73" s="4">
        <f>WORKDAY(Tabla1[[#This Row],[Fecha de compra]],0)</f>
        <v>45974</v>
      </c>
      <c r="O73" s="1" t="s">
        <v>195</v>
      </c>
    </row>
    <row r="74" spans="1:15">
      <c r="A74" s="4" t="str">
        <f>+IF(COUNTIF(Tabla2[Cod_ope],Tabla1[[#This Row],[Cod_Ope]])&gt;0,"out","stock")</f>
        <v>stock</v>
      </c>
      <c r="B74" s="4">
        <v>45975</v>
      </c>
      <c r="C74" s="1">
        <v>39592</v>
      </c>
      <c r="D74" s="1" t="s">
        <v>52</v>
      </c>
      <c r="E74" s="1" t="s">
        <v>53</v>
      </c>
      <c r="F74" s="1" t="str" cm="1">
        <f t="array" ref="F74">_xll.BDP(G74,"DS004")</f>
        <v>USD</v>
      </c>
      <c r="G74" s="1" t="str">
        <f>D74&amp; " US Equity"</f>
        <v>XLU US Equity</v>
      </c>
      <c r="H74" s="1" t="str">
        <f>+_xll.BDP($G74,"Name")</f>
        <v>ST SR UTL SL SE SPDR ETF-USD</v>
      </c>
      <c r="I74" s="1" t="str">
        <f>+_xlfn.CONCAT(Tabla1[[#This Row],[Fecha de compra]],Tabla1[[#This Row],[Ticker]],Tabla1[[#This Row],[Q]])</f>
        <v>45975XLU1128</v>
      </c>
      <c r="J74" s="7">
        <f>564*2</f>
        <v>1128</v>
      </c>
      <c r="K74" s="1">
        <f>88.4499/2</f>
        <v>44.22495</v>
      </c>
      <c r="L74" s="2">
        <f>+Tabla1[[#This Row],[Q]]*Tabla1[[#This Row],[P]]</f>
        <v>49885.743600000002</v>
      </c>
      <c r="M74" s="23">
        <f>+VLOOKUP(Tabla1[[#This Row],[Identificador]],'P&amp;L Total'!A:L,12,FALSE)</f>
        <v>7.1288450342394741E-2</v>
      </c>
      <c r="N74" s="4">
        <f>WORKDAY(Tabla1[[#This Row],[Fecha de compra]],0)</f>
        <v>45975</v>
      </c>
      <c r="O74" s="1" t="s">
        <v>195</v>
      </c>
    </row>
    <row r="75" spans="1:15">
      <c r="A75" s="4" t="str">
        <f>+IF(COUNTIF(Tabla2[Cod_ope],Tabla1[[#This Row],[Cod_Ope]])&gt;0,"out","stock")</f>
        <v>out</v>
      </c>
      <c r="B75" s="4">
        <v>45975</v>
      </c>
      <c r="C75" s="1">
        <v>39592</v>
      </c>
      <c r="D75" s="1" t="s">
        <v>54</v>
      </c>
      <c r="E75" s="1" t="s">
        <v>55</v>
      </c>
      <c r="F75" s="1" t="str" cm="1">
        <f t="array" ref="F75">_xll.BDP(G75,"DS004")</f>
        <v>USD</v>
      </c>
      <c r="G75" s="1" t="str">
        <f>D75&amp; " US Equity"</f>
        <v>PLTR US Equity</v>
      </c>
      <c r="H75" s="1" t="str">
        <f>+_xll.BDP($G75,"Name")</f>
        <v>PALANTIR TECHNOLOGIES INC-A</v>
      </c>
      <c r="I75" s="1" t="str">
        <f>+_xlfn.CONCAT(Tabla1[[#This Row],[Fecha de compra]],Tabla1[[#This Row],[Ticker]],Tabla1[[#This Row],[Q]])</f>
        <v>45975PLTR300</v>
      </c>
      <c r="J75" s="7">
        <v>300</v>
      </c>
      <c r="K75" s="1">
        <v>166.75</v>
      </c>
      <c r="L75" s="2">
        <f>+Tabla1[[#This Row],[Q]]*Tabla1[[#This Row],[P]]</f>
        <v>50025</v>
      </c>
      <c r="M75" s="23">
        <f>+VLOOKUP(Tabla1[[#This Row],[Identificador]],'P&amp;L Total'!A:L,12,FALSE)</f>
        <v>4.8158250908487937E-2</v>
      </c>
      <c r="N75" s="4">
        <f>WORKDAY(Tabla1[[#This Row],[Fecha de compra]],0)</f>
        <v>45975</v>
      </c>
      <c r="O75" s="1" t="s">
        <v>195</v>
      </c>
    </row>
    <row r="76" spans="1:15">
      <c r="A76" s="4" t="str">
        <f>+IF(COUNTIF(Tabla2[Cod_ope],Tabla1[[#This Row],[Cod_Ope]])&gt;0,"out","stock")</f>
        <v>out</v>
      </c>
      <c r="B76" s="4">
        <v>45975</v>
      </c>
      <c r="C76" s="1">
        <v>39592</v>
      </c>
      <c r="D76" s="1" t="s">
        <v>56</v>
      </c>
      <c r="E76" s="1" t="s">
        <v>57</v>
      </c>
      <c r="F76" s="1" t="str" cm="1">
        <f t="array" ref="F76">_xll.BDP(G76,"DS004")</f>
        <v>USD</v>
      </c>
      <c r="G76" s="1" t="str">
        <f>D76&amp; " US Equity"</f>
        <v>SPY US Equity</v>
      </c>
      <c r="H76" s="1" t="str">
        <f>+_xll.BDP($G76,"Name")</f>
        <v>SS SPDR S&amp;P 500 ETF TRUST-US</v>
      </c>
      <c r="I76" s="1" t="str">
        <f>+_xlfn.CONCAT(Tabla1[[#This Row],[Fecha de compra]],Tabla1[[#This Row],[Ticker]],Tabla1[[#This Row],[Q]])</f>
        <v>45975SPY75</v>
      </c>
      <c r="J76" s="7">
        <v>75</v>
      </c>
      <c r="K76" s="1">
        <v>665.29899999999998</v>
      </c>
      <c r="L76" s="2">
        <f>+Tabla1[[#This Row],[Q]]*Tabla1[[#This Row],[P]]</f>
        <v>49897.424999999996</v>
      </c>
      <c r="M76" s="23">
        <f>+VLOOKUP(Tabla1[[#This Row],[Identificador]],'P&amp;L Total'!A:L,12,FALSE)</f>
        <v>3.6936014033720738E-2</v>
      </c>
      <c r="N76" s="4">
        <f>WORKDAY(Tabla1[[#This Row],[Fecha de compra]],0)</f>
        <v>45975</v>
      </c>
      <c r="O76" s="1" t="s">
        <v>195</v>
      </c>
    </row>
    <row r="77" spans="1:15">
      <c r="A77" s="4" t="str">
        <f>+IF(COUNTIF(Tabla2[Cod_ope],Tabla1[[#This Row],[Cod_Ope]])&gt;0,"out","stock")</f>
        <v>out</v>
      </c>
      <c r="B77" s="4">
        <v>45975</v>
      </c>
      <c r="C77" s="1">
        <v>39592</v>
      </c>
      <c r="D77" s="1" t="s">
        <v>104</v>
      </c>
      <c r="E77" s="1" t="s">
        <v>105</v>
      </c>
      <c r="F77" s="1" t="str" cm="1">
        <f t="array" ref="F77">_xll.BDP(G77,"DS004")</f>
        <v>USD</v>
      </c>
      <c r="G77" s="1" t="str">
        <f>D77&amp; " US Equity"</f>
        <v>QQQ US Equity</v>
      </c>
      <c r="H77" s="1" t="str">
        <f>+_xll.BDP($G77,"Name")</f>
        <v>INVESCO QQQ TRUST SERIES 1</v>
      </c>
      <c r="I77" s="1" t="str">
        <f>+_xlfn.CONCAT(Tabla1[[#This Row],[Fecha de compra]],Tabla1[[#This Row],[Ticker]],Tabla1[[#This Row],[Q]])</f>
        <v>45975QQQ83</v>
      </c>
      <c r="J77" s="7">
        <v>83</v>
      </c>
      <c r="K77" s="1">
        <v>599.34</v>
      </c>
      <c r="L77" s="2">
        <f>+Tabla1[[#This Row],[Q]]*Tabla1[[#This Row],[P]]</f>
        <v>49745.22</v>
      </c>
      <c r="M77" s="23">
        <f>+VLOOKUP(Tabla1[[#This Row],[Identificador]],'P&amp;L Total'!A:L,12,FALSE)</f>
        <v>2.0044585970000948E-2</v>
      </c>
      <c r="N77" s="4">
        <f>WORKDAY(Tabla1[[#This Row],[Fecha de compra]],0)</f>
        <v>45975</v>
      </c>
      <c r="O77" s="1" t="s">
        <v>195</v>
      </c>
    </row>
    <row r="78" spans="1:15">
      <c r="A78" s="4" t="str">
        <f>+IF(COUNTIF(Tabla2[Cod_ope],Tabla1[[#This Row],[Cod_Ope]])&gt;0,"out","stock")</f>
        <v>stock</v>
      </c>
      <c r="B78" s="4">
        <v>45975</v>
      </c>
      <c r="C78" s="1">
        <v>39592</v>
      </c>
      <c r="D78" s="1" t="s">
        <v>50</v>
      </c>
      <c r="E78" s="1" t="s">
        <v>51</v>
      </c>
      <c r="F78" s="1" t="str" cm="1">
        <f t="array" ref="F78">_xll.BDP(G78,"DS004")</f>
        <v>USD</v>
      </c>
      <c r="G78" s="1" t="str">
        <f>D78&amp; " US Equity"</f>
        <v>XLY US Equity</v>
      </c>
      <c r="H78" s="1" t="str">
        <f>+_xll.BDP($G78,"Name")</f>
        <v>SS CONSUMER DISC SELECT SECT</v>
      </c>
      <c r="I78" s="1" t="str">
        <f>+_xlfn.CONCAT(Tabla1[[#This Row],[Fecha de compra]],Tabla1[[#This Row],[Ticker]],Tabla1[[#This Row],[Q]])</f>
        <v>45975XLY434</v>
      </c>
      <c r="J78" s="7">
        <f>217*2</f>
        <v>434</v>
      </c>
      <c r="K78" s="1">
        <f>229.74/2</f>
        <v>114.87</v>
      </c>
      <c r="L78" s="2">
        <f>+Tabla1[[#This Row],[Q]]*Tabla1[[#This Row],[P]]</f>
        <v>49853.58</v>
      </c>
      <c r="M78" s="23">
        <f>+VLOOKUP(Tabla1[[#This Row],[Identificador]],'P&amp;L Total'!A:L,12,FALSE)</f>
        <v>-2.4749211857159687E-2</v>
      </c>
      <c r="N78" s="4">
        <f>WORKDAY(Tabla1[[#This Row],[Fecha de compra]],0)</f>
        <v>45975</v>
      </c>
      <c r="O78" s="1" t="s">
        <v>195</v>
      </c>
    </row>
    <row r="79" spans="1:15">
      <c r="A79" s="4" t="str">
        <f>+IF(COUNTIF(Tabla2[Cod_ope],Tabla1[[#This Row],[Cod_Ope]])&gt;0,"out","stock")</f>
        <v>stock</v>
      </c>
      <c r="B79" s="4">
        <v>45988</v>
      </c>
      <c r="C79" s="1">
        <v>39592</v>
      </c>
      <c r="D79" s="1" t="s">
        <v>116</v>
      </c>
      <c r="E79" s="1" t="s">
        <v>117</v>
      </c>
      <c r="F79" s="1" t="str" cm="1">
        <f t="array" ref="F79">_xll.BDP(G79,"DS004")</f>
        <v>PEN</v>
      </c>
      <c r="G79" s="1" t="str">
        <f>D79&amp; " pe Equity"</f>
        <v>ORYGENC1 pe Equity</v>
      </c>
      <c r="H79" s="1" t="str">
        <f>+_xll.BDP($G79,"Name")</f>
        <v>ORYGEN PERU SAA</v>
      </c>
      <c r="I79" s="1" t="str">
        <f>+_xlfn.CONCAT(Tabla1[[#This Row],[Fecha de compra]],Tabla1[[#This Row],[Ticker]],Tabla1[[#This Row],[Q]])</f>
        <v>45988ORYGENC13829</v>
      </c>
      <c r="J79" s="7">
        <v>3829</v>
      </c>
      <c r="K79" s="1">
        <v>2.4</v>
      </c>
      <c r="L79" s="2">
        <f>+Tabla1[[#This Row],[Q]]*Tabla1[[#This Row],[P]]</f>
        <v>9189.6</v>
      </c>
      <c r="M79" s="23">
        <f>+VLOOKUP(Tabla1[[#This Row],[Identificador]],'P&amp;L Total'!A:L,12,FALSE)</f>
        <v>0.30369888598737149</v>
      </c>
      <c r="N79" s="4">
        <f>WORKDAY(Tabla1[[#This Row],[Fecha de compra]],0)</f>
        <v>45988</v>
      </c>
      <c r="O79" s="1" t="s">
        <v>195</v>
      </c>
    </row>
    <row r="80" spans="1:15">
      <c r="A80" s="4" t="str">
        <f>+IF(COUNTIF(Tabla2[Cod_ope],Tabla1[[#This Row],[Cod_Ope]])&gt;0,"out","stock")</f>
        <v>stock</v>
      </c>
      <c r="B80" s="4">
        <v>45989</v>
      </c>
      <c r="C80" s="1">
        <v>39592</v>
      </c>
      <c r="D80" s="1" t="s">
        <v>116</v>
      </c>
      <c r="E80" s="1" t="s">
        <v>117</v>
      </c>
      <c r="F80" s="1" t="str" cm="1">
        <f t="array" ref="F80">_xll.BDP(G80,"DS004")</f>
        <v>PEN</v>
      </c>
      <c r="G80" s="1" t="str">
        <f>D80&amp; " pe Equity"</f>
        <v>ORYGENC1 pe Equity</v>
      </c>
      <c r="H80" s="1" t="str">
        <f>+_xll.BDP($G80,"Name")</f>
        <v>ORYGEN PERU SAA</v>
      </c>
      <c r="I80" s="1" t="str">
        <f>+_xlfn.CONCAT(Tabla1[[#This Row],[Fecha de compra]],Tabla1[[#This Row],[Ticker]],Tabla1[[#This Row],[Q]])</f>
        <v>45989ORYGENC115000</v>
      </c>
      <c r="J80" s="7">
        <v>15000</v>
      </c>
      <c r="K80" s="1">
        <v>2.42</v>
      </c>
      <c r="L80" s="2">
        <f>+Tabla1[[#This Row],[Q]]*Tabla1[[#This Row],[P]]</f>
        <v>36300</v>
      </c>
      <c r="M80" s="23">
        <f>+VLOOKUP(Tabla1[[#This Row],[Identificador]],'P&amp;L Total'!A:L,12,FALSE)</f>
        <v>0.30369888598737149</v>
      </c>
      <c r="N80" s="4">
        <f>WORKDAY(Tabla1[[#This Row],[Fecha de compra]],0)</f>
        <v>45989</v>
      </c>
      <c r="O80" s="1" t="s">
        <v>195</v>
      </c>
    </row>
    <row r="81" spans="1:15">
      <c r="A81" s="4" t="str">
        <f>+IF(COUNTIF(Tabla2[Cod_ope],Tabla1[[#This Row],[Cod_Ope]])&gt;0,"out","stock")</f>
        <v>stock</v>
      </c>
      <c r="B81" s="4">
        <v>45989</v>
      </c>
      <c r="C81" s="1">
        <v>39592</v>
      </c>
      <c r="D81" s="1" t="s">
        <v>116</v>
      </c>
      <c r="E81" s="1" t="s">
        <v>117</v>
      </c>
      <c r="F81" s="1" t="str" cm="1">
        <f t="array" ref="F81">_xll.BDP(G81,"DS004")</f>
        <v>PEN</v>
      </c>
      <c r="G81" s="1" t="str">
        <f>D81&amp; " pe Equity"</f>
        <v>ORYGENC1 pe Equity</v>
      </c>
      <c r="H81" s="1" t="str">
        <f>+_xll.BDP($G81,"Name")</f>
        <v>ORYGEN PERU SAA</v>
      </c>
      <c r="I81" s="1" t="str">
        <f>+_xlfn.CONCAT(Tabla1[[#This Row],[Fecha de compra]],Tabla1[[#This Row],[Ticker]],Tabla1[[#This Row],[Q]])</f>
        <v>45989ORYGENC115000</v>
      </c>
      <c r="J81" s="7">
        <v>15000</v>
      </c>
      <c r="K81" s="1">
        <v>2.41</v>
      </c>
      <c r="L81" s="2">
        <f>+Tabla1[[#This Row],[Q]]*Tabla1[[#This Row],[P]]</f>
        <v>36150</v>
      </c>
      <c r="M81" s="23">
        <f>+VLOOKUP(Tabla1[[#This Row],[Identificador]],'P&amp;L Total'!A:L,12,FALSE)</f>
        <v>0.30369888598737149</v>
      </c>
      <c r="N81" s="4">
        <f>WORKDAY(Tabla1[[#This Row],[Fecha de compra]],0)</f>
        <v>45989</v>
      </c>
      <c r="O81" s="1" t="s">
        <v>195</v>
      </c>
    </row>
    <row r="82" spans="1:15">
      <c r="A82" s="4" t="str">
        <f>+IF(COUNTIF(Tabla2[Cod_ope],Tabla1[[#This Row],[Cod_Ope]])&gt;0,"out","stock")</f>
        <v>stock</v>
      </c>
      <c r="B82" s="4">
        <v>45989</v>
      </c>
      <c r="C82" s="1">
        <v>39592</v>
      </c>
      <c r="D82" s="1" t="s">
        <v>116</v>
      </c>
      <c r="E82" s="1" t="s">
        <v>117</v>
      </c>
      <c r="F82" s="1" t="str" cm="1">
        <f t="array" ref="F82">_xll.BDP(G82,"DS004")</f>
        <v>PEN</v>
      </c>
      <c r="G82" s="1" t="str">
        <f>D82&amp; " pe Equity"</f>
        <v>ORYGENC1 pe Equity</v>
      </c>
      <c r="H82" s="1" t="str">
        <f>+_xll.BDP($G82,"Name")</f>
        <v>ORYGEN PERU SAA</v>
      </c>
      <c r="I82" s="1" t="str">
        <f>+_xlfn.CONCAT(Tabla1[[#This Row],[Fecha de compra]],Tabla1[[#This Row],[Ticker]],Tabla1[[#This Row],[Q]])</f>
        <v>45989ORYGENC115000</v>
      </c>
      <c r="J82" s="7">
        <v>15000</v>
      </c>
      <c r="K82" s="1">
        <v>2.4</v>
      </c>
      <c r="L82" s="2">
        <f>+Tabla1[[#This Row],[Q]]*Tabla1[[#This Row],[P]]</f>
        <v>36000</v>
      </c>
      <c r="M82" s="23">
        <f>+VLOOKUP(Tabla1[[#This Row],[Identificador]],'P&amp;L Total'!A:L,12,FALSE)</f>
        <v>0.30369888598737149</v>
      </c>
      <c r="N82" s="4">
        <f>WORKDAY(Tabla1[[#This Row],[Fecha de compra]],0)</f>
        <v>45989</v>
      </c>
      <c r="O82" s="1" t="s">
        <v>195</v>
      </c>
    </row>
    <row r="83" spans="1:15">
      <c r="A83" s="4" t="str">
        <f>+IF(COUNTIF(Tabla2[Cod_ope],Tabla1[[#This Row],[Cod_Ope]])&gt;0,"out","stock")</f>
        <v>stock</v>
      </c>
      <c r="B83" s="4">
        <v>46002</v>
      </c>
      <c r="C83" s="1">
        <v>39592</v>
      </c>
      <c r="D83" s="1" t="s">
        <v>118</v>
      </c>
      <c r="E83" s="1" t="s">
        <v>119</v>
      </c>
      <c r="F83" s="1" t="str" cm="1">
        <f t="array" ref="F83">_xll.BDP(G83,"DS004")</f>
        <v>USD</v>
      </c>
      <c r="G83" s="1" t="str">
        <f>D83&amp; " US Equity"</f>
        <v>JAVA US Equity</v>
      </c>
      <c r="H83" s="1" t="str">
        <f>+_xll.BDP($G83,"Name")</f>
        <v>JPMORGAN ACTIVE VALUE ETF</v>
      </c>
      <c r="I83" s="1" t="str">
        <f>+_xlfn.CONCAT(Tabla1[[#This Row],[Fecha de compra]],Tabla1[[#This Row],[Ticker]],Tabla1[[#This Row],[Q]])</f>
        <v>46002JAVA1000</v>
      </c>
      <c r="J83" s="7">
        <v>1000</v>
      </c>
      <c r="K83" s="1">
        <v>72.66</v>
      </c>
      <c r="L83" s="2">
        <f>+Tabla1[[#This Row],[Q]]*Tabla1[[#This Row],[P]]</f>
        <v>72660</v>
      </c>
      <c r="M83" s="23">
        <f>+VLOOKUP(Tabla1[[#This Row],[Identificador]],'P&amp;L Total'!A:L,12,FALSE)</f>
        <v>8.0635838150289012E-3</v>
      </c>
      <c r="N83" s="4">
        <f>WORKDAY(Tabla1[[#This Row],[Fecha de compra]],0)</f>
        <v>46002</v>
      </c>
      <c r="O83" s="1" t="s">
        <v>195</v>
      </c>
    </row>
    <row r="84" spans="1:15">
      <c r="A84" s="4" t="str">
        <f>+IF(COUNTIF(Tabla2[Cod_ope],Tabla1[[#This Row],[Cod_Ope]])&gt;0,"out","stock")</f>
        <v>stock</v>
      </c>
      <c r="B84" s="4">
        <v>46002</v>
      </c>
      <c r="C84" s="1">
        <v>39592</v>
      </c>
      <c r="D84" s="1" t="s">
        <v>120</v>
      </c>
      <c r="E84" s="1" t="s">
        <v>121</v>
      </c>
      <c r="F84" s="1" t="str" cm="1">
        <f t="array" ref="F84">_xll.BDP(G84,"DS004")</f>
        <v>USD</v>
      </c>
      <c r="G84" s="1" t="str">
        <f>D84&amp; " US Equity"</f>
        <v>JDOC US Equity</v>
      </c>
      <c r="H84" s="1" t="str">
        <f>+_xll.BDP($G84,"Name")</f>
        <v>JPMORGAN HEALTHCARE LEAD ETF</v>
      </c>
      <c r="I84" s="1" t="str">
        <f>+_xlfn.CONCAT(Tabla1[[#This Row],[Fecha de compra]],Tabla1[[#This Row],[Ticker]],Tabla1[[#This Row],[Q]])</f>
        <v>46002JDOC1500</v>
      </c>
      <c r="J84" s="7">
        <v>1500</v>
      </c>
      <c r="K84" s="1">
        <v>58.081000000000003</v>
      </c>
      <c r="L84" s="2">
        <f>+Tabla1[[#This Row],[Q]]*Tabla1[[#This Row],[P]]</f>
        <v>87121.5</v>
      </c>
      <c r="M84" s="23">
        <f>+VLOOKUP(Tabla1[[#This Row],[Identificador]],'P&amp;L Total'!A:L,12,FALSE)</f>
        <v>-1.3802435980464451E-2</v>
      </c>
      <c r="N84" s="4">
        <f>WORKDAY(Tabla1[[#This Row],[Fecha de compra]],0)</f>
        <v>46002</v>
      </c>
      <c r="O84" s="1" t="s">
        <v>195</v>
      </c>
    </row>
    <row r="85" spans="1:15">
      <c r="A85" s="4" t="str">
        <f>+IF(COUNTIF(Tabla2[Cod_ope],Tabla1[[#This Row],[Cod_Ope]])&gt;0,"out","stock")</f>
        <v>stock</v>
      </c>
      <c r="B85" s="4">
        <v>46002</v>
      </c>
      <c r="C85" s="1">
        <v>39592</v>
      </c>
      <c r="D85" s="1" t="s">
        <v>86</v>
      </c>
      <c r="E85" s="1" t="s">
        <v>87</v>
      </c>
      <c r="F85" s="1" t="str" cm="1">
        <f t="array" ref="F85">_xll.BDP(G85,"DS004")</f>
        <v>USD</v>
      </c>
      <c r="G85" s="1" t="str">
        <f>D85&amp; " US Equity"</f>
        <v>TCHI US Equity</v>
      </c>
      <c r="H85" s="1" t="str">
        <f>+_xll.BDP($G85,"Name")</f>
        <v>ISHARES MSCI CHINA TECH</v>
      </c>
      <c r="I85" s="1" t="str">
        <f>+_xlfn.CONCAT(Tabla1[[#This Row],[Fecha de compra]],Tabla1[[#This Row],[Ticker]],Tabla1[[#This Row],[Q]])</f>
        <v>46002TCHI3000</v>
      </c>
      <c r="J85" s="7">
        <v>3000</v>
      </c>
      <c r="K85" s="1">
        <v>24.056000000000001</v>
      </c>
      <c r="L85" s="2">
        <f>+Tabla1[[#This Row],[Q]]*Tabla1[[#This Row],[P]]</f>
        <v>72168</v>
      </c>
      <c r="M85" s="23">
        <f>+VLOOKUP(Tabla1[[#This Row],[Identificador]],'P&amp;L Total'!A:L,12,FALSE)</f>
        <v>-5.9251607862615144E-2</v>
      </c>
      <c r="N85" s="4">
        <f>WORKDAY(Tabla1[[#This Row],[Fecha de compra]],0)</f>
        <v>46002</v>
      </c>
      <c r="O85" s="1" t="s">
        <v>195</v>
      </c>
    </row>
    <row r="86" spans="1:15">
      <c r="A86" s="4" t="str">
        <f>+IF(COUNTIF(Tabla2[Cod_ope],Tabla1[[#This Row],[Cod_Ope]])&gt;0,"out","stock")</f>
        <v>stock</v>
      </c>
      <c r="B86" s="4">
        <v>46002</v>
      </c>
      <c r="C86" s="1">
        <v>39592</v>
      </c>
      <c r="D86" s="1" t="s">
        <v>70</v>
      </c>
      <c r="E86" s="1" t="s">
        <v>71</v>
      </c>
      <c r="F86" s="1" t="str" cm="1">
        <f t="array" ref="F86">_xll.BDP(G86,"DS004")</f>
        <v>USD</v>
      </c>
      <c r="G86" s="1" t="str">
        <f>D86&amp; " US Equity"</f>
        <v>KMB US Equity</v>
      </c>
      <c r="H86" s="1" t="str">
        <f>+_xll.BDP($G86,"Name")</f>
        <v>KIMBERLY-CLARK CORP</v>
      </c>
      <c r="I86" s="1" t="str">
        <f>+_xlfn.CONCAT(Tabla1[[#This Row],[Fecha de compra]],Tabla1[[#This Row],[Ticker]],Tabla1[[#This Row],[Q]])</f>
        <v>46002KMB400</v>
      </c>
      <c r="J86" s="7">
        <v>400</v>
      </c>
      <c r="K86" s="1">
        <v>104.19</v>
      </c>
      <c r="L86" s="2">
        <f>+Tabla1[[#This Row],[Q]]*Tabla1[[#This Row],[P]]</f>
        <v>41676</v>
      </c>
      <c r="M86" s="23">
        <f>+VLOOKUP(Tabla1[[#This Row],[Identificador]],'P&amp;L Total'!A:L,12,FALSE)</f>
        <v>-0.10395594405862663</v>
      </c>
      <c r="N86" s="4">
        <f>WORKDAY(Tabla1[[#This Row],[Fecha de compra]],1)</f>
        <v>46003</v>
      </c>
      <c r="O86" s="1" t="s">
        <v>195</v>
      </c>
    </row>
    <row r="87" spans="1:15">
      <c r="A87" s="4" t="str">
        <f>+IF(COUNTIF(Tabla2[Cod_ope],Tabla1[[#This Row],[Cod_Ope]])&gt;0,"out","stock")</f>
        <v>out</v>
      </c>
      <c r="B87" s="4">
        <v>46003</v>
      </c>
      <c r="C87" s="1">
        <v>39592</v>
      </c>
      <c r="D87" s="1" t="s">
        <v>104</v>
      </c>
      <c r="E87" s="1" t="s">
        <v>105</v>
      </c>
      <c r="F87" s="1" t="str" cm="1">
        <f t="array" ref="F87">_xll.BDP(G87,"DS004")</f>
        <v>USD</v>
      </c>
      <c r="G87" s="1" t="str">
        <f>D87&amp; " US Equity"</f>
        <v>QQQ US Equity</v>
      </c>
      <c r="H87" s="1" t="str">
        <f>+_xll.BDP($G87,"Name")</f>
        <v>INVESCO QQQ TRUST SERIES 1</v>
      </c>
      <c r="I87" s="1" t="str">
        <f>+_xlfn.CONCAT(Tabla1[[#This Row],[Fecha de compra]],Tabla1[[#This Row],[Ticker]],Tabla1[[#This Row],[Q]])</f>
        <v>46003QQQ325</v>
      </c>
      <c r="J87" s="7">
        <v>325</v>
      </c>
      <c r="K87" s="1">
        <v>613.51</v>
      </c>
      <c r="L87" s="2">
        <f>+Tabla1[[#This Row],[Q]]*Tabla1[[#This Row],[P]]</f>
        <v>199390.75</v>
      </c>
      <c r="M87" s="23">
        <f>+VLOOKUP(Tabla1[[#This Row],[Identificador]],'P&amp;L Total'!A:L,12,FALSE)</f>
        <v>2.0044585970000948E-2</v>
      </c>
      <c r="N87" s="4">
        <f>WORKDAY(Tabla1[[#This Row],[Fecha de compra]],0)</f>
        <v>46003</v>
      </c>
      <c r="O87" s="1" t="s">
        <v>195</v>
      </c>
    </row>
    <row r="88" spans="1:15">
      <c r="A88" s="4" t="str">
        <f>+IF(COUNTIF(Tabla2[Cod_ope],Tabla1[[#This Row],[Cod_Ope]])&gt;0,"out","stock")</f>
        <v>stock</v>
      </c>
      <c r="B88" s="4">
        <v>46007</v>
      </c>
      <c r="C88" s="1">
        <v>39592</v>
      </c>
      <c r="D88" s="1" t="s">
        <v>96</v>
      </c>
      <c r="E88" s="1" t="s">
        <v>97</v>
      </c>
      <c r="F88" s="1" t="str" cm="1">
        <f t="array" ref="F88">_xll.BDP(G88,"DS004")</f>
        <v>USD</v>
      </c>
      <c r="G88" s="1" t="str">
        <f>D88&amp; " US Equity"</f>
        <v>AUNA US Equity</v>
      </c>
      <c r="H88" s="1" t="str">
        <f>+_xll.BDP($G88,"Name")</f>
        <v>AUNA SA-CLASS A</v>
      </c>
      <c r="I88" s="1" t="str">
        <f>+_xlfn.CONCAT(Tabla1[[#This Row],[Fecha de compra]],Tabla1[[#This Row],[Ticker]],Tabla1[[#This Row],[Q]])</f>
        <v>46007AUNA6440</v>
      </c>
      <c r="J88" s="7">
        <v>6440</v>
      </c>
      <c r="K88" s="1">
        <v>4.63</v>
      </c>
      <c r="L88" s="2">
        <f>+Tabla1[[#This Row],[Q]]*Tabla1[[#This Row],[P]]</f>
        <v>29817.200000000001</v>
      </c>
      <c r="M88" s="23">
        <f>+VLOOKUP(Tabla1[[#This Row],[Identificador]],'P&amp;L Total'!A:L,12,FALSE)</f>
        <v>-8.6320451888425076E-2</v>
      </c>
      <c r="N88" s="4">
        <f>WORKDAY(Tabla1[[#This Row],[Fecha de compra]],0)</f>
        <v>46007</v>
      </c>
      <c r="O88" s="1" t="s">
        <v>195</v>
      </c>
    </row>
    <row r="89" spans="1:15">
      <c r="A89" s="4" t="str">
        <f>+IF(COUNTIF(Tabla2[Cod_ope],Tabla1[[#This Row],[Cod_Ope]])&gt;0,"out","stock")</f>
        <v>stock</v>
      </c>
      <c r="B89" s="4">
        <v>46009</v>
      </c>
      <c r="C89" s="1">
        <v>39592</v>
      </c>
      <c r="D89" s="1" t="s">
        <v>122</v>
      </c>
      <c r="E89" s="1" t="s">
        <v>123</v>
      </c>
      <c r="F89" s="1" t="str" cm="1">
        <f t="array" ref="F89">_xll.BDP(G89,"DS004")</f>
        <v>PEN</v>
      </c>
      <c r="G89" s="1" t="str">
        <f>D89&amp; " PE Equity"</f>
        <v>CPACASC1 PE Equity</v>
      </c>
      <c r="H89" s="1" t="str">
        <f>+_xll.BDP($G89,"Name")</f>
        <v>CEMENTOS PACASMAYO SAA-CMN</v>
      </c>
      <c r="I89" s="1" t="str">
        <f>+_xlfn.CONCAT(Tabla1[[#This Row],[Fecha de compra]],Tabla1[[#This Row],[Ticker]],Tabla1[[#This Row],[Q]])</f>
        <v>46009CPACASC115000</v>
      </c>
      <c r="J89" s="7">
        <v>15000</v>
      </c>
      <c r="K89" s="5">
        <v>6.92</v>
      </c>
      <c r="L89" s="2">
        <f>+Tabla1[[#This Row],[Q]]*Tabla1[[#This Row],[P]]</f>
        <v>103800</v>
      </c>
      <c r="M89" s="23">
        <f>+VLOOKUP(Tabla1[[#This Row],[Identificador]],'P&amp;L Total'!A:L,12,FALSE)</f>
        <v>8.670520231213872E-3</v>
      </c>
      <c r="N89" s="4">
        <f>WORKDAY(Tabla1[[#This Row],[Fecha de compra]],0)</f>
        <v>46009</v>
      </c>
      <c r="O89" s="1" t="s">
        <v>195</v>
      </c>
    </row>
    <row r="90" spans="1:15">
      <c r="A90" s="4" t="str">
        <f>+IF(COUNTIF(Tabla2[Cod_ope],Tabla1[[#This Row],[Cod_Ope]])&gt;0,"out","stock")</f>
        <v>stock</v>
      </c>
      <c r="B90" s="4">
        <v>46021</v>
      </c>
      <c r="C90" s="1">
        <v>39592</v>
      </c>
      <c r="D90" s="1" t="s">
        <v>92</v>
      </c>
      <c r="E90" s="1" t="s">
        <v>93</v>
      </c>
      <c r="F90" s="1" t="str" cm="1">
        <f t="array" ref="F90">_xll.BDP(G90,"DS004")</f>
        <v>PEN</v>
      </c>
      <c r="G90" s="1" t="str">
        <f>D90&amp; " PE Equity"</f>
        <v>SIDERC1 PE Equity</v>
      </c>
      <c r="H90" s="1" t="str">
        <f>+_xll.BDP($G90,"Name")</f>
        <v>EMPRESA SIDERURGICA PERU SAA</v>
      </c>
      <c r="I90" s="1" t="str">
        <f>+_xlfn.CONCAT(Tabla1[[#This Row],[Fecha de compra]],Tabla1[[#This Row],[Ticker]],Tabla1[[#This Row],[Q]])</f>
        <v>46021SIDERC115000</v>
      </c>
      <c r="J90" s="7">
        <v>15000</v>
      </c>
      <c r="K90" s="5">
        <v>2.2200000000000002</v>
      </c>
      <c r="L90" s="2">
        <f>+Tabla1[[#This Row],[Q]]*Tabla1[[#This Row],[P]]</f>
        <v>33300</v>
      </c>
      <c r="M90" s="23">
        <f>+VLOOKUP(Tabla1[[#This Row],[Identificador]],'P&amp;L Total'!A:L,12,FALSE)</f>
        <v>0.34374632782420567</v>
      </c>
      <c r="N90" s="4">
        <f>WORKDAY(Tabla1[[#This Row],[Fecha de compra]],0)</f>
        <v>46021</v>
      </c>
      <c r="O90" s="1" t="s">
        <v>195</v>
      </c>
    </row>
    <row r="91" spans="1:15">
      <c r="A91" s="4" t="str">
        <f>+IF(COUNTIF(Tabla2[Cod_ope],Tabla1[[#This Row],[Cod_Ope]])&gt;0,"out","stock")</f>
        <v>stock</v>
      </c>
      <c r="B91" s="4">
        <v>46021</v>
      </c>
      <c r="C91" s="1">
        <v>39592</v>
      </c>
      <c r="D91" s="1" t="s">
        <v>124</v>
      </c>
      <c r="E91" s="1" t="s">
        <v>125</v>
      </c>
      <c r="F91" s="1" t="str" cm="1">
        <f t="array" ref="F91">_xll.BDP(G91,"DS004")</f>
        <v>USD</v>
      </c>
      <c r="G91" s="1" t="str">
        <f>D91&amp; " PE Equity"</f>
        <v>INRETC1 PE Equity</v>
      </c>
      <c r="H91" s="1" t="str">
        <f>+_xll.BDP($G91,"Name")</f>
        <v>INRETAIL PERU CORP</v>
      </c>
      <c r="I91" s="1" t="str">
        <f>+_xlfn.CONCAT(Tabla1[[#This Row],[Fecha de compra]],Tabla1[[#This Row],[Ticker]],Tabla1[[#This Row],[Q]])</f>
        <v>46021INRETC11500</v>
      </c>
      <c r="J91" s="7">
        <v>1500</v>
      </c>
      <c r="K91" s="5">
        <v>24.8</v>
      </c>
      <c r="L91" s="2">
        <f>+Tabla1[[#This Row],[Q]]*Tabla1[[#This Row],[P]]</f>
        <v>37200</v>
      </c>
      <c r="M91" s="23">
        <f>+VLOOKUP(Tabla1[[#This Row],[Identificador]],'P&amp;L Total'!A:L,12,FALSE)</f>
        <v>7.0657616557249364E-2</v>
      </c>
      <c r="N91" s="4">
        <f>WORKDAY(Tabla1[[#This Row],[Fecha de compra]],0)</f>
        <v>46021</v>
      </c>
      <c r="O91" s="1" t="s">
        <v>195</v>
      </c>
    </row>
    <row r="92" spans="1:15">
      <c r="A92" s="4" t="str">
        <f>+IF(COUNTIF(Tabla2[Cod_ope],Tabla1[[#This Row],[Cod_Ope]])&gt;0,"out","stock")</f>
        <v>stock</v>
      </c>
      <c r="B92" s="4">
        <v>46021</v>
      </c>
      <c r="C92" s="1">
        <v>39592</v>
      </c>
      <c r="D92" s="1" t="s">
        <v>124</v>
      </c>
      <c r="E92" s="1" t="s">
        <v>125</v>
      </c>
      <c r="F92" s="1" t="str" cm="1">
        <f t="array" ref="F92">_xll.BDP(G92,"DS004")</f>
        <v>USD</v>
      </c>
      <c r="G92" s="1" t="str">
        <f>D92&amp; " PE Equity"</f>
        <v>INRETC1 PE Equity</v>
      </c>
      <c r="H92" s="1" t="str">
        <f>+_xll.BDP($G92,"Name")</f>
        <v>INRETAIL PERU CORP</v>
      </c>
      <c r="I92" s="1" t="str">
        <f>+_xlfn.CONCAT(Tabla1[[#This Row],[Fecha de compra]],Tabla1[[#This Row],[Ticker]],Tabla1[[#This Row],[Q]])</f>
        <v>46021INRETC11500</v>
      </c>
      <c r="J92" s="7">
        <v>1500</v>
      </c>
      <c r="K92" s="5">
        <v>24.75</v>
      </c>
      <c r="L92" s="2">
        <f>+Tabla1[[#This Row],[Q]]*Tabla1[[#This Row],[P]]</f>
        <v>37125</v>
      </c>
      <c r="M92" s="23">
        <f>+VLOOKUP(Tabla1[[#This Row],[Identificador]],'P&amp;L Total'!A:L,12,FALSE)</f>
        <v>7.0657616557249364E-2</v>
      </c>
      <c r="N92" s="4">
        <f>WORKDAY(Tabla1[[#This Row],[Fecha de compra]],0)</f>
        <v>46021</v>
      </c>
      <c r="O92" s="1" t="s">
        <v>195</v>
      </c>
    </row>
    <row r="93" spans="1:15">
      <c r="A93" s="4" t="str">
        <f>+IF(COUNTIF(Tabla2[Cod_ope],Tabla1[[#This Row],[Cod_Ope]])&gt;0,"out","stock")</f>
        <v>out</v>
      </c>
      <c r="B93" s="4">
        <v>46024</v>
      </c>
      <c r="C93" s="1">
        <v>39592</v>
      </c>
      <c r="D93" s="1" t="s">
        <v>78</v>
      </c>
      <c r="E93" s="1" t="s">
        <v>79</v>
      </c>
      <c r="F93" s="1" t="str" cm="1">
        <f t="array" ref="F93">_xll.BDP(G93,"DS004")</f>
        <v>USD</v>
      </c>
      <c r="G93" s="1" t="str">
        <f>D93&amp; " US Equity"</f>
        <v>EWZ US Equity</v>
      </c>
      <c r="H93" s="1" t="str">
        <f>+_xll.BDP($G93,"Name")</f>
        <v>ISHARES MSCI BRAZIL ETF</v>
      </c>
      <c r="I93" s="1" t="str">
        <f>+_xlfn.CONCAT(Tabla1[[#This Row],[Fecha de compra]],Tabla1[[#This Row],[Ticker]],Tabla1[[#This Row],[Q]])</f>
        <v>46024EWZ2490</v>
      </c>
      <c r="J93" s="7">
        <v>2490</v>
      </c>
      <c r="K93" s="5">
        <v>32.06</v>
      </c>
      <c r="L93" s="2">
        <f>+Tabla1[[#This Row],[Q]]*Tabla1[[#This Row],[P]]</f>
        <v>79829.400000000009</v>
      </c>
      <c r="M93" s="49">
        <f>+VLOOKUP(Tabla1[[#This Row],[Identificador]],'P&amp;L Total'!A:L,12,FALSE)</f>
        <v>3.1229701028196336E-2</v>
      </c>
      <c r="N93" s="4">
        <f>WORKDAY(Tabla1[[#This Row],[Fecha de compra]],0)</f>
        <v>46024</v>
      </c>
      <c r="O93" s="1" t="s">
        <v>195</v>
      </c>
    </row>
    <row r="94" spans="1:15">
      <c r="A94" s="4" t="str">
        <f>+IF(COUNTIF(Tabla2[Cod_ope],Tabla1[[#This Row],[Cod_Ope]])&gt;0,"out","stock")</f>
        <v>stock</v>
      </c>
      <c r="B94" s="4">
        <v>46024</v>
      </c>
      <c r="C94" s="1">
        <v>39592</v>
      </c>
      <c r="D94" s="1" t="s">
        <v>86</v>
      </c>
      <c r="E94" s="1" t="s">
        <v>87</v>
      </c>
      <c r="F94" s="1" t="str" cm="1">
        <f t="array" ref="F94">_xll.BDP(G94,"DS004")</f>
        <v>USD</v>
      </c>
      <c r="G94" s="1" t="str">
        <f>D94&amp; " US Equity"</f>
        <v>TCHI US Equity</v>
      </c>
      <c r="H94" s="1" t="str">
        <f>+_xll.BDP($G94,"Name")</f>
        <v>ISHARES MSCI CHINA TECH</v>
      </c>
      <c r="I94" s="1" t="str">
        <f>+_xlfn.CONCAT(Tabla1[[#This Row],[Fecha de compra]],Tabla1[[#This Row],[Ticker]],Tabla1[[#This Row],[Q]])</f>
        <v>46024TCHI2060</v>
      </c>
      <c r="J94" s="7">
        <v>2060</v>
      </c>
      <c r="K94" s="5">
        <v>24.24</v>
      </c>
      <c r="L94" s="2">
        <f>+Tabla1[[#This Row],[Q]]*Tabla1[[#This Row],[P]]</f>
        <v>49934.399999999994</v>
      </c>
      <c r="M94" s="49">
        <f>+VLOOKUP(Tabla1[[#This Row],[Identificador]],'P&amp;L Total'!A:L,12,FALSE)</f>
        <v>-5.9251607862615144E-2</v>
      </c>
      <c r="N94" s="4">
        <f>WORKDAY(Tabla1[[#This Row],[Fecha de compra]],0)</f>
        <v>46024</v>
      </c>
      <c r="O94" s="1" t="s">
        <v>195</v>
      </c>
    </row>
    <row r="95" spans="1:15">
      <c r="A95" s="4" t="str">
        <f>+IF(COUNTIF(Tabla2[Cod_ope],Tabla1[[#This Row],[Cod_Ope]])&gt;0,"out","stock")</f>
        <v>stock</v>
      </c>
      <c r="B95" s="4">
        <v>46024</v>
      </c>
      <c r="C95" s="1">
        <v>39592</v>
      </c>
      <c r="D95" s="1" t="s">
        <v>88</v>
      </c>
      <c r="E95" s="1" t="s">
        <v>89</v>
      </c>
      <c r="F95" s="1" t="str" cm="1">
        <f t="array" ref="F95">_xll.BDP(G95,"DS004")</f>
        <v>USD</v>
      </c>
      <c r="G95" s="1" t="str">
        <f>D95&amp; " US Equity"</f>
        <v>CQQQ US Equity</v>
      </c>
      <c r="H95" s="1" t="str">
        <f>+_xll.BDP($G95,"Name")</f>
        <v>INVESCO CHINA TECHNOLOGY ETF</v>
      </c>
      <c r="I95" s="1" t="str">
        <f>+_xlfn.CONCAT(Tabla1[[#This Row],[Fecha de compra]],Tabla1[[#This Row],[Ticker]],Tabla1[[#This Row],[Q]])</f>
        <v>46024CQQQ553</v>
      </c>
      <c r="J95" s="7">
        <v>553</v>
      </c>
      <c r="K95" s="5">
        <v>54.17</v>
      </c>
      <c r="L95" s="2">
        <f>+Tabla1[[#This Row],[Q]]*Tabla1[[#This Row],[P]]</f>
        <v>29956.010000000002</v>
      </c>
      <c r="M95" s="49">
        <f>+VLOOKUP(Tabla1[[#This Row],[Identificador]],'P&amp;L Total'!A:L,12,FALSE)</f>
        <v>-6.8768839729956135E-2</v>
      </c>
      <c r="N95" s="4">
        <f>WORKDAY(Tabla1[[#This Row],[Fecha de compra]],0)</f>
        <v>46024</v>
      </c>
      <c r="O95" s="1" t="s">
        <v>195</v>
      </c>
    </row>
    <row r="96" spans="1:15">
      <c r="A96" s="4" t="str">
        <f>+IF(COUNTIF(Tabla2[Cod_ope],Tabla1[[#This Row],[Cod_Ope]])&gt;0,"out","stock")</f>
        <v>stock</v>
      </c>
      <c r="B96" s="4">
        <v>46043</v>
      </c>
      <c r="C96" s="1">
        <v>39592</v>
      </c>
      <c r="D96" s="1" t="s">
        <v>127</v>
      </c>
      <c r="E96" s="1" t="s">
        <v>128</v>
      </c>
      <c r="F96" s="1" t="str" cm="1">
        <f t="array" ref="F96">_xll.BDP(G96,"DS004")</f>
        <v>USD</v>
      </c>
      <c r="G96" s="1" t="s">
        <v>129</v>
      </c>
      <c r="H96" s="1" t="str">
        <f>+_xll.BDP($G96,"Name")</f>
        <v>NETFLIX INC</v>
      </c>
      <c r="I96" s="1" t="str">
        <f>+_xlfn.CONCAT(Tabla1[[#This Row],[Fecha de compra]],Tabla1[[#This Row],[Ticker]],Tabla1[[#This Row],[Q]])</f>
        <v>46043NFLX1187</v>
      </c>
      <c r="J96" s="7">
        <v>1187</v>
      </c>
      <c r="K96" s="5">
        <v>84.28</v>
      </c>
      <c r="L96" s="2">
        <f>+Tabla1[[#This Row],[Q]]*Tabla1[[#This Row],[P]]</f>
        <v>100040.36</v>
      </c>
      <c r="M96" s="49">
        <f>+VLOOKUP(Tabla1[[#This Row],[Identificador]],'P&amp;L Total'!A:L,12,FALSE)</f>
        <v>0.15021357380161365</v>
      </c>
      <c r="N96" s="4">
        <f>WORKDAY(Tabla1[[#This Row],[Fecha de compra]],0)</f>
        <v>46043</v>
      </c>
      <c r="O96" s="1" t="s">
        <v>195</v>
      </c>
    </row>
    <row r="97" spans="1:15">
      <c r="A97" s="4" t="str">
        <f>+IF(COUNTIF(Tabla2[Cod_ope],Tabla1[[#This Row],[Cod_Ope]])&gt;0,"out","stock")</f>
        <v>out</v>
      </c>
      <c r="B97" s="4">
        <v>46043</v>
      </c>
      <c r="C97" s="1">
        <v>39592</v>
      </c>
      <c r="D97" s="1" t="s">
        <v>54</v>
      </c>
      <c r="E97" s="1" t="s">
        <v>55</v>
      </c>
      <c r="F97" s="1" t="str" cm="1">
        <f t="array" ref="F97">_xll.BDP(G97,"DS004")</f>
        <v>USD</v>
      </c>
      <c r="G97" s="1" t="s">
        <v>126</v>
      </c>
      <c r="H97" s="1" t="str">
        <f>+_xll.BDP($G97,"Name")</f>
        <v>PALANTIR TECHNOLOGIES INC-A</v>
      </c>
      <c r="I97" s="1" t="str">
        <f>+_xlfn.CONCAT(Tabla1[[#This Row],[Fecha de compra]],Tabla1[[#This Row],[Ticker]],Tabla1[[#This Row],[Q]])</f>
        <v>46043PLTR598</v>
      </c>
      <c r="J97" s="7">
        <v>598</v>
      </c>
      <c r="K97" s="5">
        <v>166.93718699999999</v>
      </c>
      <c r="L97" s="2">
        <f>+Tabla1[[#This Row],[Q]]*Tabla1[[#This Row],[P]]</f>
        <v>99828.437825999994</v>
      </c>
      <c r="M97" s="49">
        <f>+VLOOKUP(Tabla1[[#This Row],[Identificador]],'P&amp;L Total'!A:L,12,FALSE)</f>
        <v>4.8158250908487937E-2</v>
      </c>
      <c r="N97" s="4">
        <f>WORKDAY(Tabla1[[#This Row],[Fecha de compra]],0)</f>
        <v>46043</v>
      </c>
      <c r="O97" s="1" t="s">
        <v>195</v>
      </c>
    </row>
    <row r="98" spans="1:15">
      <c r="A98" s="4" t="str">
        <f>+IF(COUNTIF(Tabla2[Cod_ope],Tabla1[[#This Row],[Cod_Ope]])&gt;0,"out","stock")</f>
        <v>out</v>
      </c>
      <c r="B98" s="4">
        <v>46043</v>
      </c>
      <c r="C98" s="1">
        <v>39592</v>
      </c>
      <c r="D98" s="1" t="s">
        <v>130</v>
      </c>
      <c r="E98" s="1" t="s">
        <v>131</v>
      </c>
      <c r="F98" s="1" t="str" cm="1">
        <f t="array" ref="F98">_xll.BDP(G98,"DS004")</f>
        <v>USD</v>
      </c>
      <c r="G98" s="1" t="s">
        <v>132</v>
      </c>
      <c r="H98" s="1" t="str">
        <f>+_xll.BDP($G98,"Name")</f>
        <v>PROSHARES ULTRAPRO QQQ</v>
      </c>
      <c r="I98" s="1" t="str">
        <f>+_xlfn.CONCAT(Tabla1[[#This Row],[Fecha de compra]],Tabla1[[#This Row],[Ticker]],Tabla1[[#This Row],[Q]])</f>
        <v>46043TQQQ2929</v>
      </c>
      <c r="J98" s="7">
        <v>2929</v>
      </c>
      <c r="K98" s="5">
        <v>51.119900000000001</v>
      </c>
      <c r="L98" s="2">
        <f>+Tabla1[[#This Row],[Q]]*Tabla1[[#This Row],[P]]</f>
        <v>149730.18710000001</v>
      </c>
      <c r="M98" s="49">
        <f>+VLOOKUP(Tabla1[[#This Row],[Identificador]],'P&amp;L Total'!A:L,12,FALSE)</f>
        <v>1.852914200997716E-2</v>
      </c>
      <c r="N98" s="4">
        <f>WORKDAY(Tabla1[[#This Row],[Fecha de compra]],0)</f>
        <v>46043</v>
      </c>
      <c r="O98" s="1" t="s">
        <v>195</v>
      </c>
    </row>
    <row r="99" spans="1:15">
      <c r="A99" s="4" t="str">
        <f>+IF(COUNTIF(Tabla2[Cod_ope],Tabla1[[#This Row],[Cod_Ope]])&gt;0,"out","stock")</f>
        <v>stock</v>
      </c>
      <c r="B99" s="4">
        <v>46043</v>
      </c>
      <c r="C99" s="1">
        <v>39592</v>
      </c>
      <c r="D99" s="1" t="s">
        <v>72</v>
      </c>
      <c r="E99" s="1" t="s">
        <v>73</v>
      </c>
      <c r="F99" s="1" t="str" cm="1">
        <f t="array" ref="F99">_xll.BDP(G99,"DS004")</f>
        <v>USD</v>
      </c>
      <c r="G99" s="1" t="s">
        <v>133</v>
      </c>
      <c r="H99" s="1" t="str">
        <f>+_xll.BDP($G99,"Name")</f>
        <v>NIO INC - ADR</v>
      </c>
      <c r="I99" s="1" t="str">
        <f>+_xlfn.CONCAT(Tabla1[[#This Row],[Fecha de compra]],Tabla1[[#This Row],[Ticker]],Tabla1[[#This Row],[Q]])</f>
        <v>46043NIO10680</v>
      </c>
      <c r="J99" s="7">
        <v>10680</v>
      </c>
      <c r="K99" s="5">
        <v>4.6500000000000004</v>
      </c>
      <c r="L99" s="2">
        <f>+Tabla1[[#This Row],[Q]]*Tabla1[[#This Row],[P]]</f>
        <v>49662.000000000007</v>
      </c>
      <c r="M99" s="49">
        <f>+VLOOKUP(Tabla1[[#This Row],[Identificador]],'P&amp;L Total'!A:L,12,FALSE)</f>
        <v>1.6996563488661616E-3</v>
      </c>
      <c r="N99" s="4">
        <f>WORKDAY(Tabla1[[#This Row],[Fecha de compra]],1)</f>
        <v>46044</v>
      </c>
      <c r="O99" s="1" t="s">
        <v>195</v>
      </c>
    </row>
    <row r="100" spans="1:15">
      <c r="A100" s="4" t="str">
        <f>+IF(COUNTIF(Tabla2[Cod_ope],Tabla1[[#This Row],[Cod_Ope]])&gt;0,"out","stock")</f>
        <v>stock</v>
      </c>
      <c r="B100" s="4">
        <v>46044</v>
      </c>
      <c r="C100" s="1">
        <v>39592</v>
      </c>
      <c r="D100" s="1" t="s">
        <v>190</v>
      </c>
      <c r="E100" s="1" t="s">
        <v>189</v>
      </c>
      <c r="F100" s="1" t="str" cm="1">
        <f t="array" ref="F100">_xll.BDP(G100,"DS004")</f>
        <v>USD</v>
      </c>
      <c r="G100" s="1" t="s">
        <v>191</v>
      </c>
      <c r="H100" s="1" t="str">
        <f>+_xll.BDP($G100,"Name")</f>
        <v>ISHARES MSCI SWITZERLAND ETF</v>
      </c>
      <c r="I100" s="1" t="str">
        <f>+_xlfn.CONCAT(Tabla1[[#This Row],[Fecha de compra]],Tabla1[[#This Row],[Ticker]],Tabla1[[#This Row],[Q]])</f>
        <v>46044EWL1645</v>
      </c>
      <c r="J100" s="7">
        <v>1645</v>
      </c>
      <c r="K100" s="5">
        <v>60.701999999999998</v>
      </c>
      <c r="L100" s="2">
        <f>+Tabla1[[#This Row],[Q]]*Tabla1[[#This Row],[P]]</f>
        <v>99854.79</v>
      </c>
      <c r="M100" s="49">
        <f>+VLOOKUP(Tabla1[[#This Row],[Identificador]],'P&amp;L Total'!A:L,12,FALSE)</f>
        <v>-7.6109518632004611E-3</v>
      </c>
      <c r="N100" s="4">
        <f>WORKDAY(Tabla1[[#This Row],[Fecha de compra]],0)</f>
        <v>46044</v>
      </c>
      <c r="O100" s="1" t="s">
        <v>195</v>
      </c>
    </row>
    <row r="101" spans="1:15">
      <c r="A101" s="4" t="str">
        <f>+IF(COUNTIF(Tabla2[Cod_ope],Tabla1[[#This Row],[Cod_Ope]])&gt;0,"out","stock")</f>
        <v>out</v>
      </c>
      <c r="B101" s="4">
        <v>46051</v>
      </c>
      <c r="C101" s="1">
        <v>39592</v>
      </c>
      <c r="D101" s="1" t="s">
        <v>54</v>
      </c>
      <c r="E101" s="1" t="s">
        <v>55</v>
      </c>
      <c r="F101" s="1" t="str" cm="1">
        <f t="array" ref="F101">_xll.BDP(G101,"DS004")</f>
        <v>USD</v>
      </c>
      <c r="G101" s="1" t="s">
        <v>126</v>
      </c>
      <c r="H101" s="1" t="str">
        <f>+_xll.BDP($G101,"Name")</f>
        <v>PALANTIR TECHNOLOGIES INC-A</v>
      </c>
      <c r="I101" s="1" t="str">
        <f>+_xlfn.CONCAT(Tabla1[[#This Row],[Fecha de compra]],Tabla1[[#This Row],[Ticker]],Tabla1[[#This Row],[Q]])</f>
        <v>46051PLTR989</v>
      </c>
      <c r="J101" s="7">
        <v>989</v>
      </c>
      <c r="K101" s="5">
        <v>150.83000000000001</v>
      </c>
      <c r="L101" s="2">
        <f>+Tabla1[[#This Row],[Q]]*Tabla1[[#This Row],[P]]</f>
        <v>149170.87000000002</v>
      </c>
      <c r="M101" s="49">
        <f>+VLOOKUP(Tabla1[[#This Row],[Identificador]],'P&amp;L Total'!A:L,12,FALSE)</f>
        <v>4.8158250908487937E-2</v>
      </c>
      <c r="N101" s="4">
        <f>WORKDAY(Tabla1[[#This Row],[Fecha de compra]],1)</f>
        <v>46052</v>
      </c>
      <c r="O101" s="1" t="s">
        <v>195</v>
      </c>
    </row>
    <row r="102" spans="1:15">
      <c r="A102" s="4" t="str">
        <f>+IF(COUNTIF(Tabla2[Cod_ope],Tabla1[[#This Row],[Cod_Ope]])&gt;0,"out","stock")</f>
        <v>out</v>
      </c>
      <c r="B102" s="4">
        <v>46051</v>
      </c>
      <c r="C102" s="1">
        <v>39592</v>
      </c>
      <c r="D102" s="1" t="s">
        <v>130</v>
      </c>
      <c r="E102" s="1" t="s">
        <v>131</v>
      </c>
      <c r="F102" s="1" t="str" cm="1">
        <f t="array" ref="F102">_xll.BDP(G102,"DS004")</f>
        <v>USD</v>
      </c>
      <c r="G102" s="1" t="s">
        <v>132</v>
      </c>
      <c r="H102" s="1" t="str">
        <f>+_xll.BDP($G102,"Name")</f>
        <v>PROSHARES ULTRAPRO QQQ</v>
      </c>
      <c r="I102" s="1" t="str">
        <f>+_xlfn.CONCAT(Tabla1[[#This Row],[Fecha de compra]],Tabla1[[#This Row],[Ticker]],Tabla1[[#This Row],[Q]])</f>
        <v>46051TQQQ1815</v>
      </c>
      <c r="J102" s="7">
        <v>1815</v>
      </c>
      <c r="K102" s="5">
        <v>54.77</v>
      </c>
      <c r="L102" s="2">
        <f>+Tabla1[[#This Row],[Q]]*Tabla1[[#This Row],[P]]</f>
        <v>99407.55</v>
      </c>
      <c r="M102" s="49">
        <f>+VLOOKUP(Tabla1[[#This Row],[Identificador]],'P&amp;L Total'!A:L,12,FALSE)</f>
        <v>1.852914200997716E-2</v>
      </c>
      <c r="N102" s="4">
        <f>WORKDAY(Tabla1[[#This Row],[Fecha de compra]],1)</f>
        <v>46052</v>
      </c>
      <c r="O102" s="1" t="s">
        <v>195</v>
      </c>
    </row>
    <row r="103" spans="1:15">
      <c r="A103" s="4" t="str">
        <f>+IF(COUNTIF(Tabla2[Cod_ope],Tabla1[[#This Row],[Cod_Ope]])&gt;0,"out","stock")</f>
        <v>stock</v>
      </c>
      <c r="B103" s="4">
        <v>46051</v>
      </c>
      <c r="C103" s="1">
        <v>39592</v>
      </c>
      <c r="D103" s="1" t="s">
        <v>196</v>
      </c>
      <c r="E103" s="1" t="s">
        <v>197</v>
      </c>
      <c r="F103" s="1" t="str" cm="1">
        <f t="array" ref="F103">_xll.BDP(G103,"DS004")</f>
        <v>USD</v>
      </c>
      <c r="G103" s="1" t="s">
        <v>198</v>
      </c>
      <c r="H103" s="1" t="str">
        <f>+_xll.BDP($G103,"Name")</f>
        <v>GRUPO CIBEST SA-ADR</v>
      </c>
      <c r="I103" s="1" t="str">
        <f>+_xlfn.CONCAT(Tabla1[[#This Row],[Fecha de compra]],Tabla1[[#This Row],[Ticker]],Tabla1[[#This Row],[Q]])</f>
        <v>46051CIB2375</v>
      </c>
      <c r="J103" s="7">
        <v>2375</v>
      </c>
      <c r="K103" s="5">
        <v>84.1</v>
      </c>
      <c r="L103" s="2">
        <f>+Tabla1[[#This Row],[Q]]*Tabla1[[#This Row],[P]]</f>
        <v>199737.5</v>
      </c>
      <c r="M103" s="49">
        <f>+VLOOKUP(Tabla1[[#This Row],[Identificador]],'P&amp;L Total'!A:L,12,FALSE)</f>
        <v>-0.13045728802794543</v>
      </c>
      <c r="N103" s="4">
        <f>WORKDAY(Tabla1[[#This Row],[Fecha de compra]],1)</f>
        <v>46052</v>
      </c>
      <c r="O103" s="1" t="s">
        <v>195</v>
      </c>
    </row>
    <row r="104" spans="1:15">
      <c r="A104" s="4" t="str">
        <f>+IF(COUNTIF(Tabla2[Cod_ope],Tabla1[[#This Row],[Cod_Ope]])&gt;0,"out","stock")</f>
        <v>stock</v>
      </c>
      <c r="B104" s="4">
        <v>46052</v>
      </c>
      <c r="C104" s="1">
        <v>39592</v>
      </c>
      <c r="D104" s="1" t="s">
        <v>90</v>
      </c>
      <c r="E104" s="1" t="s">
        <v>91</v>
      </c>
      <c r="F104" s="1" t="str" cm="1">
        <f t="array" ref="F104">_xll.BDP(G104,"DS004")</f>
        <v>PEN</v>
      </c>
      <c r="G104" s="1" t="str">
        <f>D104&amp; " pe Equity"</f>
        <v>MINSURI1 pe Equity</v>
      </c>
      <c r="H104" s="1" t="str">
        <f>+_xll.BDP($G104,"Name")</f>
        <v>MINSUR SA-INVERSIONES</v>
      </c>
      <c r="I104" s="1" t="str">
        <f>+_xlfn.CONCAT(Tabla1[[#This Row],[Fecha de compra]],Tabla1[[#This Row],[Ticker]],Tabla1[[#This Row],[Q]])</f>
        <v>46052MINSURI150000</v>
      </c>
      <c r="J104" s="7">
        <v>50000</v>
      </c>
      <c r="K104" s="5">
        <v>6.52</v>
      </c>
      <c r="L104" s="2">
        <f>+Tabla1[[#This Row],[Q]]*Tabla1[[#This Row],[P]]</f>
        <v>326000</v>
      </c>
      <c r="M104" s="49">
        <f>+VLOOKUP(Tabla1[[#This Row],[Identificador]],'P&amp;L Total'!A:L,12,FALSE)</f>
        <v>0.30273196905633853</v>
      </c>
      <c r="N104" s="4">
        <f>WORKDAY(Tabla1[[#This Row],[Fecha de compra]],1)</f>
        <v>46055</v>
      </c>
      <c r="O104" s="1" t="s">
        <v>195</v>
      </c>
    </row>
    <row r="105" spans="1:15">
      <c r="A105" s="4" t="str">
        <f>+IF(COUNTIF(Tabla2[Cod_ope],Tabla1[[#This Row],[Cod_Ope]])&gt;0,"out","stock")</f>
        <v>stock</v>
      </c>
      <c r="B105" s="4">
        <v>46055</v>
      </c>
      <c r="C105" s="1">
        <v>39592</v>
      </c>
      <c r="D105" s="1" t="s">
        <v>98</v>
      </c>
      <c r="E105" s="1" t="s">
        <v>99</v>
      </c>
      <c r="F105" s="1" t="str" cm="1">
        <f t="array" ref="F105">_xll.BDP(G105,"DS004")</f>
        <v>PEN</v>
      </c>
      <c r="G105" s="1" t="str">
        <f>D105&amp; " pe Equity"</f>
        <v>VOLCABC1 pe Equity</v>
      </c>
      <c r="H105" s="1" t="str">
        <f>+_xll.BDP($G105,"Name")</f>
        <v>VOLCAN CIA MINERA SAA-CMN B</v>
      </c>
      <c r="I105" s="1" t="str">
        <f>+_xlfn.CONCAT(Tabla1[[#This Row],[Fecha de compra]],Tabla1[[#This Row],[Ticker]],Tabla1[[#This Row],[Q]])</f>
        <v>46055VOLCABC1300000</v>
      </c>
      <c r="J105" s="7">
        <v>300000</v>
      </c>
      <c r="K105" s="5">
        <v>0.74</v>
      </c>
      <c r="L105" s="2">
        <f>+Tabla1[[#This Row],[Q]]*Tabla1[[#This Row],[P]]</f>
        <v>222000</v>
      </c>
      <c r="M105" s="49">
        <f>+VLOOKUP(Tabla1[[#This Row],[Identificador]],'P&amp;L Total'!A:L,12,FALSE)</f>
        <v>3.145970534781288E-2</v>
      </c>
      <c r="N105" s="4">
        <f>WORKDAY(Tabla1[[#This Row],[Fecha de compra]],1)</f>
        <v>46056</v>
      </c>
      <c r="O105" s="1" t="s">
        <v>195</v>
      </c>
    </row>
    <row r="106" spans="1:15">
      <c r="A106" s="4" t="str">
        <f>+IF(COUNTIF(Tabla2[Cod_ope],Tabla1[[#This Row],[Cod_Ope]])&gt;0,"out","stock")</f>
        <v>out</v>
      </c>
      <c r="B106" s="4">
        <v>46058</v>
      </c>
      <c r="C106" s="1">
        <v>39592</v>
      </c>
      <c r="D106" s="1" t="s">
        <v>54</v>
      </c>
      <c r="E106" s="1" t="s">
        <v>55</v>
      </c>
      <c r="F106" s="1" t="str" cm="1">
        <f t="array" ref="F106">_xll.BDP(G106,"DS004")</f>
        <v>USD</v>
      </c>
      <c r="G106" s="1" t="str">
        <f>D106&amp; " US Equity"</f>
        <v>PLTR US Equity</v>
      </c>
      <c r="H106" s="1" t="str">
        <f>+_xll.BDP($G106,"Name")</f>
        <v>PALANTIR TECHNOLOGIES INC-A</v>
      </c>
      <c r="I106" s="1" t="str">
        <f>+_xlfn.CONCAT(Tabla1[[#This Row],[Fecha de compra]],Tabla1[[#This Row],[Ticker]],Tabla1[[#This Row],[Q]])</f>
        <v>46058PLTR1104</v>
      </c>
      <c r="J106" s="7">
        <v>1104</v>
      </c>
      <c r="K106" s="5">
        <v>135.49010000000001</v>
      </c>
      <c r="L106" s="2">
        <f>+Tabla1[[#This Row],[Q]]*Tabla1[[#This Row],[P]]</f>
        <v>149581.07040000003</v>
      </c>
      <c r="M106" s="49">
        <f>+VLOOKUP(Tabla1[[#This Row],[Identificador]],'P&amp;L Total'!A:L,12,FALSE)</f>
        <v>4.8158250908487937E-2</v>
      </c>
      <c r="N106" s="4">
        <f>WORKDAY(Tabla1[[#This Row],[Fecha de compra]],1)</f>
        <v>46059</v>
      </c>
      <c r="O106" s="1" t="s">
        <v>195</v>
      </c>
    </row>
    <row r="107" spans="1:15">
      <c r="A107" s="4" t="str">
        <f>+IF(COUNTIF(Tabla2[Cod_ope],Tabla1[[#This Row],[Cod_Ope]])&gt;0,"out","stock")</f>
        <v>out</v>
      </c>
      <c r="B107" s="4">
        <v>46058</v>
      </c>
      <c r="C107" s="1">
        <v>39592</v>
      </c>
      <c r="D107" s="1" t="s">
        <v>215</v>
      </c>
      <c r="E107" s="1" t="s">
        <v>216</v>
      </c>
      <c r="F107" s="1" t="str" cm="1">
        <f t="array" ref="F107">_xll.BDP(G107,"DS004")</f>
        <v>USD</v>
      </c>
      <c r="G107" s="1" t="str">
        <f>D107&amp; " us Equity"</f>
        <v>SMH us Equity</v>
      </c>
      <c r="H107" s="1" t="str">
        <f>+_xll.BDP($G107,"Name")</f>
        <v>VANECK SEMICONDUCTOR ETF</v>
      </c>
      <c r="I107" s="1" t="str">
        <f>+_xlfn.CONCAT(Tabla1[[#This Row],[Fecha de compra]],Tabla1[[#This Row],[Ticker]],Tabla1[[#This Row],[Q]])</f>
        <v>46058SMH264</v>
      </c>
      <c r="J107" s="7">
        <v>264</v>
      </c>
      <c r="K107" s="5">
        <v>377.56990000000002</v>
      </c>
      <c r="L107" s="2">
        <f>+Tabla1[[#This Row],[Q]]*Tabla1[[#This Row],[P]]</f>
        <v>99678.453600000008</v>
      </c>
      <c r="M107" s="49">
        <f>+VLOOKUP(Tabla1[[#This Row],[Identificador]],'P&amp;L Total'!A:L,12,FALSE)</f>
        <v>2.2251205824540987E-2</v>
      </c>
      <c r="N107" s="4">
        <f>WORKDAY(Tabla1[[#This Row],[Fecha de compra]],1)</f>
        <v>46059</v>
      </c>
      <c r="O107" s="1" t="s">
        <v>195</v>
      </c>
    </row>
    <row r="108" spans="1:15">
      <c r="A108" s="4" t="str">
        <f>+IF(COUNTIF(Tabla2[Cod_ope],Tabla1[[#This Row],[Cod_Ope]])&gt;0,"out","stock")</f>
        <v>stock</v>
      </c>
      <c r="B108" s="4">
        <v>46058</v>
      </c>
      <c r="C108" s="1">
        <v>39592</v>
      </c>
      <c r="D108" s="1" t="s">
        <v>104</v>
      </c>
      <c r="E108" s="1" t="s">
        <v>105</v>
      </c>
      <c r="F108" s="1" t="str" cm="1">
        <f t="array" ref="F108">_xll.BDP(G108,"DS004")</f>
        <v>USD</v>
      </c>
      <c r="G108" s="1" t="str">
        <f>D108&amp; " US Equity"</f>
        <v>QQQ US Equity</v>
      </c>
      <c r="H108" s="1" t="str">
        <f>+_xll.BDP($G108,"Name")</f>
        <v>INVESCO QQQ TRUST SERIES 1</v>
      </c>
      <c r="I108" s="1" t="str">
        <f>+_xlfn.CONCAT(Tabla1[[#This Row],[Fecha de compra]],Tabla1[[#This Row],[Ticker]],Tabla1[[#This Row],[Q]])</f>
        <v>46058QQQ167</v>
      </c>
      <c r="J108" s="7">
        <v>167</v>
      </c>
      <c r="K108" s="5">
        <v>595.83000000000004</v>
      </c>
      <c r="L108" s="2">
        <f>+Tabla1[[#This Row],[Q]]*Tabla1[[#This Row],[P]]</f>
        <v>99503.61</v>
      </c>
      <c r="M108" s="49">
        <f>+VLOOKUP(Tabla1[[#This Row],[Identificador]],'P&amp;L Total'!A:L,12,FALSE)</f>
        <v>2.0044585970000948E-2</v>
      </c>
      <c r="N108" s="4">
        <f>WORKDAY(Tabla1[[#This Row],[Fecha de compra]],1)</f>
        <v>46059</v>
      </c>
      <c r="O108" s="1" t="s">
        <v>195</v>
      </c>
    </row>
    <row r="109" spans="1:15">
      <c r="A109" s="4" t="str">
        <f>+IF(COUNTIF(Tabla2[Cod_ope],Tabla1[[#This Row],[Cod_Ope]])&gt;0,"out","stock")</f>
        <v>stock</v>
      </c>
      <c r="B109" s="4">
        <v>46059</v>
      </c>
      <c r="C109" s="1">
        <v>39592</v>
      </c>
      <c r="D109" s="1" t="s">
        <v>218</v>
      </c>
      <c r="E109" s="1" t="s">
        <v>219</v>
      </c>
      <c r="F109" s="1" t="str" cm="1">
        <f t="array" ref="F109">_xll.BDP(G109,"DS004")</f>
        <v>USD</v>
      </c>
      <c r="G109" s="1" t="str">
        <f>D109&amp; " us Equity"</f>
        <v>AMZN us Equity</v>
      </c>
      <c r="H109" s="1" t="str">
        <f>+_xll.BDP($G109,"Name")</f>
        <v>AMAZON.COM INC</v>
      </c>
      <c r="I109" s="1" t="str">
        <f>+_xlfn.CONCAT(Tabla1[[#This Row],[Fecha de compra]],Tabla1[[#This Row],[Ticker]],Tabla1[[#This Row],[Q]])</f>
        <v>46059AMZN978</v>
      </c>
      <c r="J109" s="7">
        <v>978</v>
      </c>
      <c r="K109" s="5">
        <v>204.15</v>
      </c>
      <c r="L109" s="2">
        <f>+Tabla1[[#This Row],[Q]]*Tabla1[[#This Row],[P]]</f>
        <v>199658.7</v>
      </c>
      <c r="M109" s="49">
        <f>+VLOOKUP(Tabla1[[#This Row],[Identificador]],'P&amp;L Total'!A:L,12,FALSE)</f>
        <v>4.9865295126132782E-2</v>
      </c>
      <c r="N109" s="4">
        <f>WORKDAY(Tabla1[[#This Row],[Fecha de compra]],1)</f>
        <v>46062</v>
      </c>
      <c r="O109" s="1" t="s">
        <v>195</v>
      </c>
    </row>
    <row r="110" spans="1:15">
      <c r="A110" s="4" t="str">
        <f>+IF(COUNTIF(Tabla2[Cod_ope],Tabla1[[#This Row],[Cod_Ope]])&gt;0,"out","stock")</f>
        <v>stock</v>
      </c>
      <c r="B110" s="4">
        <v>46059</v>
      </c>
      <c r="C110" s="1">
        <v>39592</v>
      </c>
      <c r="D110" s="1" t="s">
        <v>98</v>
      </c>
      <c r="E110" s="1" t="s">
        <v>99</v>
      </c>
      <c r="F110" s="1" t="str" cm="1">
        <f t="array" ref="F110">_xll.BDP(G110,"DS004")</f>
        <v>PEN</v>
      </c>
      <c r="G110" s="1" t="str">
        <f>D110&amp; " pe Equity"</f>
        <v>VOLCABC1 pe Equity</v>
      </c>
      <c r="H110" s="1" t="str">
        <f>+_xll.BDP($G110,"Name")</f>
        <v>VOLCAN CIA MINERA SAA-CMN B</v>
      </c>
      <c r="I110" s="1" t="str">
        <f>+_xlfn.CONCAT(Tabla1[[#This Row],[Fecha de compra]],Tabla1[[#This Row],[Ticker]],Tabla1[[#This Row],[Q]])</f>
        <v>46059VOLCABC179144</v>
      </c>
      <c r="J110" s="7">
        <v>79144</v>
      </c>
      <c r="K110" s="5">
        <v>0.81</v>
      </c>
      <c r="L110" s="2">
        <f>+Tabla1[[#This Row],[Q]]*Tabla1[[#This Row],[P]]</f>
        <v>64106.640000000007</v>
      </c>
      <c r="M110" s="49">
        <f>+VLOOKUP(Tabla1[[#This Row],[Identificador]],'P&amp;L Total'!A:L,12,FALSE)</f>
        <v>3.145970534781288E-2</v>
      </c>
      <c r="N110" s="4">
        <f>WORKDAY(Tabla1[[#This Row],[Fecha de compra]],1)</f>
        <v>46062</v>
      </c>
      <c r="O110" s="1" t="s">
        <v>195</v>
      </c>
    </row>
    <row r="111" spans="1:15">
      <c r="A111" s="4" t="str">
        <f>+IF(COUNTIF(Tabla2[Cod_ope],Tabla1[[#This Row],[Cod_Ope]])&gt;0,"out","stock")</f>
        <v>stock</v>
      </c>
      <c r="B111" s="4">
        <v>46059</v>
      </c>
      <c r="C111" s="1">
        <v>39592</v>
      </c>
      <c r="D111" s="1" t="s">
        <v>96</v>
      </c>
      <c r="E111" s="1" t="s">
        <v>97</v>
      </c>
      <c r="F111" s="1" t="str" cm="1">
        <f t="array" ref="F111">_xll.BDP(G111,"DS004")</f>
        <v>USD</v>
      </c>
      <c r="G111" s="1" t="str">
        <f>D111&amp; " us Equity"</f>
        <v>AUNA us Equity</v>
      </c>
      <c r="H111" s="1" t="str">
        <f>+_xll.BDP($G111,"Name")</f>
        <v>AUNA SA-CLASS A</v>
      </c>
      <c r="I111" s="1" t="str">
        <f>+_xlfn.CONCAT(Tabla1[[#This Row],[Fecha de compra]],Tabla1[[#This Row],[Ticker]],Tabla1[[#This Row],[Q]])</f>
        <v>46059AUNA17450</v>
      </c>
      <c r="J111" s="7">
        <v>17450</v>
      </c>
      <c r="K111" s="5">
        <v>4.5499000000000001</v>
      </c>
      <c r="L111" s="2">
        <f>+Tabla1[[#This Row],[Q]]*Tabla1[[#This Row],[P]]</f>
        <v>79395.755000000005</v>
      </c>
      <c r="M111" s="49">
        <f>+VLOOKUP(Tabla1[[#This Row],[Identificador]],'P&amp;L Total'!A:L,12,FALSE)</f>
        <v>-8.6320451888425076E-2</v>
      </c>
      <c r="N111" s="4">
        <f>WORKDAY(Tabla1[[#This Row],[Fecha de compra]],1)</f>
        <v>46062</v>
      </c>
      <c r="O111" s="1" t="s">
        <v>195</v>
      </c>
    </row>
    <row r="112" spans="1:15">
      <c r="A112" s="4" t="str">
        <f>+IF(COUNTIF(Tabla2[Cod_ope],Tabla1[[#This Row],[Cod_Ope]])&gt;0,"out","stock")</f>
        <v>stock</v>
      </c>
      <c r="B112" s="4">
        <v>46064</v>
      </c>
      <c r="C112" s="1">
        <v>39592</v>
      </c>
      <c r="D112" s="1" t="s">
        <v>124</v>
      </c>
      <c r="E112" s="1" t="s">
        <v>125</v>
      </c>
      <c r="F112" s="1" t="str" cm="1">
        <f t="array" ref="F112">_xll.BDP(G112,"DS004")</f>
        <v>USD</v>
      </c>
      <c r="G112" s="1" t="str">
        <f>D112&amp; " pe Equity"</f>
        <v>INRETC1 pe Equity</v>
      </c>
      <c r="H112" s="1" t="str">
        <f>+_xll.BDP($G112,"Name")</f>
        <v>INRETAIL PERU CORP</v>
      </c>
      <c r="I112" s="1" t="str">
        <f>+_xlfn.CONCAT(Tabla1[[#This Row],[Fecha de compra]],Tabla1[[#This Row],[Ticker]],Tabla1[[#This Row],[Q]])</f>
        <v>46064INRETC11917</v>
      </c>
      <c r="J112" s="7">
        <v>1917</v>
      </c>
      <c r="K112" s="5">
        <v>28.8</v>
      </c>
      <c r="L112" s="2">
        <f>+Tabla1[[#This Row],[Q]]*Tabla1[[#This Row],[P]]</f>
        <v>55209.599999999999</v>
      </c>
      <c r="M112" s="49">
        <f>+VLOOKUP(Tabla1[[#This Row],[Identificador]],'P&amp;L Total'!A:L,12,FALSE)</f>
        <v>7.0657616557249364E-2</v>
      </c>
      <c r="N112" s="4">
        <f>WORKDAY(Tabla1[[#This Row],[Fecha de compra]],1)</f>
        <v>46065</v>
      </c>
      <c r="O112" s="1" t="s">
        <v>195</v>
      </c>
    </row>
    <row r="113" spans="1:15">
      <c r="A113" s="4" t="str">
        <f>+IF(COUNTIF(Tabla2[Cod_ope],Tabla1[[#This Row],[Cod_Ope]])&gt;0,"out","stock")</f>
        <v>stock</v>
      </c>
      <c r="B113" s="4">
        <v>46064</v>
      </c>
      <c r="C113" s="1">
        <v>39592</v>
      </c>
      <c r="D113" s="1" t="s">
        <v>124</v>
      </c>
      <c r="E113" s="1" t="s">
        <v>125</v>
      </c>
      <c r="F113" s="1" t="str" cm="1">
        <f t="array" ref="F113">_xll.BDP(G113,"DS004")</f>
        <v>USD</v>
      </c>
      <c r="G113" s="1" t="str">
        <f>D113&amp; " pe Equity"</f>
        <v>INRETC1 pe Equity</v>
      </c>
      <c r="H113" s="1" t="str">
        <f>+_xll.BDP($G113,"Name")</f>
        <v>INRETAIL PERU CORP</v>
      </c>
      <c r="I113" s="1" t="str">
        <f>+_xlfn.CONCAT(Tabla1[[#This Row],[Fecha de compra]],Tabla1[[#This Row],[Ticker]],Tabla1[[#This Row],[Q]])</f>
        <v>46064INRETC1183</v>
      </c>
      <c r="J113" s="7">
        <v>183</v>
      </c>
      <c r="K113" s="5">
        <v>28.8</v>
      </c>
      <c r="L113" s="2">
        <f>+Tabla1[[#This Row],[Q]]*Tabla1[[#This Row],[P]]</f>
        <v>5270.4000000000005</v>
      </c>
      <c r="M113" s="49">
        <f>+VLOOKUP(Tabla1[[#This Row],[Identificador]],'P&amp;L Total'!A:L,12,FALSE)</f>
        <v>7.0657616557249364E-2</v>
      </c>
      <c r="N113" s="4">
        <f>WORKDAY(Tabla1[[#This Row],[Fecha de compra]],1)</f>
        <v>46065</v>
      </c>
      <c r="O113" s="1" t="s">
        <v>195</v>
      </c>
    </row>
    <row r="114" spans="1:15">
      <c r="A114" s="4" t="str">
        <f>+IF(COUNTIF(Tabla2[Cod_ope],Tabla1[[#This Row],[Cod_Ope]])&gt;0,"out","stock")</f>
        <v>stock</v>
      </c>
      <c r="B114" s="4">
        <v>46064</v>
      </c>
      <c r="C114" s="1">
        <v>39592</v>
      </c>
      <c r="D114" s="1" t="s">
        <v>52</v>
      </c>
      <c r="E114" s="1" t="s">
        <v>53</v>
      </c>
      <c r="F114" s="1" t="str" cm="1">
        <f t="array" ref="F114">_xll.BDP(G114,"DS004")</f>
        <v>USD</v>
      </c>
      <c r="G114" s="1" t="str">
        <f>D114&amp; " us Equity"</f>
        <v>XLU us Equity</v>
      </c>
      <c r="H114" s="1" t="str">
        <f>+_xll.BDP($G114,"Name")</f>
        <v>ST SR UTL SL SE SPDR ETF-USD</v>
      </c>
      <c r="I114" s="1" t="str">
        <f>+_xlfn.CONCAT(Tabla1[[#This Row],[Fecha de compra]],Tabla1[[#This Row],[Ticker]],Tabla1[[#This Row],[Q]])</f>
        <v>46064XLU1123</v>
      </c>
      <c r="J114" s="7">
        <v>1123</v>
      </c>
      <c r="K114" s="5">
        <v>44.439900000000002</v>
      </c>
      <c r="L114" s="2">
        <f>+Tabla1[[#This Row],[Q]]*Tabla1[[#This Row],[P]]</f>
        <v>49906.007700000002</v>
      </c>
      <c r="M114" s="49">
        <f>+VLOOKUP(Tabla1[[#This Row],[Identificador]],'P&amp;L Total'!A:L,12,FALSE)</f>
        <v>7.1288450342394741E-2</v>
      </c>
      <c r="N114" s="4">
        <f>WORKDAY(Tabla1[[#This Row],[Fecha de compra]],1)</f>
        <v>46065</v>
      </c>
      <c r="O114" s="1" t="s">
        <v>195</v>
      </c>
    </row>
    <row r="115" spans="1:15">
      <c r="A115" s="4" t="str">
        <f>+IF(COUNTIF(Tabla2[Cod_ope],Tabla1[[#This Row],[Cod_Ope]])&gt;0,"out","stock")</f>
        <v>stock</v>
      </c>
      <c r="B115" s="4">
        <v>46064</v>
      </c>
      <c r="C115" s="1">
        <v>39592</v>
      </c>
      <c r="D115" s="1" t="s">
        <v>48</v>
      </c>
      <c r="E115" s="1" t="s">
        <v>49</v>
      </c>
      <c r="F115" s="1" t="str" cm="1">
        <f t="array" ref="F115">_xll.BDP(G115,"DS004")</f>
        <v>USD</v>
      </c>
      <c r="G115" s="1" t="str">
        <f>D115&amp; " us Equity"</f>
        <v>XLI us Equity</v>
      </c>
      <c r="H115" s="1" t="str">
        <f>+_xll.BDP($G115,"Name")</f>
        <v>SS INDUSTRIAL SELECT SECTOR</v>
      </c>
      <c r="I115" s="1" t="str">
        <f>+_xlfn.CONCAT(Tabla1[[#This Row],[Fecha de compra]],Tabla1[[#This Row],[Ticker]],Tabla1[[#This Row],[Q]])</f>
        <v>46064XLI284</v>
      </c>
      <c r="J115" s="7">
        <v>284</v>
      </c>
      <c r="K115" s="5">
        <v>175.77</v>
      </c>
      <c r="L115" s="2">
        <f>+Tabla1[[#This Row],[Q]]*Tabla1[[#This Row],[P]]</f>
        <v>49918.68</v>
      </c>
      <c r="M115" s="49">
        <f>+VLOOKUP(Tabla1[[#This Row],[Identificador]],'P&amp;L Total'!A:L,12,FALSE)</f>
        <v>6.3487407571855142E-2</v>
      </c>
      <c r="N115" s="4">
        <f>WORKDAY(Tabla1[[#This Row],[Fecha de compra]],1)</f>
        <v>46065</v>
      </c>
      <c r="O115" s="1" t="s">
        <v>195</v>
      </c>
    </row>
    <row r="116" spans="1:15">
      <c r="A116" s="4" t="str">
        <f>+IF(COUNTIF(Tabla2[Cod_ope],Tabla1[[#This Row],[Cod_Ope]])&gt;0,"out","stock")</f>
        <v>stock</v>
      </c>
      <c r="B116" s="4">
        <v>46064</v>
      </c>
      <c r="C116" s="1">
        <v>39592</v>
      </c>
      <c r="D116" s="1" t="s">
        <v>120</v>
      </c>
      <c r="E116" s="1" t="s">
        <v>121</v>
      </c>
      <c r="F116" s="1" t="str" cm="1">
        <f t="array" ref="F116">_xll.BDP(G116,"DS004")</f>
        <v>USD</v>
      </c>
      <c r="G116" s="1" t="str">
        <f>D116&amp; " us Equity"</f>
        <v>JDOC us Equity</v>
      </c>
      <c r="H116" s="1" t="str">
        <f>+_xll.BDP($G116,"Name")</f>
        <v>JPMORGAN HEALTHCARE LEAD ETF</v>
      </c>
      <c r="I116" s="1" t="str">
        <f>+_xlfn.CONCAT(Tabla1[[#This Row],[Fecha de compra]],Tabla1[[#This Row],[Ticker]],Tabla1[[#This Row],[Q]])</f>
        <v>46064JDOC852</v>
      </c>
      <c r="J116" s="7">
        <v>852</v>
      </c>
      <c r="K116" s="5">
        <v>58.469959000000003</v>
      </c>
      <c r="L116" s="2">
        <f>+Tabla1[[#This Row],[Q]]*Tabla1[[#This Row],[P]]</f>
        <v>49816.405068</v>
      </c>
      <c r="M116" s="49">
        <f>+VLOOKUP(Tabla1[[#This Row],[Identificador]],'P&amp;L Total'!A:L,12,FALSE)</f>
        <v>-1.3802435980464451E-2</v>
      </c>
      <c r="N116" s="4">
        <f>WORKDAY(Tabla1[[#This Row],[Fecha de compra]],1)</f>
        <v>46065</v>
      </c>
      <c r="O116" s="1" t="s">
        <v>195</v>
      </c>
    </row>
    <row r="117" spans="1:15">
      <c r="A117" s="4" t="str">
        <f>+IF(COUNTIF(Tabla2[Cod_ope],Tabla1[[#This Row],[Cod_Ope]])&gt;0,"out","stock")</f>
        <v>stock</v>
      </c>
      <c r="B117" s="4">
        <v>46064</v>
      </c>
      <c r="C117" s="1">
        <v>39592</v>
      </c>
      <c r="D117" s="1" t="s">
        <v>88</v>
      </c>
      <c r="E117" s="1" t="s">
        <v>89</v>
      </c>
      <c r="F117" s="1" t="str" cm="1">
        <f t="array" ref="F117">_xll.BDP(G117,"DS004")</f>
        <v>USD</v>
      </c>
      <c r="G117" s="1" t="str">
        <f>D117&amp; " us Equity"</f>
        <v>CQQQ us Equity</v>
      </c>
      <c r="H117" s="1" t="str">
        <f>+_xll.BDP($G117,"Name")</f>
        <v>INVESCO CHINA TECHNOLOGY ETF</v>
      </c>
      <c r="I117" s="1" t="str">
        <f>+_xlfn.CONCAT(Tabla1[[#This Row],[Fecha de compra]],Tabla1[[#This Row],[Ticker]],Tabla1[[#This Row],[Q]])</f>
        <v>46064CQQQ1490</v>
      </c>
      <c r="J117" s="7">
        <v>1490</v>
      </c>
      <c r="K117" s="5">
        <v>53.61</v>
      </c>
      <c r="L117" s="2">
        <f>+Tabla1[[#This Row],[Q]]*Tabla1[[#This Row],[P]]</f>
        <v>79878.899999999994</v>
      </c>
      <c r="M117" s="49">
        <f>+VLOOKUP(Tabla1[[#This Row],[Identificador]],'P&amp;L Total'!A:L,12,FALSE)</f>
        <v>-6.8768839729956135E-2</v>
      </c>
      <c r="N117" s="4">
        <f>WORKDAY(Tabla1[[#This Row],[Fecha de compra]],1)</f>
        <v>46065</v>
      </c>
      <c r="O117" s="1" t="s">
        <v>195</v>
      </c>
    </row>
    <row r="118" spans="1:15">
      <c r="A118" s="4" t="str">
        <f>+IF(COUNTIF(Tabla2[Cod_ope],Tabla1[[#This Row],[Cod_Ope]])&gt;0,"out","stock")</f>
        <v>stock</v>
      </c>
      <c r="B118" s="4">
        <v>46066</v>
      </c>
      <c r="C118" s="1">
        <v>39592</v>
      </c>
      <c r="D118" s="1" t="s">
        <v>90</v>
      </c>
      <c r="E118" s="1" t="s">
        <v>91</v>
      </c>
      <c r="F118" s="1" t="str" cm="1">
        <f t="array" ref="F118">_xll.BDP(G118,"DS004")</f>
        <v>PEN</v>
      </c>
      <c r="G118" s="1" t="str">
        <f>D118&amp; " pe Equity"</f>
        <v>MINSURI1 pe Equity</v>
      </c>
      <c r="H118" s="1" t="str">
        <f>+_xll.BDP($G118,"Name")</f>
        <v>MINSUR SA-INVERSIONES</v>
      </c>
      <c r="I118" s="1" t="str">
        <f>+_xlfn.CONCAT(Tabla1[[#This Row],[Fecha de compra]],Tabla1[[#This Row],[Ticker]],Tabla1[[#This Row],[Q]])</f>
        <v>46066MINSURI17955</v>
      </c>
      <c r="J118" s="7">
        <v>7955</v>
      </c>
      <c r="K118" s="5">
        <v>6.8</v>
      </c>
      <c r="L118" s="2">
        <f>+Tabla1[[#This Row],[Q]]*Tabla1[[#This Row],[P]]</f>
        <v>54094</v>
      </c>
      <c r="M118" s="49">
        <f>+VLOOKUP(Tabla1[[#This Row],[Identificador]],'P&amp;L Total'!A:L,12,FALSE)</f>
        <v>0.30273196905633853</v>
      </c>
      <c r="N118" s="4">
        <f>WORKDAY(Tabla1[[#This Row],[Fecha de compra]],1)</f>
        <v>46069</v>
      </c>
      <c r="O118" s="1" t="s">
        <v>195</v>
      </c>
    </row>
    <row r="119" spans="1:15">
      <c r="A119" s="4" t="str">
        <f>+IF(COUNTIF(Tabla2[Cod_ope],Tabla1[[#This Row],[Cod_Ope]])&gt;0,"out","stock")</f>
        <v>stock</v>
      </c>
      <c r="B119" s="4">
        <v>46066</v>
      </c>
      <c r="C119" s="1">
        <v>39592</v>
      </c>
      <c r="D119" s="1" t="s">
        <v>106</v>
      </c>
      <c r="E119" s="1" t="s">
        <v>107</v>
      </c>
      <c r="F119" s="1" t="str" cm="1">
        <f t="array" ref="F119">_xll.BDP(G119,"DS004")</f>
        <v>USD</v>
      </c>
      <c r="G119" s="1" t="str">
        <f>D119&amp; " US Equity"</f>
        <v>BAP US Equity</v>
      </c>
      <c r="H119" s="1" t="str">
        <f>+_xll.BDP($G119,"Name")</f>
        <v>CREDICORP LTD</v>
      </c>
      <c r="I119" s="1" t="str">
        <f>+_xlfn.CONCAT(Tabla1[[#This Row],[Fecha de compra]],Tabla1[[#This Row],[Ticker]],Tabla1[[#This Row],[Q]])</f>
        <v>46066BAP460</v>
      </c>
      <c r="J119" s="7">
        <v>460</v>
      </c>
      <c r="K119" s="5">
        <v>324.7</v>
      </c>
      <c r="L119" s="2">
        <f>+Tabla1[[#This Row],[Q]]*Tabla1[[#This Row],[P]]</f>
        <v>149362</v>
      </c>
      <c r="M119" s="49">
        <f>+VLOOKUP(Tabla1[[#This Row],[Identificador]],'P&amp;L Total'!A:L,12,FALSE)</f>
        <v>0.15438164630579276</v>
      </c>
      <c r="N119" s="4">
        <f>WORKDAY(Tabla1[[#This Row],[Fecha de compra]],1)</f>
        <v>46069</v>
      </c>
      <c r="O119" s="1" t="s">
        <v>195</v>
      </c>
    </row>
    <row r="120" spans="1:15">
      <c r="A120" s="4" t="str">
        <f>+IF(COUNTIF(Tabla2[Cod_ope],Tabla1[[#This Row],[Cod_Ope]])&gt;0,"out","stock")</f>
        <v>stock</v>
      </c>
      <c r="B120" s="4">
        <v>46066</v>
      </c>
      <c r="C120" s="1">
        <v>39592</v>
      </c>
      <c r="D120" s="1" t="s">
        <v>98</v>
      </c>
      <c r="E120" s="1" t="s">
        <v>99</v>
      </c>
      <c r="F120" s="1" t="str" cm="1">
        <f t="array" ref="F120">_xll.BDP(G120,"DS004")</f>
        <v>PEN</v>
      </c>
      <c r="G120" s="1" t="str">
        <f>D120&amp; " pe Equity"</f>
        <v>VOLCABC1 pe Equity</v>
      </c>
      <c r="H120" s="1" t="str">
        <f>+_xll.BDP($G120,"Name")</f>
        <v>VOLCAN CIA MINERA SAA-CMN B</v>
      </c>
      <c r="I120" s="1" t="str">
        <f>+_xlfn.CONCAT(Tabla1[[#This Row],[Fecha de compra]],Tabla1[[#This Row],[Ticker]],Tabla1[[#This Row],[Q]])</f>
        <v>46066VOLCABC189952</v>
      </c>
      <c r="J120" s="7">
        <v>89952</v>
      </c>
      <c r="K120" s="5">
        <v>0.83</v>
      </c>
      <c r="L120" s="2">
        <f>+Tabla1[[#This Row],[Q]]*Tabla1[[#This Row],[P]]</f>
        <v>74660.160000000003</v>
      </c>
      <c r="M120" s="49">
        <f>+VLOOKUP(Tabla1[[#This Row],[Identificador]],'P&amp;L Total'!A:L,12,FALSE)</f>
        <v>3.145970534781288E-2</v>
      </c>
      <c r="N120" s="4">
        <f>WORKDAY(Tabla1[[#This Row],[Fecha de compra]],1)</f>
        <v>46069</v>
      </c>
      <c r="O120" s="1" t="s">
        <v>195</v>
      </c>
    </row>
    <row r="121" spans="1:15">
      <c r="A121" s="4" t="str">
        <f>+IF(COUNTIF(Tabla2[Cod_ope],Tabla1[[#This Row],[Cod_Ope]])&gt;0,"out","stock")</f>
        <v>stock</v>
      </c>
      <c r="B121" s="4">
        <v>46066</v>
      </c>
      <c r="C121" s="1">
        <v>39592</v>
      </c>
      <c r="D121" s="1" t="s">
        <v>98</v>
      </c>
      <c r="E121" s="1" t="s">
        <v>99</v>
      </c>
      <c r="F121" s="1" t="str" cm="1">
        <f t="array" ref="F121">_xll.BDP(G121,"DS004")</f>
        <v>PEN</v>
      </c>
      <c r="G121" s="1" t="str">
        <f>D121&amp; " pe Equity"</f>
        <v>VOLCABC1 pe Equity</v>
      </c>
      <c r="H121" s="1" t="str">
        <f>+_xll.BDP($G121,"Name")</f>
        <v>VOLCAN CIA MINERA SAA-CMN B</v>
      </c>
      <c r="I121" s="1" t="str">
        <f>+_xlfn.CONCAT(Tabla1[[#This Row],[Fecha de compra]],Tabla1[[#This Row],[Ticker]],Tabla1[[#This Row],[Q]])</f>
        <v>46066VOLCABC130000</v>
      </c>
      <c r="J121" s="7">
        <v>30000</v>
      </c>
      <c r="K121" s="5">
        <v>0.83</v>
      </c>
      <c r="L121" s="2">
        <f>+Tabla1[[#This Row],[Q]]*Tabla1[[#This Row],[P]]</f>
        <v>24900</v>
      </c>
      <c r="M121" s="49">
        <f>+VLOOKUP(Tabla1[[#This Row],[Identificador]],'P&amp;L Total'!A:L,12,FALSE)</f>
        <v>3.145970534781288E-2</v>
      </c>
      <c r="N121" s="4">
        <f>WORKDAY(Tabla1[[#This Row],[Fecha de compra]],1)</f>
        <v>46069</v>
      </c>
      <c r="O121" s="1" t="s">
        <v>195</v>
      </c>
    </row>
    <row r="122" spans="1:15">
      <c r="A122" s="4" t="str">
        <f>+IF(COUNTIF(Tabla2[Cod_ope],Tabla1[[#This Row],[Cod_Ope]])&gt;0,"out","stock")</f>
        <v>stock</v>
      </c>
      <c r="B122" s="4">
        <v>46066</v>
      </c>
      <c r="C122" s="1">
        <v>39592</v>
      </c>
      <c r="D122" s="1" t="s">
        <v>98</v>
      </c>
      <c r="E122" s="1" t="s">
        <v>99</v>
      </c>
      <c r="F122" s="1" t="str" cm="1">
        <f t="array" ref="F122">_xll.BDP(G122,"DS004")</f>
        <v>PEN</v>
      </c>
      <c r="G122" s="1" t="str">
        <f>D122&amp; " pe Equity"</f>
        <v>VOLCABC1 pe Equity</v>
      </c>
      <c r="H122" s="1" t="str">
        <f>+_xll.BDP($G122,"Name")</f>
        <v>VOLCAN CIA MINERA SAA-CMN B</v>
      </c>
      <c r="I122" s="1" t="str">
        <f>+_xlfn.CONCAT(Tabla1[[#This Row],[Fecha de compra]],Tabla1[[#This Row],[Ticker]],Tabla1[[#This Row],[Q]])</f>
        <v>46066VOLCABC150000</v>
      </c>
      <c r="J122" s="7">
        <v>50000</v>
      </c>
      <c r="K122" s="5">
        <v>0.83</v>
      </c>
      <c r="L122" s="2">
        <f>+Tabla1[[#This Row],[Q]]*Tabla1[[#This Row],[P]]</f>
        <v>41500</v>
      </c>
      <c r="M122" s="49">
        <f>+VLOOKUP(Tabla1[[#This Row],[Identificador]],'P&amp;L Total'!A:L,12,FALSE)</f>
        <v>3.145970534781288E-2</v>
      </c>
      <c r="N122" s="4">
        <f>WORKDAY(Tabla1[[#This Row],[Fecha de compra]],1)</f>
        <v>46069</v>
      </c>
      <c r="O122" s="1" t="s">
        <v>195</v>
      </c>
    </row>
    <row r="123" spans="1:15">
      <c r="A123" s="4" t="str">
        <f>+IF(COUNTIF(Tabla2[Cod_ope],Tabla1[[#This Row],[Cod_Ope]])&gt;0,"out","stock")</f>
        <v>stock</v>
      </c>
      <c r="B123" s="4">
        <v>46066</v>
      </c>
      <c r="C123" s="1">
        <v>39592</v>
      </c>
      <c r="D123" s="1" t="s">
        <v>98</v>
      </c>
      <c r="E123" s="1" t="s">
        <v>99</v>
      </c>
      <c r="F123" s="1" t="str" cm="1">
        <f t="array" ref="F123">_xll.BDP(G123,"DS004")</f>
        <v>PEN</v>
      </c>
      <c r="G123" s="1" t="str">
        <f>D123&amp; " pe Equity"</f>
        <v>VOLCABC1 pe Equity</v>
      </c>
      <c r="H123" s="1" t="str">
        <f>+_xll.BDP($G123,"Name")</f>
        <v>VOLCAN CIA MINERA SAA-CMN B</v>
      </c>
      <c r="I123" s="1" t="str">
        <f>+_xlfn.CONCAT(Tabla1[[#This Row],[Fecha de compra]],Tabla1[[#This Row],[Ticker]],Tabla1[[#This Row],[Q]])</f>
        <v>46066VOLCABC148</v>
      </c>
      <c r="J123" s="7">
        <v>48</v>
      </c>
      <c r="K123" s="5">
        <v>0.83</v>
      </c>
      <c r="L123" s="2">
        <f>+Tabla1[[#This Row],[Q]]*Tabla1[[#This Row],[P]]</f>
        <v>39.839999999999996</v>
      </c>
      <c r="M123" s="49">
        <f>+VLOOKUP(Tabla1[[#This Row],[Identificador]],'P&amp;L Total'!A:L,12,FALSE)</f>
        <v>3.145970534781288E-2</v>
      </c>
      <c r="N123" s="4">
        <f>WORKDAY(Tabla1[[#This Row],[Fecha de compra]],1)</f>
        <v>46069</v>
      </c>
      <c r="O123" s="1" t="s">
        <v>195</v>
      </c>
    </row>
    <row r="124" spans="1:15">
      <c r="A124" s="4" t="str">
        <f>+IF(COUNTIF(Tabla2[Cod_ope],Tabla1[[#This Row],[Cod_Ope]])&gt;0,"out","stock")</f>
        <v>stock</v>
      </c>
      <c r="B124" s="4">
        <v>46066</v>
      </c>
      <c r="C124" s="1">
        <v>39592</v>
      </c>
      <c r="D124" s="1" t="s">
        <v>98</v>
      </c>
      <c r="E124" s="1" t="s">
        <v>99</v>
      </c>
      <c r="F124" s="1" t="str" cm="1">
        <f t="array" ref="F124">_xll.BDP(G124,"DS004")</f>
        <v>PEN</v>
      </c>
      <c r="G124" s="1" t="str">
        <f>D124&amp; " pe Equity"</f>
        <v>VOLCABC1 pe Equity</v>
      </c>
      <c r="H124" s="1" t="str">
        <f>+_xll.BDP($G124,"Name")</f>
        <v>VOLCAN CIA MINERA SAA-CMN B</v>
      </c>
      <c r="I124" s="1" t="str">
        <f>+_xlfn.CONCAT(Tabla1[[#This Row],[Fecha de compra]],Tabla1[[#This Row],[Ticker]],Tabla1[[#This Row],[Q]])</f>
        <v>46066VOLCABC129952</v>
      </c>
      <c r="J124" s="7">
        <v>29952</v>
      </c>
      <c r="K124" s="5">
        <v>0.83</v>
      </c>
      <c r="L124" s="2">
        <f>+Tabla1[[#This Row],[Q]]*Tabla1[[#This Row],[P]]</f>
        <v>24860.16</v>
      </c>
      <c r="M124" s="49">
        <f>+VLOOKUP(Tabla1[[#This Row],[Identificador]],'P&amp;L Total'!A:L,12,FALSE)</f>
        <v>3.145970534781288E-2</v>
      </c>
      <c r="N124" s="4">
        <f>WORKDAY(Tabla1[[#This Row],[Fecha de compra]],1)</f>
        <v>46069</v>
      </c>
      <c r="O124" s="1" t="s">
        <v>195</v>
      </c>
    </row>
    <row r="125" spans="1:15">
      <c r="A125" s="4" t="str">
        <f>+IF(COUNTIF(Tabla2[Cod_ope],Tabla1[[#This Row],[Cod_Ope]])&gt;0,"out","stock")</f>
        <v>stock</v>
      </c>
      <c r="B125" s="4">
        <v>46066</v>
      </c>
      <c r="C125" s="1">
        <v>39592</v>
      </c>
      <c r="D125" s="1" t="s">
        <v>98</v>
      </c>
      <c r="E125" s="1" t="s">
        <v>99</v>
      </c>
      <c r="F125" s="1" t="str" cm="1">
        <f t="array" ref="F125">_xll.BDP(G125,"DS004")</f>
        <v>PEN</v>
      </c>
      <c r="G125" s="1" t="str">
        <f>D125&amp; " pe Equity"</f>
        <v>VOLCABC1 pe Equity</v>
      </c>
      <c r="H125" s="1" t="str">
        <f>+_xll.BDP($G125,"Name")</f>
        <v>VOLCAN CIA MINERA SAA-CMN B</v>
      </c>
      <c r="I125" s="1" t="str">
        <f>+_xlfn.CONCAT(Tabla1[[#This Row],[Fecha de compra]],Tabla1[[#This Row],[Ticker]],Tabla1[[#This Row],[Q]])</f>
        <v>46066VOLCABC150000</v>
      </c>
      <c r="J125" s="7">
        <v>50000</v>
      </c>
      <c r="K125" s="5">
        <v>0.83</v>
      </c>
      <c r="L125" s="2">
        <f>+Tabla1[[#This Row],[Q]]*Tabla1[[#This Row],[P]]</f>
        <v>41500</v>
      </c>
      <c r="M125" s="49">
        <f>+VLOOKUP(Tabla1[[#This Row],[Identificador]],'P&amp;L Total'!A:L,12,FALSE)</f>
        <v>3.145970534781288E-2</v>
      </c>
      <c r="N125" s="4">
        <f>WORKDAY(Tabla1[[#This Row],[Fecha de compra]],1)</f>
        <v>46069</v>
      </c>
      <c r="O125" s="1" t="s">
        <v>195</v>
      </c>
    </row>
    <row r="126" spans="1:15">
      <c r="A126" s="4" t="str">
        <f>+IF(COUNTIF(Tabla2[Cod_ope],Tabla1[[#This Row],[Cod_Ope]])&gt;0,"out","stock")</f>
        <v>stock</v>
      </c>
      <c r="B126" s="4">
        <v>46066</v>
      </c>
      <c r="C126" s="1">
        <v>39592</v>
      </c>
      <c r="D126" s="1" t="s">
        <v>98</v>
      </c>
      <c r="E126" s="1" t="s">
        <v>99</v>
      </c>
      <c r="F126" s="1" t="str" cm="1">
        <f t="array" ref="F126">_xll.BDP(G126,"DS004")</f>
        <v>PEN</v>
      </c>
      <c r="G126" s="1" t="str">
        <f>D126&amp; " pe Equity"</f>
        <v>VOLCABC1 pe Equity</v>
      </c>
      <c r="H126" s="1" t="str">
        <f>+_xll.BDP($G126,"Name")</f>
        <v>VOLCAN CIA MINERA SAA-CMN B</v>
      </c>
      <c r="I126" s="1" t="str">
        <f>+_xlfn.CONCAT(Tabla1[[#This Row],[Fecha de compra]],Tabla1[[#This Row],[Ticker]],Tabla1[[#This Row],[Q]])</f>
        <v>46066VOLCABC110048</v>
      </c>
      <c r="J126" s="7">
        <v>10048</v>
      </c>
      <c r="K126" s="5">
        <v>0.83</v>
      </c>
      <c r="L126" s="2">
        <f>+Tabla1[[#This Row],[Q]]*Tabla1[[#This Row],[P]]</f>
        <v>8339.84</v>
      </c>
      <c r="M126" s="49">
        <f>+VLOOKUP(Tabla1[[#This Row],[Identificador]],'P&amp;L Total'!A:L,12,FALSE)</f>
        <v>3.145970534781288E-2</v>
      </c>
      <c r="N126" s="4">
        <f>WORKDAY(Tabla1[[#This Row],[Fecha de compra]],1)</f>
        <v>46069</v>
      </c>
      <c r="O126" s="1" t="s">
        <v>195</v>
      </c>
    </row>
    <row r="127" spans="1:15">
      <c r="A127" s="4" t="str">
        <f>+IF(COUNTIF(Tabla2[Cod_ope],Tabla1[[#This Row],[Cod_Ope]])&gt;0,"out","stock")</f>
        <v>out</v>
      </c>
      <c r="B127" s="4">
        <v>46076</v>
      </c>
      <c r="C127" s="1">
        <v>39592</v>
      </c>
      <c r="D127" s="1" t="s">
        <v>54</v>
      </c>
      <c r="E127" s="1" t="s">
        <v>55</v>
      </c>
      <c r="F127" s="1" t="str" cm="1">
        <f t="array" ref="F127">_xll.BDP(G127,"DS004")</f>
        <v>USD</v>
      </c>
      <c r="G127" s="1" t="str">
        <f>D127&amp; " US Equity"</f>
        <v>PLTR US Equity</v>
      </c>
      <c r="H127" s="1" t="str">
        <f>+_xll.BDP($G127,"Name")</f>
        <v>PALANTIR TECHNOLOGIES INC-A</v>
      </c>
      <c r="I127" s="1" t="str">
        <f>+_xlfn.CONCAT(Tabla1[[#This Row],[Fecha de compra]],Tabla1[[#This Row],[Ticker]],Tabla1[[#This Row],[Q]])</f>
        <v>46076PLTR390</v>
      </c>
      <c r="J127" s="7">
        <v>390</v>
      </c>
      <c r="K127" s="5">
        <v>127.71</v>
      </c>
      <c r="L127" s="2">
        <f>+Tabla1[[#This Row],[Q]]*Tabla1[[#This Row],[P]]</f>
        <v>49806.899999999994</v>
      </c>
      <c r="M127" s="49">
        <f>+VLOOKUP(Tabla1[[#This Row],[Identificador]],'P&amp;L Total'!A:L,12,FALSE)</f>
        <v>4.8158250908487937E-2</v>
      </c>
      <c r="N127" s="4">
        <f>WORKDAY(Tabla1[[#This Row],[Fecha de compra]],0)</f>
        <v>46076</v>
      </c>
      <c r="O127" s="1" t="s">
        <v>195</v>
      </c>
    </row>
    <row r="128" spans="1:15">
      <c r="A128" s="4" t="str">
        <f>+IF(COUNTIF(Tabla2[Cod_ope],Tabla1[[#This Row],[Cod_Ope]])&gt;0,"out","stock")</f>
        <v>stock</v>
      </c>
      <c r="B128" s="4">
        <v>46078</v>
      </c>
      <c r="C128" s="1">
        <v>39592</v>
      </c>
      <c r="D128" s="1" t="s">
        <v>196</v>
      </c>
      <c r="E128" s="1" t="s">
        <v>197</v>
      </c>
      <c r="F128" s="1" t="str" cm="1">
        <f t="array" ref="F128">_xll.BDP(G128,"DS004")</f>
        <v>USD</v>
      </c>
      <c r="G128" s="1" t="str">
        <f>D128&amp; " US Equity"</f>
        <v>CIB US Equity</v>
      </c>
      <c r="H128" s="1" t="str">
        <f>+_xll.BDP($G128,"Name")</f>
        <v>GRUPO CIBEST SA-ADR</v>
      </c>
      <c r="I128" s="1" t="str">
        <f>+_xlfn.CONCAT(Tabla1[[#This Row],[Fecha de compra]],Tabla1[[#This Row],[Ticker]],Tabla1[[#This Row],[Q]])</f>
        <v>46078CIB1330</v>
      </c>
      <c r="J128" s="7">
        <v>1330</v>
      </c>
      <c r="K128" s="5">
        <v>74.75</v>
      </c>
      <c r="L128" s="2">
        <f>+Tabla1[[#This Row],[Q]]*Tabla1[[#This Row],[P]]</f>
        <v>99417.5</v>
      </c>
      <c r="M128" s="49">
        <f>+VLOOKUP(Tabla1[[#This Row],[Identificador]],'P&amp;L Total'!A:L,12,FALSE)</f>
        <v>-0.13045728802794543</v>
      </c>
      <c r="N128" s="4">
        <f>WORKDAY(Tabla1[[#This Row],[Fecha de compra]],1)</f>
        <v>46079</v>
      </c>
      <c r="O128" s="1" t="s">
        <v>195</v>
      </c>
    </row>
    <row r="129" spans="1:18">
      <c r="A129" s="4" t="str">
        <f>+IF(COUNTIF(Tabla2[Cod_ope],Tabla1[[#This Row],[Cod_Ope]])&gt;0,"out","stock")</f>
        <v>stock</v>
      </c>
      <c r="B129" s="4">
        <v>46079</v>
      </c>
      <c r="C129" s="1">
        <v>39592</v>
      </c>
      <c r="D129" s="1" t="s">
        <v>229</v>
      </c>
      <c r="E129" s="1" t="s">
        <v>197</v>
      </c>
      <c r="F129" s="1" t="str" cm="1">
        <f t="array" ref="F129">_xll.BDP(G129,"DS004")</f>
        <v>USD</v>
      </c>
      <c r="G129" s="1" t="str">
        <f>D129&amp; " US Equity"</f>
        <v>EC US Equity</v>
      </c>
      <c r="H129" s="1" t="str">
        <f>+_xll.BDP($G129,"Name")</f>
        <v>ECOPETROL SA-SPONSORED ADR</v>
      </c>
      <c r="I129" s="1" t="str">
        <f>+_xlfn.CONCAT(Tabla1[[#This Row],[Fecha de compra]],Tabla1[[#This Row],[Ticker]],Tabla1[[#This Row],[Q]])</f>
        <v>46079EC12482</v>
      </c>
      <c r="J129" s="7">
        <v>12482</v>
      </c>
      <c r="K129" s="5">
        <v>11.967898</v>
      </c>
      <c r="L129" s="2">
        <f>+Tabla1[[#This Row],[Q]]*Tabla1[[#This Row],[P]]</f>
        <v>149383.30283599999</v>
      </c>
      <c r="M129" s="49">
        <f>+VLOOKUP(Tabla1[[#This Row],[Identificador]],'P&amp;L Total'!A:L,12,FALSE)</f>
        <v>7.7883518058058515E-2</v>
      </c>
      <c r="N129" s="4">
        <f>WORKDAY(Tabla1[[#This Row],[Fecha de compra]],1)</f>
        <v>46080</v>
      </c>
      <c r="O129" s="1" t="s">
        <v>195</v>
      </c>
      <c r="R129" s="78"/>
    </row>
    <row r="130" spans="1:18">
      <c r="A130" s="4" t="str">
        <f>+IF(COUNTIF(Tabla2[Cod_ope],Tabla1[[#This Row],[Cod_Ope]])&gt;0,"out","stock")</f>
        <v>stock</v>
      </c>
      <c r="B130" s="4">
        <v>46079</v>
      </c>
      <c r="C130" s="1">
        <v>39592</v>
      </c>
      <c r="D130" s="1" t="s">
        <v>215</v>
      </c>
      <c r="E130" s="1" t="s">
        <v>197</v>
      </c>
      <c r="F130" s="1" t="str" cm="1">
        <f t="array" ref="F130">_xll.BDP(G130,"DS004")</f>
        <v>USD</v>
      </c>
      <c r="G130" s="1" t="str">
        <f>D130&amp; " US Equity"</f>
        <v>SMH US Equity</v>
      </c>
      <c r="H130" s="1" t="str">
        <f>+_xll.BDP($G130,"Name")</f>
        <v>VANECK SEMICONDUCTOR ETF</v>
      </c>
      <c r="I130" s="1" t="str">
        <f>+_xlfn.CONCAT(Tabla1[[#This Row],[Fecha de compra]],Tabla1[[#This Row],[Ticker]],Tabla1[[#This Row],[Q]])</f>
        <v>46079SMH357</v>
      </c>
      <c r="J130" s="7">
        <v>357</v>
      </c>
      <c r="K130" s="5">
        <v>416.96</v>
      </c>
      <c r="L130" s="2">
        <f>+Tabla1[[#This Row],[Q]]*Tabla1[[#This Row],[P]]</f>
        <v>148854.72</v>
      </c>
      <c r="M130" s="49">
        <f>+VLOOKUP(Tabla1[[#This Row],[Identificador]],'P&amp;L Total'!A:L,12,FALSE)</f>
        <v>2.2251205824540987E-2</v>
      </c>
      <c r="N130" s="4">
        <f>WORKDAY(Tabla1[[#This Row],[Fecha de compra]],1)</f>
        <v>46080</v>
      </c>
      <c r="O130" s="1" t="s">
        <v>195</v>
      </c>
      <c r="R130" s="78"/>
    </row>
    <row r="131" spans="1:18">
      <c r="A131" s="4" t="str">
        <f>+IF(COUNTIF(Tabla2[Cod_ope],Tabla1[[#This Row],[Cod_Ope]])&gt;0,"out","stock")</f>
        <v>stock</v>
      </c>
      <c r="B131" s="4">
        <v>46079</v>
      </c>
      <c r="C131" s="1">
        <v>39592</v>
      </c>
      <c r="D131" s="1" t="s">
        <v>84</v>
      </c>
      <c r="E131" s="1" t="s">
        <v>197</v>
      </c>
      <c r="F131" s="1" t="str" cm="1">
        <f t="array" ref="F131">_xll.BDP(G131,"DS004")</f>
        <v>USD</v>
      </c>
      <c r="G131" s="1" t="str">
        <f>D131&amp; " US Equity"</f>
        <v>BIDU US Equity</v>
      </c>
      <c r="H131" s="1" t="str">
        <f>+_xll.BDP($G131,"Name")</f>
        <v>BAIDU INC - SPON ADR</v>
      </c>
      <c r="I131" s="1" t="str">
        <f>+_xlfn.CONCAT(Tabla1[[#This Row],[Fecha de compra]],Tabla1[[#This Row],[Ticker]],Tabla1[[#This Row],[Q]])</f>
        <v>46079BIDU403</v>
      </c>
      <c r="J131" s="7">
        <v>403</v>
      </c>
      <c r="K131" s="5">
        <v>123.85</v>
      </c>
      <c r="L131" s="2">
        <f>+Tabla1[[#This Row],[Q]]*Tabla1[[#This Row],[P]]</f>
        <v>49911.549999999996</v>
      </c>
      <c r="M131" s="49">
        <f>+VLOOKUP(Tabla1[[#This Row],[Identificador]],'P&amp;L Total'!A:L,12,FALSE)</f>
        <v>-2.9078851194650817E-3</v>
      </c>
      <c r="N131" s="4">
        <f>WORKDAY(Tabla1[[#This Row],[Fecha de compra]],1)</f>
        <v>46080</v>
      </c>
      <c r="O131" s="1" t="s">
        <v>195</v>
      </c>
    </row>
    <row r="132" spans="1:18">
      <c r="A132" s="4" t="str">
        <f>+IF(COUNTIF(Tabla2[Cod_ope],Tabla1[[#This Row],[Cod_Ope]])&gt;0,"out","stock")</f>
        <v>stock</v>
      </c>
      <c r="B132" s="4">
        <v>46079</v>
      </c>
      <c r="C132" s="1">
        <v>39592</v>
      </c>
      <c r="D132" s="1" t="s">
        <v>228</v>
      </c>
      <c r="E132" s="1" t="s">
        <v>197</v>
      </c>
      <c r="F132" s="1" t="str" cm="1">
        <f t="array" ref="F132">_xll.BDP(G132,"DS004")</f>
        <v>USD</v>
      </c>
      <c r="G132" s="1" t="str">
        <f>D132&amp; " US Equity"</f>
        <v>MSFT US Equity</v>
      </c>
      <c r="H132" s="1" t="str">
        <f>+_xll.BDP($G132,"Name")</f>
        <v>MICROSOFT CORP</v>
      </c>
      <c r="I132" s="1" t="str">
        <f>+_xlfn.CONCAT(Tabla1[[#This Row],[Fecha de compra]],Tabla1[[#This Row],[Ticker]],Tabla1[[#This Row],[Q]])</f>
        <v>46079MSFT369</v>
      </c>
      <c r="J132" s="7">
        <v>369</v>
      </c>
      <c r="K132" s="5">
        <v>405.23790000000002</v>
      </c>
      <c r="L132" s="2">
        <f>+Tabla1[[#This Row],[Q]]*Tabla1[[#This Row],[P]]</f>
        <v>149532.78510000001</v>
      </c>
      <c r="M132" s="49">
        <f>+VLOOKUP(Tabla1[[#This Row],[Identificador]],'P&amp;L Total'!A:L,12,FALSE)</f>
        <v>1.2883789991014758E-3</v>
      </c>
      <c r="N132" s="4">
        <f>WORKDAY(Tabla1[[#This Row],[Fecha de compra]],1)</f>
        <v>46080</v>
      </c>
      <c r="O132" s="1" t="s">
        <v>195</v>
      </c>
      <c r="R132" s="78"/>
    </row>
    <row r="133" spans="1:18">
      <c r="A133" s="4" t="str">
        <f>+IF(COUNTIF(Tabla2[Cod_ope],Tabla1[[#This Row],[Cod_Ope]])&gt;0,"out","stock")</f>
        <v>stock</v>
      </c>
      <c r="B133" s="4">
        <v>46079</v>
      </c>
      <c r="C133" s="1">
        <v>39592</v>
      </c>
      <c r="D133" s="1" t="s">
        <v>230</v>
      </c>
      <c r="E133" s="1" t="s">
        <v>197</v>
      </c>
      <c r="F133" s="1" t="str" cm="1">
        <f t="array" ref="F133">_xll.BDP(G133,"DS004")</f>
        <v>USD</v>
      </c>
      <c r="G133" s="1" t="str">
        <f>D133&amp; " US Equity"</f>
        <v>COLO US Equity</v>
      </c>
      <c r="H133" s="1" t="str">
        <f>+_xll.BDP($G133,"Name")</f>
        <v>GLOBAL X MSCI COLOMBIA ETF</v>
      </c>
      <c r="I133" s="1" t="str">
        <f>+_xlfn.CONCAT(Tabla1[[#This Row],[Fecha de compra]],Tabla1[[#This Row],[Ticker]],Tabla1[[#This Row],[Q]])</f>
        <v>46079COLO5108</v>
      </c>
      <c r="J133" s="7">
        <v>5108</v>
      </c>
      <c r="K133" s="5">
        <v>39.118003000000002</v>
      </c>
      <c r="L133" s="2">
        <f>+Tabla1[[#This Row],[Q]]*Tabla1[[#This Row],[P]]</f>
        <v>199814.75932400001</v>
      </c>
      <c r="M133" s="49">
        <f>+VLOOKUP(Tabla1[[#This Row],[Identificador]],'P&amp;L Total'!A:L,12,FALSE)</f>
        <v>-1.4775882091936064E-2</v>
      </c>
      <c r="N133" s="4">
        <f>WORKDAY(Tabla1[[#This Row],[Fecha de compra]],1)</f>
        <v>46080</v>
      </c>
      <c r="O133" s="1" t="s">
        <v>195</v>
      </c>
      <c r="R133" s="78"/>
    </row>
    <row r="134" spans="1:18">
      <c r="A134" s="4" t="str">
        <f>+IF(COUNTIF(Tabla2[Cod_ope],Tabla1[[#This Row],[Cod_Ope]])&gt;0,"out","stock")</f>
        <v>stock</v>
      </c>
      <c r="B134" s="4">
        <v>46079</v>
      </c>
      <c r="C134" s="1">
        <v>39592</v>
      </c>
      <c r="D134" s="1" t="s">
        <v>227</v>
      </c>
      <c r="E134" s="1" t="s">
        <v>197</v>
      </c>
      <c r="F134" s="1" t="str" cm="1">
        <f t="array" ref="F134">_xll.BDP(G134,"DS004")</f>
        <v>USD</v>
      </c>
      <c r="G134" s="1" t="str">
        <f>D134&amp; " US Equity"</f>
        <v>YINN US Equity</v>
      </c>
      <c r="H134" s="1" t="str">
        <f>+_xll.BDP($G134,"Name")</f>
        <v>DIREXION DLY FTSE CH BL3X-UI</v>
      </c>
      <c r="I134" s="1" t="str">
        <f>+_xlfn.CONCAT(Tabla1[[#This Row],[Fecha de compra]],Tabla1[[#This Row],[Ticker]],Tabla1[[#This Row],[Q]])</f>
        <v>46079YINN2590</v>
      </c>
      <c r="J134" s="7">
        <v>2590</v>
      </c>
      <c r="K134" s="5">
        <v>38.424999999999997</v>
      </c>
      <c r="L134" s="2">
        <f>+Tabla1[[#This Row],[Q]]*Tabla1[[#This Row],[P]]</f>
        <v>99520.749999999985</v>
      </c>
      <c r="M134" s="49">
        <f>+VLOOKUP(Tabla1[[#This Row],[Identificador]],'P&amp;L Total'!A:L,12,FALSE)</f>
        <v>-7.7423552374755733E-2</v>
      </c>
      <c r="N134" s="4">
        <f>WORKDAY(Tabla1[[#This Row],[Fecha de compra]],1)</f>
        <v>46080</v>
      </c>
      <c r="O134" s="1" t="s">
        <v>195</v>
      </c>
      <c r="R134" s="78"/>
    </row>
    <row r="135" spans="1:18">
      <c r="A135" s="4" t="str">
        <f>+IF(COUNTIF(Tabla2[Cod_ope],Tabla1[[#This Row],[Cod_Ope]])&gt;0,"out","stock")</f>
        <v>stock</v>
      </c>
      <c r="B135" s="4">
        <v>46080</v>
      </c>
      <c r="C135" s="1">
        <v>39592</v>
      </c>
      <c r="D135" s="1" t="s">
        <v>78</v>
      </c>
      <c r="E135" s="1" t="s">
        <v>79</v>
      </c>
      <c r="F135" s="1" t="str" cm="1">
        <f t="array" ref="F135">_xll.BDP(G135,"DS004")</f>
        <v>USD</v>
      </c>
      <c r="G135" s="1" t="str">
        <f>D135&amp; " US Equity"</f>
        <v>EWZ US Equity</v>
      </c>
      <c r="H135" s="1" t="str">
        <f>+_xll.BDP($G135,"Name")</f>
        <v>ISHARES MSCI BRAZIL ETF</v>
      </c>
      <c r="I135" s="1" t="str">
        <f>+_xlfn.CONCAT(Tabla1[[#This Row],[Fecha de compra]],Tabla1[[#This Row],[Ticker]],Tabla1[[#This Row],[Q]])</f>
        <v>46080EWZ5124</v>
      </c>
      <c r="J135" s="7">
        <v>5124</v>
      </c>
      <c r="K135" s="5">
        <v>38.93</v>
      </c>
      <c r="L135" s="2">
        <f>+Tabla1[[#This Row],[Q]]*Tabla1[[#This Row],[P]]</f>
        <v>199477.32</v>
      </c>
      <c r="M135" s="49">
        <f>+VLOOKUP(Tabla1[[#This Row],[Identificador]],'P&amp;L Total'!A:L,12,FALSE)</f>
        <v>3.1229701028196336E-2</v>
      </c>
      <c r="N135" s="4">
        <f>WORKDAY(Tabla1[[#This Row],[Fecha de compra]],1)</f>
        <v>46083</v>
      </c>
      <c r="O135" s="1" t="s">
        <v>195</v>
      </c>
      <c r="R135" s="78"/>
    </row>
    <row r="136" spans="1:18">
      <c r="A136" s="4" t="str">
        <f>+IF(COUNTIF(Tabla2[Cod_ope],Tabla1[[#This Row],[Cod_Ope]])&gt;0,"out","stock")</f>
        <v>stock</v>
      </c>
      <c r="B136" s="4">
        <v>46080</v>
      </c>
      <c r="C136" s="1">
        <v>39592</v>
      </c>
      <c r="D136" s="1" t="s">
        <v>231</v>
      </c>
      <c r="E136" s="1" t="s">
        <v>234</v>
      </c>
      <c r="F136" s="1" t="str" cm="1">
        <f t="array" ref="F136">_xll.BDP(G136,"DS004")</f>
        <v>USD</v>
      </c>
      <c r="G136" s="1" t="str">
        <f>D136&amp; " US Equity"</f>
        <v>EWW US Equity</v>
      </c>
      <c r="H136" s="1" t="str">
        <f>+_xll.BDP($G136,"Name")</f>
        <v>ISHARES MSCI MEXICO ETF</v>
      </c>
      <c r="I136" s="1" t="str">
        <f>+_xlfn.CONCAT(Tabla1[[#This Row],[Fecha de compra]],Tabla1[[#This Row],[Ticker]],Tabla1[[#This Row],[Q]])</f>
        <v>46080EWW2484</v>
      </c>
      <c r="J136" s="7">
        <v>2484</v>
      </c>
      <c r="K136" s="5">
        <v>80.419899999999998</v>
      </c>
      <c r="L136" s="2">
        <f>+Tabla1[[#This Row],[Q]]*Tabla1[[#This Row],[P]]</f>
        <v>199763.03159999999</v>
      </c>
      <c r="M136" s="49">
        <f>+VLOOKUP(Tabla1[[#This Row],[Identificador]],'P&amp;L Total'!A:L,12,FALSE)</f>
        <v>-7.0379346405553669E-2</v>
      </c>
      <c r="N136" s="4">
        <f>WORKDAY(Tabla1[[#This Row],[Fecha de compra]],1)</f>
        <v>46083</v>
      </c>
      <c r="O136" s="1" t="s">
        <v>195</v>
      </c>
    </row>
    <row r="137" spans="1:18">
      <c r="A137" s="4" t="str">
        <f>+IF(COUNTIF(Tabla2[Cod_ope],Tabla1[[#This Row],[Cod_Ope]])&gt;0,"out","stock")</f>
        <v>stock</v>
      </c>
      <c r="B137" s="4">
        <v>46080</v>
      </c>
      <c r="C137" s="1">
        <v>39592</v>
      </c>
      <c r="D137" s="1" t="s">
        <v>235</v>
      </c>
      <c r="E137" s="1" t="s">
        <v>236</v>
      </c>
      <c r="F137" s="1" t="str" cm="1">
        <f t="array" ref="F137">_xll.BDP(G137,"DS004")</f>
        <v>USD</v>
      </c>
      <c r="G137" s="1" t="str">
        <f>D137&amp; " US Equity"</f>
        <v>EZA US Equity</v>
      </c>
      <c r="H137" s="1" t="str">
        <f>+_xll.BDP($G137,"Name")</f>
        <v>ISHARES MSCI SOUTH AFRICA ET</v>
      </c>
      <c r="I137" s="1" t="str">
        <f>+_xlfn.CONCAT(Tabla1[[#This Row],[Fecha de compra]],Tabla1[[#This Row],[Ticker]],Tabla1[[#This Row],[Q]])</f>
        <v>46080EZA1838</v>
      </c>
      <c r="J137" s="7">
        <v>1838</v>
      </c>
      <c r="K137" s="5">
        <v>81.569900000000004</v>
      </c>
      <c r="L137" s="2">
        <f>+Tabla1[[#This Row],[Q]]*Tabla1[[#This Row],[P]]</f>
        <v>149925.4762</v>
      </c>
      <c r="M137" s="49">
        <f>+VLOOKUP(Tabla1[[#This Row],[Identificador]],'P&amp;L Total'!A:L,12,FALSE)</f>
        <v>-0.10457166185075613</v>
      </c>
      <c r="N137" s="4">
        <f>WORKDAY(Tabla1[[#This Row],[Fecha de compra]],1)</f>
        <v>46083</v>
      </c>
      <c r="O137" s="1" t="s">
        <v>195</v>
      </c>
    </row>
    <row r="138" spans="1:18">
      <c r="A138" s="4" t="str">
        <f>+IF(COUNTIF(Tabla2[Cod_ope],Tabla1[[#This Row],[Cod_Ope]])&gt;0,"out","stock")</f>
        <v>stock</v>
      </c>
      <c r="B138" s="4">
        <v>46080</v>
      </c>
      <c r="C138" s="1">
        <v>39592</v>
      </c>
      <c r="D138" s="1" t="s">
        <v>235</v>
      </c>
      <c r="E138" s="1" t="s">
        <v>236</v>
      </c>
      <c r="F138" s="1" t="str" cm="1">
        <f t="array" ref="F138">_xll.BDP(G138,"DS004")</f>
        <v>USD</v>
      </c>
      <c r="G138" s="1" t="str">
        <f>D138&amp; " US Equity"</f>
        <v>EZA US Equity</v>
      </c>
      <c r="H138" s="1" t="str">
        <f>+_xll.BDP($G138,"Name")</f>
        <v>ISHARES MSCI SOUTH AFRICA ET</v>
      </c>
      <c r="I138" s="1" t="str">
        <f>+_xlfn.CONCAT(Tabla1[[#This Row],[Fecha de compra]],Tabla1[[#This Row],[Ticker]],Tabla1[[#This Row],[Q]])</f>
        <v>46080EZA1838</v>
      </c>
      <c r="J138" s="7">
        <v>1838</v>
      </c>
      <c r="K138" s="5">
        <v>81.569900000000004</v>
      </c>
      <c r="L138" s="2">
        <f>+Tabla1[[#This Row],[Q]]*Tabla1[[#This Row],[P]]</f>
        <v>149925.4762</v>
      </c>
      <c r="M138" s="49">
        <f>+VLOOKUP(Tabla1[[#This Row],[Identificador]],'P&amp;L Total'!A:L,12,FALSE)</f>
        <v>-0.10457166185075613</v>
      </c>
      <c r="N138" s="4">
        <f>WORKDAY(Tabla1[[#This Row],[Fecha de compra]],1)</f>
        <v>46083</v>
      </c>
      <c r="O138" s="1" t="s">
        <v>195</v>
      </c>
    </row>
    <row r="139" spans="1:18">
      <c r="A139" s="4" t="str">
        <f>+IF(COUNTIF(Tabla2[Cod_ope],Tabla1[[#This Row],[Cod_Ope]])&gt;0,"out","stock")</f>
        <v>stock</v>
      </c>
      <c r="B139" s="4">
        <v>46080</v>
      </c>
      <c r="C139" s="1">
        <v>39592</v>
      </c>
      <c r="D139" s="1" t="s">
        <v>232</v>
      </c>
      <c r="E139" s="1" t="s">
        <v>233</v>
      </c>
      <c r="F139" s="1" t="str" cm="1">
        <f t="array" ref="F139">_xll.BDP(G139,"DS004")</f>
        <v>USD</v>
      </c>
      <c r="G139" s="1" t="str">
        <f>D139&amp; " US Equity"</f>
        <v>EWY US Equity</v>
      </c>
      <c r="H139" s="1" t="str">
        <f>+_xll.BDP($G139,"Name")</f>
        <v>ISHARES MSCI SOUTH KOREA ETF</v>
      </c>
      <c r="I139" s="1" t="str">
        <f>+_xlfn.CONCAT(Tabla1[[#This Row],[Fecha de compra]],Tabla1[[#This Row],[Ticker]],Tabla1[[#This Row],[Q]])</f>
        <v>46080EWY1327</v>
      </c>
      <c r="J139" s="7">
        <v>1327</v>
      </c>
      <c r="K139" s="5">
        <v>150.58045200000001</v>
      </c>
      <c r="L139" s="2">
        <f>+Tabla1[[#This Row],[Q]]*Tabla1[[#This Row],[P]]</f>
        <v>199820.259804</v>
      </c>
      <c r="M139" s="49">
        <f>+VLOOKUP(Tabla1[[#This Row],[Identificador]],'P&amp;L Total'!A:L,12,FALSE)</f>
        <v>-0.13468183771954673</v>
      </c>
      <c r="N139" s="4">
        <f>WORKDAY(Tabla1[[#This Row],[Fecha de compra]],1)</f>
        <v>46083</v>
      </c>
      <c r="O139" s="1" t="s">
        <v>195</v>
      </c>
    </row>
    <row r="140" spans="1:18">
      <c r="A140" s="4" t="str">
        <f>+IF(COUNTIF(Tabla2[Cod_ope],Tabla1[[#This Row],[Cod_Ope]])&gt;0,"out","stock")</f>
        <v>out</v>
      </c>
      <c r="B140" s="4">
        <v>46083</v>
      </c>
      <c r="C140" s="1">
        <v>39592</v>
      </c>
      <c r="D140" s="1" t="s">
        <v>78</v>
      </c>
      <c r="E140" s="1" t="s">
        <v>79</v>
      </c>
      <c r="F140" s="1" t="str" cm="1">
        <f t="array" ref="F140">_xll.BDP(G140,"DS004")</f>
        <v>USD</v>
      </c>
      <c r="G140" s="1" t="str">
        <f>D140&amp; " US Equity"</f>
        <v>EWZ US Equity</v>
      </c>
      <c r="H140" s="1" t="str">
        <f>+_xll.BDP($G140,"Name")</f>
        <v>ISHARES MSCI BRAZIL ETF</v>
      </c>
      <c r="I140" s="1" t="str">
        <f>+_xlfn.CONCAT(Tabla1[[#This Row],[Fecha de compra]],Tabla1[[#This Row],[Ticker]],Tabla1[[#This Row],[Q]])</f>
        <v>46083EWZ5270</v>
      </c>
      <c r="J140" s="7">
        <v>5270</v>
      </c>
      <c r="K140" s="5">
        <v>37.75</v>
      </c>
      <c r="L140" s="2">
        <f>+Tabla1[[#This Row],[Q]]*Tabla1[[#This Row],[P]]</f>
        <v>198942.5</v>
      </c>
      <c r="M140" s="49">
        <f>+VLOOKUP(Tabla1[[#This Row],[Identificador]],'P&amp;L Total'!A:L,12,FALSE)</f>
        <v>3.1229701028196336E-2</v>
      </c>
      <c r="N140" s="4">
        <f>WORKDAY(Tabla1[[#This Row],[Fecha de compra]],1)</f>
        <v>46084</v>
      </c>
      <c r="O140" s="1" t="s">
        <v>195</v>
      </c>
    </row>
    <row r="141" spans="1:18">
      <c r="A141" s="4" t="str">
        <f>+IF(COUNTIF(Tabla2[Cod_ope],Tabla1[[#This Row],[Cod_Ope]])&gt;0,"out","stock")</f>
        <v>out</v>
      </c>
      <c r="B141" s="4">
        <v>46083</v>
      </c>
      <c r="C141" s="1">
        <v>39592</v>
      </c>
      <c r="D141" s="1" t="s">
        <v>130</v>
      </c>
      <c r="E141" s="1" t="s">
        <v>131</v>
      </c>
      <c r="F141" s="1" t="str" cm="1">
        <f t="array" ref="F141">_xll.BDP(G141,"DS004")</f>
        <v>USD</v>
      </c>
      <c r="G141" s="1" t="str">
        <f>D141&amp; " US Equity"</f>
        <v>TQQQ US Equity</v>
      </c>
      <c r="H141" s="1" t="str">
        <f>+_xll.BDP($G141,"Name")</f>
        <v>PROSHARES ULTRAPRO QQQ</v>
      </c>
      <c r="I141" s="1" t="str">
        <f>+_xlfn.CONCAT(Tabla1[[#This Row],[Fecha de compra]],Tabla1[[#This Row],[Ticker]],Tabla1[[#This Row],[Q]])</f>
        <v>46083TQQQ3165</v>
      </c>
      <c r="J141" s="7">
        <v>3165</v>
      </c>
      <c r="K141" s="5">
        <v>47.4</v>
      </c>
      <c r="L141" s="2">
        <f>+Tabla1[[#This Row],[Q]]*Tabla1[[#This Row],[P]]</f>
        <v>150021</v>
      </c>
      <c r="M141" s="49">
        <f>+VLOOKUP(Tabla1[[#This Row],[Identificador]],'P&amp;L Total'!A:L,12,FALSE)</f>
        <v>1.852914200997716E-2</v>
      </c>
      <c r="N141" s="4">
        <f>WORKDAY(Tabla1[[#This Row],[Fecha de compra]],1)</f>
        <v>46084</v>
      </c>
      <c r="O141" s="1" t="s">
        <v>195</v>
      </c>
    </row>
    <row r="142" spans="1:18">
      <c r="A142" s="4" t="str">
        <f>+IF(COUNTIF(Tabla2[Cod_ope],Tabla1[[#This Row],[Cod_Ope]])&gt;0,"out","stock")</f>
        <v>stock</v>
      </c>
      <c r="B142" s="4">
        <v>46083</v>
      </c>
      <c r="C142" s="1">
        <v>39592</v>
      </c>
      <c r="D142" s="1" t="s">
        <v>237</v>
      </c>
      <c r="E142" s="1" t="s">
        <v>238</v>
      </c>
      <c r="F142" s="1" t="str" cm="1">
        <f t="array" ref="F142">_xll.BDP(G142,"DS004")</f>
        <v>USD</v>
      </c>
      <c r="G142" s="1" t="str">
        <f>D142&amp; " US Equity"</f>
        <v>GLD US Equity</v>
      </c>
      <c r="H142" s="1" t="str">
        <f>+_xll.BDP($G142,"Name")</f>
        <v>SPDR GOLD SHARES</v>
      </c>
      <c r="I142" s="1" t="str">
        <f>+_xlfn.CONCAT(Tabla1[[#This Row],[Fecha de compra]],Tabla1[[#This Row],[Ticker]],Tabla1[[#This Row],[Q]])</f>
        <v>46083GLD609</v>
      </c>
      <c r="J142" s="7">
        <v>609</v>
      </c>
      <c r="K142" s="5">
        <v>489.92989999999998</v>
      </c>
      <c r="L142" s="2">
        <f>+Tabla1[[#This Row],[Q]]*Tabla1[[#This Row],[P]]</f>
        <v>298367.30910000001</v>
      </c>
      <c r="M142" s="49">
        <f>+VLOOKUP(Tabla1[[#This Row],[Identificador]],'P&amp;L Total'!A:L,12,FALSE)</f>
        <v>-2.4635973432117608E-2</v>
      </c>
      <c r="N142" s="4">
        <f>WORKDAY(Tabla1[[#This Row],[Fecha de compra]],1)</f>
        <v>46084</v>
      </c>
      <c r="O142" s="1" t="s">
        <v>195</v>
      </c>
    </row>
    <row r="143" spans="1:18">
      <c r="A143" s="4" t="str">
        <f>+IF(COUNTIF(Tabla2[Cod_ope],Tabla1[[#This Row],[Cod_Ope]])&gt;0,"out","stock")</f>
        <v>stock</v>
      </c>
      <c r="B143" s="4">
        <v>46084</v>
      </c>
      <c r="C143" s="1">
        <v>39592</v>
      </c>
      <c r="D143" s="1" t="s">
        <v>94</v>
      </c>
      <c r="E143" s="1" t="s">
        <v>95</v>
      </c>
      <c r="F143" s="1" t="str" cm="1">
        <f t="array" ref="F143">_xll.BDP(G143,"DS004")</f>
        <v>USD</v>
      </c>
      <c r="G143" s="1" t="str">
        <f>D143&amp; " US Equity"</f>
        <v>BVN US Equity</v>
      </c>
      <c r="H143" s="1" t="str">
        <f>+_xll.BDP($G143,"Name")</f>
        <v>CIA DE MINAS BUENAVENTUR-ADR</v>
      </c>
      <c r="I143" s="1" t="str">
        <f>+_xlfn.CONCAT(Tabla1[[#This Row],[Fecha de compra]],Tabla1[[#This Row],[Ticker]],Tabla1[[#This Row],[Q]])</f>
        <v>46084BVN2640</v>
      </c>
      <c r="J143" s="7">
        <v>2640</v>
      </c>
      <c r="K143" s="5">
        <v>37.951165000000003</v>
      </c>
      <c r="L143" s="2">
        <f>+Tabla1[[#This Row],[Q]]*Tabla1[[#This Row],[P]]</f>
        <v>100191.07560000001</v>
      </c>
      <c r="M143" s="49">
        <f>+VLOOKUP(Tabla1[[#This Row],[Identificador]],'P&amp;L Total'!A:L,12,FALSE)</f>
        <v>6.5707416606485283E-2</v>
      </c>
      <c r="N143" s="4">
        <f>WORKDAY(Tabla1[[#This Row],[Fecha de compra]],1)</f>
        <v>46085</v>
      </c>
      <c r="O143" s="1" t="s">
        <v>195</v>
      </c>
    </row>
    <row r="144" spans="1:18">
      <c r="A144" s="4" t="str">
        <f>+IF(COUNTIF(Tabla2[Cod_ope],Tabla1[[#This Row],[Cod_Ope]])&gt;0,"out","stock")</f>
        <v>out</v>
      </c>
      <c r="B144" s="4">
        <v>46084</v>
      </c>
      <c r="C144" s="1">
        <v>39592</v>
      </c>
      <c r="D144" s="1" t="s">
        <v>54</v>
      </c>
      <c r="E144" s="1" t="s">
        <v>55</v>
      </c>
      <c r="F144" s="1" t="str" cm="1">
        <f t="array" ref="F144">_xll.BDP(G144,"DS004")</f>
        <v>USD</v>
      </c>
      <c r="G144" s="1" t="str">
        <f>D144&amp; " US Equity"</f>
        <v>PLTR US Equity</v>
      </c>
      <c r="H144" s="1" t="str">
        <f>+_xll.BDP($G144,"Name")</f>
        <v>PALANTIR TECHNOLOGIES INC-A</v>
      </c>
      <c r="I144" s="1" t="str">
        <f>+_xlfn.CONCAT(Tabla1[[#This Row],[Fecha de compra]],Tabla1[[#This Row],[Ticker]],Tabla1[[#This Row],[Q]])</f>
        <v>46084PLTR687</v>
      </c>
      <c r="J144" s="7">
        <v>687</v>
      </c>
      <c r="K144" s="5">
        <v>145.399</v>
      </c>
      <c r="L144" s="2">
        <f>+Tabla1[[#This Row],[Q]]*Tabla1[[#This Row],[P]]</f>
        <v>99889.112999999998</v>
      </c>
      <c r="M144" s="49">
        <f>+VLOOKUP(Tabla1[[#This Row],[Identificador]],'P&amp;L Total'!A:L,12,FALSE)</f>
        <v>4.8158250908487937E-2</v>
      </c>
      <c r="N144" s="4">
        <f>WORKDAY(Tabla1[[#This Row],[Fecha de compra]],1)</f>
        <v>46085</v>
      </c>
      <c r="O144" s="1" t="s">
        <v>195</v>
      </c>
    </row>
    <row r="145" spans="1:15">
      <c r="A145" s="4" t="str">
        <f>+IF(COUNTIF(Tabla2[Cod_ope],Tabla1[[#This Row],[Cod_Ope]])&gt;0,"out","stock")</f>
        <v>out</v>
      </c>
      <c r="B145" s="4">
        <v>46084</v>
      </c>
      <c r="C145" s="1">
        <v>39592</v>
      </c>
      <c r="D145" s="1" t="s">
        <v>78</v>
      </c>
      <c r="E145" s="1" t="s">
        <v>79</v>
      </c>
      <c r="F145" s="1" t="str" cm="1">
        <f t="array" ref="F145">_xll.BDP(G145,"DS004")</f>
        <v>USD</v>
      </c>
      <c r="G145" s="1" t="str">
        <f>D145&amp; " US Equity"</f>
        <v>EWZ US Equity</v>
      </c>
      <c r="H145" s="1" t="str">
        <f>+_xll.BDP($G145,"Name")</f>
        <v>ISHARES MSCI BRAZIL ETF</v>
      </c>
      <c r="I145" s="1" t="str">
        <f>+_xlfn.CONCAT(Tabla1[[#This Row],[Fecha de compra]],Tabla1[[#This Row],[Ticker]],Tabla1[[#This Row],[Q]])</f>
        <v>46084EWZ5450</v>
      </c>
      <c r="J145" s="7">
        <v>5450</v>
      </c>
      <c r="K145" s="5">
        <v>36.6</v>
      </c>
      <c r="L145" s="2">
        <f>+Tabla1[[#This Row],[Q]]*Tabla1[[#This Row],[P]]</f>
        <v>199470</v>
      </c>
      <c r="M145" s="49">
        <f>+VLOOKUP(Tabla1[[#This Row],[Identificador]],'P&amp;L Total'!A:L,12,FALSE)</f>
        <v>3.1229701028196336E-2</v>
      </c>
      <c r="N145" s="4">
        <f>WORKDAY(Tabla1[[#This Row],[Fecha de compra]],1)</f>
        <v>46085</v>
      </c>
      <c r="O145" s="1" t="s">
        <v>195</v>
      </c>
    </row>
    <row r="146" spans="1:15">
      <c r="A146" s="4" t="str">
        <f>+IF(COUNTIF(Tabla2[Cod_ope],Tabla1[[#This Row],[Cod_Ope]])&gt;0,"out","stock")</f>
        <v>out</v>
      </c>
      <c r="B146" s="4">
        <v>46084</v>
      </c>
      <c r="C146" s="1">
        <v>39592</v>
      </c>
      <c r="D146" s="1" t="s">
        <v>130</v>
      </c>
      <c r="E146" s="1" t="s">
        <v>131</v>
      </c>
      <c r="F146" s="1" t="str" cm="1">
        <f t="array" ref="F146">_xll.BDP(G146,"DS004")</f>
        <v>USD</v>
      </c>
      <c r="G146" s="1" t="str">
        <f>D146&amp; " US Equity"</f>
        <v>TQQQ US Equity</v>
      </c>
      <c r="H146" s="1" t="str">
        <f>+_xll.BDP($G146,"Name")</f>
        <v>PROSHARES ULTRAPRO QQQ</v>
      </c>
      <c r="I146" s="1" t="str">
        <f>+_xlfn.CONCAT(Tabla1[[#This Row],[Fecha de compra]],Tabla1[[#This Row],[Ticker]],Tabla1[[#This Row],[Q]])</f>
        <v>46084TQQQ3221</v>
      </c>
      <c r="J146" s="7">
        <v>3221</v>
      </c>
      <c r="K146" s="5">
        <v>46.448999999999998</v>
      </c>
      <c r="L146" s="2">
        <f>+Tabla1[[#This Row],[Q]]*Tabla1[[#This Row],[P]]</f>
        <v>149612.22899999999</v>
      </c>
      <c r="M146" s="49">
        <f>+VLOOKUP(Tabla1[[#This Row],[Identificador]],'P&amp;L Total'!A:L,12,FALSE)</f>
        <v>1.852914200997716E-2</v>
      </c>
      <c r="N146" s="4">
        <f>WORKDAY(Tabla1[[#This Row],[Fecha de compra]],1)</f>
        <v>46085</v>
      </c>
      <c r="O146" s="1" t="s">
        <v>195</v>
      </c>
    </row>
    <row r="147" spans="1:15">
      <c r="A147" s="4" t="str">
        <f>+IF(COUNTIF(Tabla2[Cod_ope],Tabla1[[#This Row],[Cod_Ope]])&gt;0,"out","stock")</f>
        <v>out</v>
      </c>
      <c r="B147" s="4">
        <v>46085</v>
      </c>
      <c r="C147" s="1">
        <v>39592</v>
      </c>
      <c r="D147" s="1" t="s">
        <v>244</v>
      </c>
      <c r="E147" s="1" t="s">
        <v>245</v>
      </c>
      <c r="F147" s="1" t="str" cm="1">
        <f t="array" ref="F147">_xll.BDP(G147,"DS004")</f>
        <v>USD</v>
      </c>
      <c r="G147" s="1" t="str">
        <f>D147&amp; " US Equity"</f>
        <v>KORU US Equity</v>
      </c>
      <c r="H147" s="1" t="str">
        <f>+_xll.BDP($G147,"Name")</f>
        <v>DIREXION DLY M SK BULL 3X-UI</v>
      </c>
      <c r="I147" s="1" t="str">
        <f>+_xlfn.CONCAT(Tabla1[[#This Row],[Fecha de compra]],Tabla1[[#This Row],[Ticker]],Tabla1[[#This Row],[Q]])</f>
        <v>46085KORU185</v>
      </c>
      <c r="J147" s="7">
        <v>185</v>
      </c>
      <c r="K147" s="5">
        <v>377.51</v>
      </c>
      <c r="L147" s="2">
        <f>+Tabla1[[#This Row],[Q]]*Tabla1[[#This Row],[P]]</f>
        <v>69839.349999999991</v>
      </c>
      <c r="M147" s="49">
        <f>+VLOOKUP(Tabla1[[#This Row],[Identificador]],'P&amp;L Total'!A:L,12,FALSE)</f>
        <v>7.8556236860767528E-2</v>
      </c>
      <c r="N147" s="4">
        <f>WORKDAY(Tabla1[[#This Row],[Fecha de compra]],1)</f>
        <v>46086</v>
      </c>
      <c r="O147" s="1" t="s">
        <v>195</v>
      </c>
    </row>
    <row r="148" spans="1:15">
      <c r="A148" s="4" t="str">
        <f>+IF(COUNTIF(Tabla2[Cod_ope],Tabla1[[#This Row],[Cod_Ope]])&gt;0,"out","stock")</f>
        <v>out</v>
      </c>
      <c r="B148" s="4">
        <v>46086</v>
      </c>
      <c r="C148" s="1">
        <v>39592</v>
      </c>
      <c r="D148" s="1" t="s">
        <v>130</v>
      </c>
      <c r="E148" s="1" t="s">
        <v>131</v>
      </c>
      <c r="F148" s="1" t="str" cm="1">
        <f t="array" ref="F148">_xll.BDP(G148,"DS004")</f>
        <v>USD</v>
      </c>
      <c r="G148" s="1" t="str">
        <f>D148&amp; " US Equity"</f>
        <v>TQQQ US Equity</v>
      </c>
      <c r="H148" s="1" t="str">
        <f>+_xll.BDP($G148,"Name")</f>
        <v>PROSHARES ULTRAPRO QQQ</v>
      </c>
      <c r="I148" s="1" t="str">
        <f>+_xlfn.CONCAT(Tabla1[[#This Row],[Fecha de compra]],Tabla1[[#This Row],[Ticker]],Tabla1[[#This Row],[Q]])</f>
        <v>46086TQQQ2015</v>
      </c>
      <c r="J148" s="7">
        <v>2015</v>
      </c>
      <c r="K148" s="5">
        <v>49.37</v>
      </c>
      <c r="L148" s="2">
        <f>+Tabla1[[#This Row],[Q]]*Tabla1[[#This Row],[P]]</f>
        <v>99480.549999999988</v>
      </c>
      <c r="M148" s="49">
        <f>+VLOOKUP(Tabla1[[#This Row],[Identificador]],'P&amp;L Total'!A:L,12,FALSE)</f>
        <v>1.852914200997716E-2</v>
      </c>
      <c r="N148" s="4">
        <f>WORKDAY(Tabla1[[#This Row],[Fecha de compra]],1)</f>
        <v>46087</v>
      </c>
      <c r="O148" s="1" t="s">
        <v>195</v>
      </c>
    </row>
    <row r="149" spans="1:15">
      <c r="A149" s="4" t="str">
        <f>+IF(COUNTIF(Tabla2[Cod_ope],Tabla1[[#This Row],[Cod_Ope]])&gt;0,"out","stock")</f>
        <v>stock</v>
      </c>
      <c r="B149" s="4">
        <v>46087</v>
      </c>
      <c r="C149" s="1">
        <v>39592</v>
      </c>
      <c r="D149" s="1" t="s">
        <v>253</v>
      </c>
      <c r="E149" s="1" t="s">
        <v>254</v>
      </c>
      <c r="F149" s="1" t="str" cm="1">
        <f t="array" ref="F149">_xll.BDP(G149,"DS004")</f>
        <v>USD</v>
      </c>
      <c r="G149" s="1" t="str">
        <f>D149&amp; " US Equity"</f>
        <v>EPU US Equity</v>
      </c>
      <c r="H149" s="1" t="str">
        <f>+_xll.BDP($G149,"Name")</f>
        <v>ISHARES MSCI PERU AND GLOBAL</v>
      </c>
      <c r="I149" s="81" t="str">
        <f>+_xlfn.CONCAT(Tabla1[[#This Row],[Fecha de compra]],Tabla1[[#This Row],[Ticker]],Tabla1[[#This Row],[Q]])</f>
        <v>46087EPU2369</v>
      </c>
      <c r="J149" s="7">
        <v>2369</v>
      </c>
      <c r="K149" s="5">
        <v>83.897751</v>
      </c>
      <c r="L149" s="2">
        <f>+Tabla1[[#This Row],[Q]]*Tabla1[[#This Row],[P]]</f>
        <v>198753.772119</v>
      </c>
      <c r="M149" s="49">
        <f>+VLOOKUP(Tabla1[[#This Row],[Identificador]],'P&amp;L Total'!A:L,12,FALSE)</f>
        <v>3.5427040231388311E-2</v>
      </c>
      <c r="N149" s="4">
        <f>WORKDAY(Tabla1[[#This Row],[Fecha de compra]],1)</f>
        <v>46090</v>
      </c>
      <c r="O149" s="1" t="s">
        <v>195</v>
      </c>
    </row>
    <row r="150" spans="1:15">
      <c r="A150" s="4" t="str">
        <f>+IF(COUNTIF(Tabla2[Cod_ope],Tabla1[[#This Row],[Cod_Ope]])&gt;0,"out","stock")</f>
        <v>out</v>
      </c>
      <c r="B150" s="4">
        <v>46090</v>
      </c>
      <c r="C150" s="1">
        <v>39592</v>
      </c>
      <c r="D150" s="1" t="s">
        <v>244</v>
      </c>
      <c r="E150" s="1" t="s">
        <v>245</v>
      </c>
      <c r="F150" s="1" t="str" cm="1">
        <f t="array" ref="F150">_xll.BDP(G150,"DS004")</f>
        <v>USD</v>
      </c>
      <c r="G150" s="1" t="str">
        <f>D150&amp; " US Equity"</f>
        <v>KORU US Equity</v>
      </c>
      <c r="H150" s="1" t="str">
        <f>+_xll.BDP($G150,"Name")</f>
        <v>DIREXION DLY M SK BULL 3X-UI</v>
      </c>
      <c r="I150" s="1" t="str">
        <f>+_xlfn.CONCAT(Tabla1[[#This Row],[Fecha de compra]],Tabla1[[#This Row],[Ticker]],Tabla1[[#This Row],[Q]])</f>
        <v>46090KORU184</v>
      </c>
      <c r="J150" s="7">
        <v>184</v>
      </c>
      <c r="K150" s="5">
        <v>377.30599999999998</v>
      </c>
      <c r="L150" s="2">
        <f>+Tabla1[[#This Row],[Q]]*Tabla1[[#This Row],[P]]</f>
        <v>69424.304000000004</v>
      </c>
      <c r="M150" s="49">
        <f>+VLOOKUP(Tabla1[[#This Row],[Identificador]],'P&amp;L Total'!A:L,12,FALSE)</f>
        <v>7.8556236860767528E-2</v>
      </c>
      <c r="N150" s="4">
        <f>WORKDAY(Tabla1[[#This Row],[Fecha de compra]],1)</f>
        <v>46091</v>
      </c>
      <c r="O150" s="1" t="s">
        <v>195</v>
      </c>
    </row>
    <row r="151" spans="1:15">
      <c r="A151" s="4" t="str">
        <f>+IF(COUNTIF(Tabla2[Cod_ope],Tabla1[[#This Row],[Cod_Ope]])&gt;0,"out","stock")</f>
        <v>out</v>
      </c>
      <c r="B151" s="4">
        <v>46090</v>
      </c>
      <c r="C151" s="1">
        <v>39592</v>
      </c>
      <c r="D151" s="1" t="s">
        <v>244</v>
      </c>
      <c r="E151" s="1" t="s">
        <v>245</v>
      </c>
      <c r="F151" s="1" t="str" cm="1">
        <f t="array" ref="F151">_xll.BDP(G151,"DS004")</f>
        <v>USD</v>
      </c>
      <c r="G151" s="1" t="str">
        <f>D151&amp; " US Equity"</f>
        <v>KORU US Equity</v>
      </c>
      <c r="H151" s="1" t="str">
        <f>+_xll.BDP($G151,"Name")</f>
        <v>DIREXION DLY M SK BULL 3X-UI</v>
      </c>
      <c r="I151" s="1" t="str">
        <f>+_xlfn.CONCAT(Tabla1[[#This Row],[Fecha de compra]],Tabla1[[#This Row],[Ticker]],Tabla1[[#This Row],[Q]])</f>
        <v>46090KORU143</v>
      </c>
      <c r="J151" s="7">
        <v>143</v>
      </c>
      <c r="K151" s="5">
        <v>349.52530000000002</v>
      </c>
      <c r="L151" s="2">
        <f>+Tabla1[[#This Row],[Q]]*Tabla1[[#This Row],[P]]</f>
        <v>49982.117900000005</v>
      </c>
      <c r="M151" s="49">
        <f>+VLOOKUP(Tabla1[[#This Row],[Identificador]],'P&amp;L Total'!A:L,12,FALSE)</f>
        <v>7.8556236860767528E-2</v>
      </c>
      <c r="N151" s="4">
        <f>WORKDAY(Tabla1[[#This Row],[Fecha de compra]],1)</f>
        <v>46091</v>
      </c>
      <c r="O151" s="1" t="s">
        <v>195</v>
      </c>
    </row>
    <row r="152" spans="1:15">
      <c r="A152" s="4" t="str">
        <f>+IF(COUNTIF(Tabla2[Cod_ope],Tabla1[[#This Row],[Cod_Ope]])&gt;0,"out","stock")</f>
        <v>out</v>
      </c>
      <c r="B152" s="4">
        <v>46090</v>
      </c>
      <c r="C152" s="1">
        <v>39592</v>
      </c>
      <c r="D152" s="1" t="s">
        <v>244</v>
      </c>
      <c r="E152" s="1" t="s">
        <v>245</v>
      </c>
      <c r="F152" s="1" t="str" cm="1">
        <f t="array" ref="F152">_xll.BDP(G152,"DS004")</f>
        <v>USD</v>
      </c>
      <c r="G152" s="1" t="str">
        <f>D152&amp; " US Equity"</f>
        <v>KORU US Equity</v>
      </c>
      <c r="H152" s="1" t="str">
        <f>+_xll.BDP($G152,"Name")</f>
        <v>DIREXION DLY M SK BULL 3X-UI</v>
      </c>
      <c r="I152" s="1" t="str">
        <f>+_xlfn.CONCAT(Tabla1[[#This Row],[Fecha de compra]],Tabla1[[#This Row],[Ticker]],Tabla1[[#This Row],[Q]])</f>
        <v>46090KORU153</v>
      </c>
      <c r="J152" s="7">
        <v>153</v>
      </c>
      <c r="K152" s="5">
        <v>327.92899999999997</v>
      </c>
      <c r="L152" s="2">
        <f>+Tabla1[[#This Row],[Q]]*Tabla1[[#This Row],[P]]</f>
        <v>50173.136999999995</v>
      </c>
      <c r="M152" s="49">
        <f>+VLOOKUP(Tabla1[[#This Row],[Identificador]],'P&amp;L Total'!A:L,12,FALSE)</f>
        <v>7.8556236860767528E-2</v>
      </c>
      <c r="N152" s="4">
        <f>WORKDAY(Tabla1[[#This Row],[Fecha de compra]],1)</f>
        <v>46091</v>
      </c>
      <c r="O152" s="1" t="s">
        <v>195</v>
      </c>
    </row>
    <row r="153" spans="1:15">
      <c r="A153" s="4" t="str">
        <f>+IF(COUNTIF(Tabla2[Cod_ope],Tabla1[[#This Row],[Cod_Ope]])&gt;0,"out","stock")</f>
        <v>out</v>
      </c>
      <c r="B153" s="4">
        <v>46091</v>
      </c>
      <c r="C153" s="1">
        <v>39592</v>
      </c>
      <c r="D153" s="1" t="s">
        <v>244</v>
      </c>
      <c r="E153" s="1" t="s">
        <v>245</v>
      </c>
      <c r="F153" s="1" t="str" cm="1">
        <f t="array" ref="F153">_xll.BDP(G153,"DS004")</f>
        <v>USD</v>
      </c>
      <c r="G153" s="1" t="str">
        <f>D153&amp; " US Equity"</f>
        <v>KORU US Equity</v>
      </c>
      <c r="H153" s="1" t="str">
        <f>+_xll.BDP($G153,"Name")</f>
        <v>DIREXION DLY M SK BULL 3X-UI</v>
      </c>
      <c r="I153" s="81" t="str">
        <f>+_xlfn.CONCAT(Tabla1[[#This Row],[Fecha de compra]],Tabla1[[#This Row],[Ticker]],Tabla1[[#This Row],[Q]])</f>
        <v>46091KORU260</v>
      </c>
      <c r="J153" s="7">
        <v>260</v>
      </c>
      <c r="K153" s="5">
        <v>381.31029999999998</v>
      </c>
      <c r="L153" s="2">
        <f>+Tabla1[[#This Row],[Q]]*Tabla1[[#This Row],[P]]</f>
        <v>99140.678</v>
      </c>
      <c r="M153" s="49">
        <f>+VLOOKUP(Tabla1[[#This Row],[Identificador]],'P&amp;L Total'!A:L,12,FALSE)</f>
        <v>7.8556236860767528E-2</v>
      </c>
      <c r="N153" s="4">
        <f>WORKDAY(Tabla1[[#This Row],[Fecha de compra]],1)</f>
        <v>46092</v>
      </c>
      <c r="O153" s="1" t="s">
        <v>248</v>
      </c>
    </row>
  </sheetData>
  <phoneticPr fontId="3" type="noConversion"/>
  <conditionalFormatting sqref="M2:M15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{DAF322A4-5548-4BB2-8E68-F732ABCE32BA}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F322A4-5548-4BB2-8E68-F732ABCE32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M2:M153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300A-9D69-41EA-B5B8-3158CE7F22CF}">
  <sheetPr codeName="Hoja5">
    <tabColor rgb="FFA6C9EC"/>
  </sheetPr>
  <dimension ref="A1:M48"/>
  <sheetViews>
    <sheetView topLeftCell="A26" workbookViewId="0">
      <selection activeCell="A48" sqref="A48"/>
    </sheetView>
  </sheetViews>
  <sheetFormatPr baseColWidth="10" defaultColWidth="11.44140625" defaultRowHeight="14.4"/>
  <cols>
    <col min="1" max="1" width="16.6640625" customWidth="1"/>
    <col min="3" max="3" width="10.33203125" bestFit="1" customWidth="1"/>
    <col min="4" max="4" width="13.5546875" bestFit="1" customWidth="1"/>
    <col min="6" max="6" width="19.109375" bestFit="1" customWidth="1"/>
    <col min="7" max="7" width="30.88671875" bestFit="1" customWidth="1"/>
    <col min="8" max="8" width="9" bestFit="1" customWidth="1"/>
    <col min="11" max="11" width="21.5546875" bestFit="1" customWidth="1"/>
  </cols>
  <sheetData>
    <row r="1" spans="1:13">
      <c r="A1" s="16" t="s">
        <v>134</v>
      </c>
      <c r="B1" s="16" t="s">
        <v>39</v>
      </c>
      <c r="C1" s="16" t="s">
        <v>40</v>
      </c>
      <c r="D1" s="16" t="s">
        <v>27</v>
      </c>
      <c r="E1" s="16" t="s">
        <v>17</v>
      </c>
      <c r="F1" s="16" t="s">
        <v>41</v>
      </c>
      <c r="G1" s="16" t="s">
        <v>16</v>
      </c>
      <c r="H1" s="16" t="s">
        <v>29</v>
      </c>
      <c r="I1" s="16" t="s">
        <v>43</v>
      </c>
      <c r="J1" s="16" t="s">
        <v>135</v>
      </c>
      <c r="K1" s="16" t="s">
        <v>136</v>
      </c>
      <c r="L1" s="16" t="s">
        <v>137</v>
      </c>
    </row>
    <row r="2" spans="1:13">
      <c r="A2" s="14">
        <v>45941</v>
      </c>
      <c r="B2" s="11">
        <v>39592</v>
      </c>
      <c r="C2" s="11" t="s">
        <v>60</v>
      </c>
      <c r="D2" s="11" t="str">
        <f>+VLOOKUP(C2,Tabla1[[#All],[Ticker]:[Nombre]],2,FALSE)</f>
        <v>US98422D1054</v>
      </c>
      <c r="E2" s="1" t="str">
        <f>+VLOOKUP(C2,Tabla1[[#All],[Ticker]:[Nombre]],3,FALSE)</f>
        <v>USD</v>
      </c>
      <c r="F2" s="11" t="str">
        <f>+VLOOKUP(C2,Tabla1[[#All],[Ticker]:[Nombre]],4,FALSE)</f>
        <v>XPEV US Equity</v>
      </c>
      <c r="G2" s="11" t="str">
        <f>+_xll.BDP($F2,"Name")</f>
        <v>XPENG INC - ADR</v>
      </c>
      <c r="H2" s="12">
        <v>1403</v>
      </c>
      <c r="I2" s="15">
        <v>27.74</v>
      </c>
      <c r="J2" s="5">
        <f>+Tabla2[[#This Row],[Q]]*Tabla2[[#This Row],[P]]</f>
        <v>38919.22</v>
      </c>
      <c r="K2" s="22" t="s">
        <v>138</v>
      </c>
      <c r="L2" s="17">
        <f>+Tabla2[[#This Row],[Q]]*Tabla2[[#This Row],[P]]-VLOOKUP(Tabla2[[#This Row],[Cod_ope]],Tabla1[[Cod_Ope]:[Monto compra]],4,)</f>
        <v>8967.9760000000024</v>
      </c>
    </row>
    <row r="3" spans="1:13">
      <c r="A3" s="18">
        <v>45941</v>
      </c>
      <c r="B3" s="11">
        <v>39592</v>
      </c>
      <c r="C3" s="19" t="s">
        <v>60</v>
      </c>
      <c r="D3" s="19" t="str">
        <f>+VLOOKUP(C3,Tabla1[[#All],[Ticker]:[Nombre]],2,FALSE)</f>
        <v>US98422D1054</v>
      </c>
      <c r="E3" s="1" t="str">
        <f>+VLOOKUP(C3,Tabla1[[#All],[Ticker]:[Nombre]],3,FALSE)</f>
        <v>USD</v>
      </c>
      <c r="F3" s="19" t="str">
        <f>+VLOOKUP(C3,Tabla1[[#All],[Ticker]:[Nombre]],4,FALSE)</f>
        <v>XPEV US Equity</v>
      </c>
      <c r="G3" s="19" t="str">
        <f>+_xll.BDP($F3,"Name")</f>
        <v>XPENG INC - ADR</v>
      </c>
      <c r="H3" s="20">
        <v>1097</v>
      </c>
      <c r="I3" s="21">
        <v>27.74</v>
      </c>
      <c r="J3" s="5">
        <f>+Tabla2[[#This Row],[Q]]*Tabla2[[#This Row],[P]]</f>
        <v>30430.78</v>
      </c>
      <c r="K3" s="22" t="s">
        <v>139</v>
      </c>
      <c r="L3" s="17">
        <f>+Tabla2[[#This Row],[Q]]*Tabla2[[#This Row],[P]]-VLOOKUP(Tabla2[[#This Row],[Cod_ope]],Tabla1[[Cod_Ope]:[Monto compra]],4,)</f>
        <v>5488.5915779999996</v>
      </c>
    </row>
    <row r="4" spans="1:13">
      <c r="A4" s="18">
        <v>45957</v>
      </c>
      <c r="B4" s="19">
        <v>39592</v>
      </c>
      <c r="C4" s="19" t="s">
        <v>54</v>
      </c>
      <c r="D4" s="19" t="str">
        <f>+VLOOKUP(C4,Tabla1[[#All],[Ticker]:[Nombre]],2,FALSE)</f>
        <v>US69608A1088</v>
      </c>
      <c r="E4" s="1" t="str">
        <f>+VLOOKUP(C4,Tabla1[[#All],[Ticker]:[Nombre]],3,FALSE)</f>
        <v>USD</v>
      </c>
      <c r="F4" s="19" t="str">
        <f>+VLOOKUP(C4,Tabla1[[#All],[Ticker]:[Nombre]],4,FALSE)</f>
        <v>PLTR US Equity</v>
      </c>
      <c r="G4" s="19" t="str">
        <f>+_xll.BDP($F4,"Name")</f>
        <v>PALANTIR TECHNOLOGIES INC-A</v>
      </c>
      <c r="H4" s="20">
        <v>491</v>
      </c>
      <c r="I4" s="21">
        <v>191.30009999999999</v>
      </c>
      <c r="J4" s="5">
        <f>+Tabla2[[#This Row],[Q]]*Tabla2[[#This Row],[P]]</f>
        <v>93928.349099999992</v>
      </c>
      <c r="K4" s="22" t="s">
        <v>140</v>
      </c>
      <c r="L4" s="17">
        <f>+Tabla2[[#This Row],[Q]]*Tabla2[[#This Row],[P]]-VLOOKUP(Tabla2[[#This Row],[Cod_ope]],Tabla1[[Cod_Ope]:[Monto compra]],4,)</f>
        <v>13931.683099999995</v>
      </c>
    </row>
    <row r="5" spans="1:13">
      <c r="A5" s="18">
        <v>45959</v>
      </c>
      <c r="B5" s="19">
        <v>39592</v>
      </c>
      <c r="C5" s="19" t="s">
        <v>56</v>
      </c>
      <c r="D5" s="19" t="str">
        <f>+VLOOKUP(C5,Tabla1[[#All],[Ticker]:[Nombre]],2,FALSE)</f>
        <v>US78462F1030</v>
      </c>
      <c r="E5" s="1" t="str">
        <f>+VLOOKUP(C5,Tabla1[[#All],[Ticker]:[Nombre]],3,FALSE)</f>
        <v>USD</v>
      </c>
      <c r="F5" s="19" t="str">
        <f>+VLOOKUP(C5,Tabla1[[#All],[Ticker]:[Nombre]],4,FALSE)</f>
        <v>SPY US Equity</v>
      </c>
      <c r="G5" s="19" t="str">
        <f>+_xll.BDP($F5,"Name")</f>
        <v>SS SPDR S&amp;P 500 ETF TRUST-US</v>
      </c>
      <c r="H5" s="20">
        <v>151</v>
      </c>
      <c r="I5" s="21">
        <v>688.29600000000005</v>
      </c>
      <c r="J5" s="5">
        <f>+Tabla2[[#This Row],[Q]]*Tabla2[[#This Row],[P]]</f>
        <v>103932.69600000001</v>
      </c>
      <c r="K5" t="s">
        <v>141</v>
      </c>
      <c r="L5" s="17">
        <f>+Tabla2[[#This Row],[Q]]*Tabla2[[#This Row],[P]]-VLOOKUP(Tabla2[[#This Row],[Cod_ope]],Tabla1[[Cod_Ope]:[Monto compra]],4,)</f>
        <v>4517.3160000000062</v>
      </c>
    </row>
    <row r="6" spans="1:13">
      <c r="A6" s="18">
        <v>45959</v>
      </c>
      <c r="B6" s="19">
        <v>39592</v>
      </c>
      <c r="C6" s="19" t="s">
        <v>78</v>
      </c>
      <c r="D6" s="19" t="str">
        <f>+VLOOKUP(C6,Tabla1[[#All],[Ticker]:[Nombre]],2,FALSE)</f>
        <v>US4642864007</v>
      </c>
      <c r="E6" s="1" t="str">
        <f>+VLOOKUP(C6,Tabla1[[#All],[Ticker]:[Nombre]],3,FALSE)</f>
        <v>USD</v>
      </c>
      <c r="F6" s="19" t="str">
        <f>+VLOOKUP(C6,Tabla1[[#All],[Ticker]:[Nombre]],4,FALSE)</f>
        <v>EWZ US Equity</v>
      </c>
      <c r="G6" s="19" t="str">
        <f>+_xll.BDP($F6,"Name")</f>
        <v>ISHARES MSCI BRAZIL ETF</v>
      </c>
      <c r="H6" s="20">
        <v>1994</v>
      </c>
      <c r="I6" s="21">
        <v>31.21</v>
      </c>
      <c r="J6" s="5">
        <f>+Tabla2[[#This Row],[Q]]*Tabla2[[#This Row],[P]]</f>
        <v>62232.740000000005</v>
      </c>
      <c r="K6" s="22" t="s">
        <v>142</v>
      </c>
      <c r="L6" s="17">
        <f>+Tabla2[[#This Row],[Q]]*Tabla2[[#This Row],[P]]-VLOOKUP(Tabla2[[#This Row],[Cod_ope]],Tabla1[[Cod_Ope]:[Monto compra]],4,)</f>
        <v>2352.9200000000055</v>
      </c>
    </row>
    <row r="7" spans="1:13">
      <c r="A7" s="18">
        <v>45959</v>
      </c>
      <c r="B7" s="19">
        <v>39592</v>
      </c>
      <c r="C7" s="19" t="s">
        <v>78</v>
      </c>
      <c r="D7" s="19" t="str">
        <f>+VLOOKUP(C7,Tabla1[[#All],[Ticker]:[Nombre]],2,FALSE)</f>
        <v>US4642864007</v>
      </c>
      <c r="E7" s="1" t="str">
        <f>+VLOOKUP(C7,Tabla1[[#All],[Ticker]:[Nombre]],3,FALSE)</f>
        <v>USD</v>
      </c>
      <c r="F7" s="19" t="str">
        <f>+VLOOKUP(C7,Tabla1[[#All],[Ticker]:[Nombre]],4,FALSE)</f>
        <v>EWZ US Equity</v>
      </c>
      <c r="G7" s="19" t="str">
        <f>+_xll.BDP($F7,"Name")</f>
        <v>ISHARES MSCI BRAZIL ETF</v>
      </c>
      <c r="H7" s="20">
        <v>1008</v>
      </c>
      <c r="I7" s="21">
        <v>31.21</v>
      </c>
      <c r="J7" s="5">
        <f>+Tabla2[[#This Row],[Q]]*Tabla2[[#This Row],[P]]</f>
        <v>31459.68</v>
      </c>
      <c r="K7" s="22" t="s">
        <v>143</v>
      </c>
      <c r="L7" s="17">
        <f>+Tabla2[[#This Row],[Q]]*Tabla2[[#This Row],[P]]-VLOOKUP(Tabla2[[#This Row],[Cod_ope]],Tabla1[[Cod_Ope]:[Monto compra]],4,)</f>
        <v>1532.1599999999999</v>
      </c>
    </row>
    <row r="8" spans="1:13">
      <c r="A8" s="18">
        <v>45959</v>
      </c>
      <c r="B8" s="19">
        <v>39592</v>
      </c>
      <c r="C8" s="19" t="s">
        <v>80</v>
      </c>
      <c r="D8" s="19" t="str">
        <f>+VLOOKUP(C8,Tabla1[[#All],[Ticker]:[Nombre]],2,FALSE)</f>
        <v>US4642891315</v>
      </c>
      <c r="E8" s="1" t="str">
        <f>+VLOOKUP(C8,Tabla1[[#All],[Ticker]:[Nombre]],3,FALSE)</f>
        <v>USD</v>
      </c>
      <c r="F8" s="19" t="str">
        <f>+VLOOKUP(C8,Tabla1[[#All],[Ticker]:[Nombre]],4,FALSE)</f>
        <v>EWZS US Equity</v>
      </c>
      <c r="G8" s="19" t="str">
        <f>+_xll.BDP($F8,"Name")</f>
        <v>ISHARES MSCI BRAZIL SMALL-CA</v>
      </c>
      <c r="H8" s="20">
        <v>2266</v>
      </c>
      <c r="I8" s="21">
        <v>13.712999999999999</v>
      </c>
      <c r="J8" s="5">
        <f>+Tabla2[[#This Row],[Q]]*Tabla2[[#This Row],[P]]</f>
        <v>31073.657999999999</v>
      </c>
      <c r="K8" t="s">
        <v>144</v>
      </c>
      <c r="L8" s="17">
        <f>+Tabla2[[#This Row],[Q]]*Tabla2[[#This Row],[P]]-VLOOKUP(Tabla2[[#This Row],[Cod_ope]],Tabla1[[Cod_Ope]:[Monto compra]],4,)</f>
        <v>1162.4580000000024</v>
      </c>
    </row>
    <row r="9" spans="1:13">
      <c r="A9" s="18">
        <v>45959</v>
      </c>
      <c r="B9" s="19">
        <v>39592</v>
      </c>
      <c r="C9" s="19" t="s">
        <v>80</v>
      </c>
      <c r="D9" s="19" t="str">
        <f>+VLOOKUP(C9,Tabla1[[#All],[Ticker]:[Nombre]],2,FALSE)</f>
        <v>US4642891315</v>
      </c>
      <c r="E9" s="1" t="str">
        <f>+VLOOKUP(C9,Tabla1[[#All],[Ticker]:[Nombre]],3,FALSE)</f>
        <v>USD</v>
      </c>
      <c r="F9" s="19" t="str">
        <f>+VLOOKUP(C9,Tabla1[[#All],[Ticker]:[Nombre]],4,FALSE)</f>
        <v>EWZS US Equity</v>
      </c>
      <c r="G9" s="19" t="str">
        <f>+_xll.BDP($F9,"Name")</f>
        <v>ISHARES MSCI BRAZIL SMALL-CA</v>
      </c>
      <c r="H9" s="20">
        <v>4422</v>
      </c>
      <c r="I9" s="21">
        <v>13.712999999999999</v>
      </c>
      <c r="J9" s="5">
        <f>+Tabla2[[#This Row],[Q]]*Tabla2[[#This Row],[P]]</f>
        <v>60638.885999999999</v>
      </c>
      <c r="K9" t="s">
        <v>145</v>
      </c>
      <c r="L9" s="17">
        <f>+Tabla2[[#This Row],[Q]]*Tabla2[[#This Row],[P]]-VLOOKUP(Tabla2[[#This Row],[Cod_ope]],Tabla1[[Cod_Ope]:[Monto compra]],4,)</f>
        <v>853.44600000000355</v>
      </c>
    </row>
    <row r="10" spans="1:13">
      <c r="A10" s="18">
        <v>45971</v>
      </c>
      <c r="B10" s="19">
        <v>39592</v>
      </c>
      <c r="C10" s="19" t="s">
        <v>54</v>
      </c>
      <c r="D10" s="19" t="str">
        <f>+VLOOKUP(C10,Tabla1[[#All],[Ticker]:[Nombre]],2,FALSE)</f>
        <v>US69608A1088</v>
      </c>
      <c r="E10" s="1" t="str">
        <f>+VLOOKUP(C10,Tabla1[[#All],[Ticker]:[Nombre]],3,FALSE)</f>
        <v>USD</v>
      </c>
      <c r="F10" s="19" t="str">
        <f>+VLOOKUP(C10,Tabla1[[#All],[Ticker]:[Nombre]],4,FALSE)</f>
        <v>PLTR US Equity</v>
      </c>
      <c r="G10" s="19" t="str">
        <f>+_xll.BDP($F10,"Name")</f>
        <v>PALANTIR TECHNOLOGIES INC-A</v>
      </c>
      <c r="H10" s="20">
        <v>434</v>
      </c>
      <c r="I10" s="21">
        <v>191.08</v>
      </c>
      <c r="J10" s="21">
        <f>+Tabla2[[#This Row],[Q]]*Tabla2[[#This Row],[P]]</f>
        <v>82928.72</v>
      </c>
      <c r="K10" s="27" t="s">
        <v>146</v>
      </c>
      <c r="L10" s="17">
        <f>+Tabla2[[#This Row],[Q]]*Tabla2[[#This Row],[P]]-VLOOKUP(Tabla2[[#This Row],[Cod_ope]],Tabla1[[Cod_Ope]:[Monto compra]],4,)</f>
        <v>2938.179999999993</v>
      </c>
      <c r="M10" s="11"/>
    </row>
    <row r="11" spans="1:13">
      <c r="A11" s="18">
        <v>45971</v>
      </c>
      <c r="B11" s="19">
        <v>39592</v>
      </c>
      <c r="C11" s="19" t="s">
        <v>54</v>
      </c>
      <c r="D11" s="19" t="str">
        <f>+VLOOKUP(C11,Tabla1[[#All],[Ticker]:[Nombre]],2,FALSE)</f>
        <v>US69608A1088</v>
      </c>
      <c r="E11" s="1" t="str">
        <f>+VLOOKUP(C11,Tabla1[[#All],[Ticker]:[Nombre]],3,FALSE)</f>
        <v>USD</v>
      </c>
      <c r="F11" s="19" t="str">
        <f>+VLOOKUP(C11,Tabla1[[#All],[Ticker]:[Nombre]],4,FALSE)</f>
        <v>PLTR US Equity</v>
      </c>
      <c r="G11" s="19" t="str">
        <f>+_xll.BDP($F11,"Name")</f>
        <v>PALANTIR TECHNOLOGIES INC-A</v>
      </c>
      <c r="H11" s="20">
        <v>117</v>
      </c>
      <c r="I11" s="21">
        <v>191.08</v>
      </c>
      <c r="J11" s="21">
        <f>+Tabla2[[#This Row],[Q]]*Tabla2[[#This Row],[P]]</f>
        <v>22356.36</v>
      </c>
      <c r="K11" s="27" t="s">
        <v>147</v>
      </c>
      <c r="L11" s="17">
        <f>+Tabla2[[#This Row],[Q]]*Tabla2[[#This Row],[P]]-VLOOKUP(Tabla2[[#This Row],[Cod_ope]],Tabla1[[Cod_Ope]:[Monto compra]],4,)</f>
        <v>2465.1900000000023</v>
      </c>
      <c r="M11" s="11"/>
    </row>
    <row r="12" spans="1:13">
      <c r="A12" s="18">
        <v>45995</v>
      </c>
      <c r="B12" s="19">
        <v>39592</v>
      </c>
      <c r="C12" s="19" t="s">
        <v>44</v>
      </c>
      <c r="D12" s="19" t="str">
        <f>+VLOOKUP(C12,Tabla1[[#All],[Ticker]:[Nombre]],2,FALSE)</f>
        <v>US4655621062</v>
      </c>
      <c r="E12" s="1" t="str">
        <f>+VLOOKUP(C12,Tabla1[[#All],[Ticker]:[Nombre]],3,FALSE)</f>
        <v>USD</v>
      </c>
      <c r="F12" s="19" t="str">
        <f>+VLOOKUP(C12,Tabla1[[#All],[Ticker]:[Nombre]],4,FALSE)</f>
        <v>ITUB US Equity</v>
      </c>
      <c r="G12" s="19" t="str">
        <f>+_xll.BDP($F12,"Name")</f>
        <v>ITAU UNIBANCO H-SPON PRF ADR</v>
      </c>
      <c r="H12" s="20">
        <v>5705</v>
      </c>
      <c r="I12" s="21">
        <v>8.0701000000000001</v>
      </c>
      <c r="J12" s="5">
        <f>+Tabla2[[#This Row],[Q]]*Tabla2[[#This Row],[P]]</f>
        <v>46039.9205</v>
      </c>
      <c r="K12" t="s">
        <v>148</v>
      </c>
      <c r="L12" s="17">
        <f>+Tabla2[[#This Row],[Q]]*Tabla2[[#This Row],[P]]-VLOOKUP(Tabla2[[#This Row],[Cod_ope]],Tabla1[[Cod_Ope]:[Monto compra]],4,)</f>
        <v>6171.6690000000017</v>
      </c>
      <c r="M12" s="11"/>
    </row>
    <row r="13" spans="1:13">
      <c r="A13" s="18">
        <v>45995</v>
      </c>
      <c r="B13" s="19">
        <v>39592</v>
      </c>
      <c r="C13" s="19" t="s">
        <v>94</v>
      </c>
      <c r="D13" s="19" t="str">
        <f>+VLOOKUP(C13,Tabla1[[#All],[Ticker]:[Nombre]],2,FALSE)</f>
        <v>US2044481040</v>
      </c>
      <c r="E13" s="1" t="str">
        <f>+VLOOKUP(C13,Tabla1[[#All],[Ticker]:[Nombre]],3,FALSE)</f>
        <v>USD</v>
      </c>
      <c r="F13" s="19" t="str">
        <f>+VLOOKUP(C13,Tabla1[[#All],[Ticker]:[Nombre]],4,FALSE)</f>
        <v>BVN us Equity</v>
      </c>
      <c r="G13" s="19" t="str">
        <f>+_xll.BDP($F13,"Name")</f>
        <v>CIA DE MINAS BUENAVENTUR-ADR</v>
      </c>
      <c r="H13" s="20">
        <v>2612</v>
      </c>
      <c r="I13" s="21">
        <v>25.12</v>
      </c>
      <c r="J13" s="5">
        <f>+Tabla2[[#This Row],[Q]]*Tabla2[[#This Row],[P]]</f>
        <v>65613.440000000002</v>
      </c>
      <c r="K13" t="s">
        <v>149</v>
      </c>
      <c r="L13" s="17">
        <f>+Tabla2[[#This Row],[Q]]*Tabla2[[#This Row],[P]]-VLOOKUP(Tabla2[[#This Row],[Cod_ope]],Tabla1[[Cod_Ope]:[Monto compra]],4,)</f>
        <v>5746.4000000000015</v>
      </c>
      <c r="M13" s="1"/>
    </row>
    <row r="14" spans="1:13">
      <c r="A14" s="18">
        <v>45995</v>
      </c>
      <c r="B14" s="19">
        <v>39592</v>
      </c>
      <c r="C14" s="19" t="s">
        <v>94</v>
      </c>
      <c r="D14" s="19" t="str">
        <f>+VLOOKUP(C14,Tabla1[[#All],[Ticker]:[Nombre]],2,FALSE)</f>
        <v>US2044481040</v>
      </c>
      <c r="E14" s="1" t="str">
        <f>+VLOOKUP(C14,Tabla1[[#All],[Ticker]:[Nombre]],3,FALSE)</f>
        <v>USD</v>
      </c>
      <c r="F14" s="19" t="str">
        <f>+VLOOKUP(C14,Tabla1[[#All],[Ticker]:[Nombre]],4,FALSE)</f>
        <v>BVN us Equity</v>
      </c>
      <c r="G14" s="19" t="str">
        <f>+_xll.BDP($F14,"Name")</f>
        <v>CIA DE MINAS BUENAVENTUR-ADR</v>
      </c>
      <c r="H14" s="20">
        <v>2000</v>
      </c>
      <c r="I14" s="21">
        <v>25.09985</v>
      </c>
      <c r="J14" s="5">
        <f>+Tabla2[[#This Row],[Q]]*Tabla2[[#This Row],[P]]</f>
        <v>50199.7</v>
      </c>
      <c r="K14" t="s">
        <v>150</v>
      </c>
      <c r="L14" s="17">
        <f>+Tabla2[[#This Row],[Q]]*Tabla2[[#This Row],[P]]-VLOOKUP(Tabla2[[#This Row],[Cod_ope]],Tabla1[[Cod_Ope]:[Monto compra]],4,)</f>
        <v>4866.6999999999971</v>
      </c>
    </row>
    <row r="15" spans="1:13">
      <c r="A15" s="18">
        <v>45995</v>
      </c>
      <c r="B15" s="19">
        <v>39592</v>
      </c>
      <c r="C15" s="19" t="s">
        <v>54</v>
      </c>
      <c r="D15" s="19" t="str">
        <f>+VLOOKUP(C15,Tabla1[[#All],[Ticker]:[Nombre]],2,FALSE)</f>
        <v>US69608A1088</v>
      </c>
      <c r="E15" s="1" t="str">
        <f>+VLOOKUP(C15,Tabla1[[#All],[Ticker]:[Nombre]],3,FALSE)</f>
        <v>USD</v>
      </c>
      <c r="F15" s="19" t="str">
        <f>+VLOOKUP(C15,Tabla1[[#All],[Ticker]:[Nombre]],4,FALSE)</f>
        <v>PLTR US Equity</v>
      </c>
      <c r="G15" s="19" t="str">
        <f>+_xll.BDP($F15,"Name")</f>
        <v>PALANTIR TECHNOLOGIES INC-A</v>
      </c>
      <c r="H15" s="20">
        <v>300</v>
      </c>
      <c r="I15" s="21">
        <v>177.38149999999999</v>
      </c>
      <c r="J15" s="5">
        <f>+Tabla2[[#This Row],[Q]]*Tabla2[[#This Row],[P]]</f>
        <v>53214.45</v>
      </c>
      <c r="K15" t="s">
        <v>151</v>
      </c>
      <c r="L15" s="17">
        <f>+Tabla2[[#This Row],[Q]]*Tabla2[[#This Row],[P]]-VLOOKUP(Tabla2[[#This Row],[Cod_ope]],Tabla1[[Cod_Ope]:[Monto compra]],4,)</f>
        <v>3189.4499999999971</v>
      </c>
    </row>
    <row r="16" spans="1:13">
      <c r="A16" s="18">
        <v>45995</v>
      </c>
      <c r="B16" s="19">
        <v>39592</v>
      </c>
      <c r="C16" s="19" t="s">
        <v>56</v>
      </c>
      <c r="D16" s="19" t="str">
        <f>+VLOOKUP(C16,Tabla1[[#All],[Ticker]:[Nombre]],2,FALSE)</f>
        <v>US78462F1030</v>
      </c>
      <c r="E16" s="1" t="str">
        <f>+VLOOKUP(C16,Tabla1[[#All],[Ticker]:[Nombre]],3,FALSE)</f>
        <v>USD</v>
      </c>
      <c r="F16" s="19" t="str">
        <f>+VLOOKUP(C16,Tabla1[[#All],[Ticker]:[Nombre]],4,FALSE)</f>
        <v>SPY US Equity</v>
      </c>
      <c r="G16" s="19" t="str">
        <f>+_xll.BDP($F16,"Name")</f>
        <v>SS SPDR S&amp;P 500 ETF TRUST-US</v>
      </c>
      <c r="H16" s="20">
        <v>90</v>
      </c>
      <c r="I16" s="21">
        <v>683.5</v>
      </c>
      <c r="J16" s="5">
        <f>+Tabla2[[#This Row],[Q]]*Tabla2[[#This Row],[P]]</f>
        <v>61515</v>
      </c>
      <c r="K16" t="s">
        <v>152</v>
      </c>
      <c r="L16" s="17">
        <f>+Tabla2[[#This Row],[Q]]*Tabla2[[#This Row],[P]]-VLOOKUP(Tabla2[[#This Row],[Cod_ope]],Tabla1[[Cod_Ope]:[Monto compra]],4,)</f>
        <v>1836.8999999999942</v>
      </c>
    </row>
    <row r="17" spans="1:12">
      <c r="A17" s="18">
        <v>45995</v>
      </c>
      <c r="B17" s="19">
        <v>39592</v>
      </c>
      <c r="C17" s="19" t="s">
        <v>56</v>
      </c>
      <c r="D17" s="19" t="str">
        <f>+VLOOKUP(C17,Tabla1[[#All],[Ticker]:[Nombre]],2,FALSE)</f>
        <v>US78462F1030</v>
      </c>
      <c r="E17" s="1" t="str">
        <f>+VLOOKUP(C17,Tabla1[[#All],[Ticker]:[Nombre]],3,FALSE)</f>
        <v>USD</v>
      </c>
      <c r="F17" s="19" t="str">
        <f>+VLOOKUP(C17,Tabla1[[#All],[Ticker]:[Nombre]],4,FALSE)</f>
        <v>SPY US Equity</v>
      </c>
      <c r="G17" s="19" t="str">
        <f>+_xll.BDP($F17,"Name")</f>
        <v>SS SPDR S&amp;P 500 ETF TRUST-US</v>
      </c>
      <c r="H17" s="20">
        <v>75</v>
      </c>
      <c r="I17" s="21">
        <v>683.5</v>
      </c>
      <c r="J17" s="5">
        <f>+Tabla2[[#This Row],[Q]]*Tabla2[[#This Row],[P]]</f>
        <v>51262.5</v>
      </c>
      <c r="K17" t="s">
        <v>153</v>
      </c>
      <c r="L17" s="17">
        <f>+Tabla2[[#This Row],[Q]]*Tabla2[[#This Row],[P]]-VLOOKUP(Tabla2[[#This Row],[Cod_ope]],Tabla1[[Cod_Ope]:[Monto compra]],4,)</f>
        <v>1365.0750000000044</v>
      </c>
    </row>
    <row r="18" spans="1:12">
      <c r="A18" s="18">
        <v>46002</v>
      </c>
      <c r="B18" s="19">
        <v>39592</v>
      </c>
      <c r="C18" s="19" t="s">
        <v>54</v>
      </c>
      <c r="D18" s="19" t="str">
        <f>+VLOOKUP(C18,Tabla1[[#All],[Ticker]:[Nombre]],2,FALSE)</f>
        <v>US69608A1088</v>
      </c>
      <c r="E18" s="1" t="str">
        <f>+VLOOKUP(C18,Tabla1[[#All],[Ticker]:[Nombre]],3,FALSE)</f>
        <v>USD</v>
      </c>
      <c r="F18" s="19" t="str">
        <f>+VLOOKUP(C18,Tabla1[[#All],[Ticker]:[Nombre]],4,FALSE)</f>
        <v>PLTR US Equity</v>
      </c>
      <c r="G18" s="19" t="str">
        <f>+_xll.BDP($F18,"Name")</f>
        <v>PALANTIR TECHNOLOGIES INC-A</v>
      </c>
      <c r="H18" s="20">
        <v>172</v>
      </c>
      <c r="I18" s="21">
        <v>186.48</v>
      </c>
      <c r="J18" s="5">
        <f>+Tabla2[[#This Row],[Q]]*Tabla2[[#This Row],[P]]</f>
        <v>32074.559999999998</v>
      </c>
      <c r="K18" t="s">
        <v>154</v>
      </c>
      <c r="L18" s="17">
        <f>+Tabla2[[#This Row],[Q]]*Tabla2[[#This Row],[P]]-VLOOKUP(Tabla2[[#This Row],[Cod_ope]],Tabla1[[Cod_Ope]:[Monto compra]],4,)</f>
        <v>2160.3199999999997</v>
      </c>
    </row>
    <row r="19" spans="1:12">
      <c r="A19" s="18">
        <v>46002</v>
      </c>
      <c r="B19" s="19">
        <v>39592</v>
      </c>
      <c r="C19" s="19" t="s">
        <v>104</v>
      </c>
      <c r="D19" s="19" t="str">
        <f>+VLOOKUP(C19,Tabla1[[#All],[Ticker]:[Nombre]],2,FALSE)</f>
        <v>US46090E1038</v>
      </c>
      <c r="E19" s="1" t="str">
        <f>+VLOOKUP(C19,Tabla1[[#All],[Ticker]:[Nombre]],3,FALSE)</f>
        <v>USD</v>
      </c>
      <c r="F19" s="19" t="str">
        <f>+VLOOKUP(C19,Tabla1[[#All],[Ticker]:[Nombre]],4,FALSE)</f>
        <v>QQQ US Equity</v>
      </c>
      <c r="G19" s="19" t="str">
        <f>+_xll.BDP($F19,"Name")</f>
        <v>INVESCO QQQ TRUST SERIES 1</v>
      </c>
      <c r="H19" s="20">
        <v>83</v>
      </c>
      <c r="I19" s="21">
        <v>623.28</v>
      </c>
      <c r="J19" s="5">
        <f>+Tabla2[[#This Row],[Q]]*Tabla2[[#This Row],[P]]</f>
        <v>51732.24</v>
      </c>
      <c r="K19" t="s">
        <v>155</v>
      </c>
      <c r="L19" s="17">
        <f>+Tabla2[[#This Row],[Q]]*Tabla2[[#This Row],[P]]-VLOOKUP(Tabla2[[#This Row],[Cod_ope]],Tabla1[[Cod_Ope]:[Monto compra]],4,)</f>
        <v>1987.0199999999968</v>
      </c>
    </row>
    <row r="20" spans="1:12">
      <c r="A20" s="18">
        <v>46002</v>
      </c>
      <c r="B20" s="19">
        <v>39592</v>
      </c>
      <c r="C20" s="19" t="s">
        <v>54</v>
      </c>
      <c r="D20" s="19" t="str">
        <f>+VLOOKUP(C20,Tabla1[[#All],[Ticker]:[Nombre]],2,FALSE)</f>
        <v>US69608A1088</v>
      </c>
      <c r="E20" s="1" t="str">
        <f>+VLOOKUP(C20,Tabla1[[#All],[Ticker]:[Nombre]],3,FALSE)</f>
        <v>USD</v>
      </c>
      <c r="F20" s="19" t="str">
        <f>+VLOOKUP(C20,Tabla1[[#All],[Ticker]:[Nombre]],4,FALSE)</f>
        <v>PLTR US Equity</v>
      </c>
      <c r="G20" s="19" t="str">
        <f>+_xll.BDP($F20,"Name")</f>
        <v>PALANTIR TECHNOLOGIES INC-A</v>
      </c>
      <c r="H20" s="20">
        <v>439</v>
      </c>
      <c r="I20" s="21">
        <v>186.48</v>
      </c>
      <c r="J20" s="5">
        <f>+Tabla2[[#This Row],[Q]]*Tabla2[[#This Row],[P]]</f>
        <v>81864.72</v>
      </c>
      <c r="K20" t="s">
        <v>156</v>
      </c>
      <c r="L20" s="17">
        <f>+Tabla2[[#This Row],[Q]]*Tabla2[[#This Row],[P]]-VLOOKUP(Tabla2[[#This Row],[Cod_ope]],Tabla1[[Cod_Ope]:[Monto compra]],4,)</f>
        <v>1971.1100000000006</v>
      </c>
    </row>
    <row r="21" spans="1:12">
      <c r="A21" s="18">
        <v>46002</v>
      </c>
      <c r="B21" s="19">
        <v>39592</v>
      </c>
      <c r="C21" s="19" t="s">
        <v>104</v>
      </c>
      <c r="D21" s="19" t="str">
        <f>+VLOOKUP(C21,Tabla1[[#All],[Ticker]:[Nombre]],2,FALSE)</f>
        <v>US46090E1038</v>
      </c>
      <c r="E21" s="1" t="str">
        <f>+VLOOKUP(C21,Tabla1[[#All],[Ticker]:[Nombre]],3,FALSE)</f>
        <v>USD</v>
      </c>
      <c r="F21" s="19" t="str">
        <f>+VLOOKUP(C21,Tabla1[[#All],[Ticker]:[Nombre]],4,FALSE)</f>
        <v>QQQ US Equity</v>
      </c>
      <c r="G21" s="19" t="str">
        <f>+_xll.BDP($F21,"Name")</f>
        <v>INVESCO QQQ TRUST SERIES 1</v>
      </c>
      <c r="H21" s="20">
        <v>83</v>
      </c>
      <c r="I21" s="21">
        <v>623.28</v>
      </c>
      <c r="J21" s="5">
        <f>+Tabla2[[#This Row],[Q]]*Tabla2[[#This Row],[P]]</f>
        <v>51732.24</v>
      </c>
      <c r="K21" t="s">
        <v>157</v>
      </c>
      <c r="L21" s="17">
        <f>+Tabla2[[#This Row],[Q]]*Tabla2[[#This Row],[P]]-VLOOKUP(Tabla2[[#This Row],[Cod_ope]],Tabla1[[Cod_Ope]:[Monto compra]],4,)</f>
        <v>1822.679999999993</v>
      </c>
    </row>
    <row r="22" spans="1:12">
      <c r="A22" s="18">
        <v>46007</v>
      </c>
      <c r="B22" s="19">
        <v>39592</v>
      </c>
      <c r="C22" s="19" t="s">
        <v>98</v>
      </c>
      <c r="D22" s="19" t="str">
        <f>+VLOOKUP(C22,Tabla1[[#All],[Ticker]:[Nombre]],2,FALSE)</f>
        <v>PEP648014202</v>
      </c>
      <c r="E22" s="1" t="str">
        <f>+VLOOKUP(C22,Tabla1[[#All],[Ticker]:[Nombre]],3,FALSE)</f>
        <v>PEN</v>
      </c>
      <c r="F22" s="19" t="str">
        <f>+VLOOKUP(C22,Tabla1[[#All],[Ticker]:[Nombre]],4,FALSE)</f>
        <v>VOLCABC1 pe Equity</v>
      </c>
      <c r="G22" s="19" t="str">
        <f>+_xll.BDP($F22,"Name")</f>
        <v>VOLCAN CIA MINERA SAA-CMN B</v>
      </c>
      <c r="H22" s="20">
        <v>99560</v>
      </c>
      <c r="I22" s="21">
        <v>0.56999999999999995</v>
      </c>
      <c r="J22" s="5">
        <f>+Tabla2[[#This Row],[Q]]*Tabla2[[#This Row],[P]]</f>
        <v>56749.2</v>
      </c>
      <c r="K22" t="s">
        <v>158</v>
      </c>
      <c r="L22" s="17">
        <f>+Tabla2[[#This Row],[Q]]*Tabla2[[#This Row],[P]]-VLOOKUP(Tabla2[[#This Row],[Cod_ope]],Tabla1[[Cod_Ope]:[Monto compra]],4,)</f>
        <v>10652.919999999998</v>
      </c>
    </row>
    <row r="23" spans="1:12">
      <c r="A23" s="18">
        <v>46007</v>
      </c>
      <c r="B23" s="19">
        <v>39592</v>
      </c>
      <c r="C23" s="19" t="s">
        <v>98</v>
      </c>
      <c r="D23" s="11" t="str">
        <f>+VLOOKUP(C23,Tabla1[[#All],[Ticker]:[Nombre]],2,FALSE)</f>
        <v>PEP648014202</v>
      </c>
      <c r="E23" s="1" t="str">
        <f>+VLOOKUP(C23,Tabla1[[#All],[Ticker]:[Nombre]],3,FALSE)</f>
        <v>PEN</v>
      </c>
      <c r="F23" s="11" t="str">
        <f>+VLOOKUP(C23,Tabla1[[#All],[Ticker]:[Nombre]],4,FALSE)</f>
        <v>VOLCABC1 pe Equity</v>
      </c>
      <c r="G23" s="11" t="str">
        <f>+_xll.BDP($F23,"Name")</f>
        <v>VOLCAN CIA MINERA SAA-CMN B</v>
      </c>
      <c r="H23" s="12">
        <v>100000</v>
      </c>
      <c r="I23" s="21">
        <v>0.56999999999999995</v>
      </c>
      <c r="J23" s="5">
        <f>+Tabla2[[#This Row],[Q]]*Tabla2[[#This Row],[P]]</f>
        <v>56999.999999999993</v>
      </c>
      <c r="K23" t="s">
        <v>159</v>
      </c>
      <c r="L23" s="17">
        <f>+Tabla2[[#This Row],[Q]]*Tabla2[[#This Row],[P]]-VLOOKUP(Tabla2[[#This Row],[Cod_ope]],Tabla1[[Cod_Ope]:[Monto compra]],4,)</f>
        <v>10399.999999999993</v>
      </c>
    </row>
    <row r="24" spans="1:12">
      <c r="A24" s="18">
        <v>46007</v>
      </c>
      <c r="B24" s="19">
        <v>39592</v>
      </c>
      <c r="C24" s="19" t="s">
        <v>98</v>
      </c>
      <c r="D24" s="11" t="str">
        <f>+VLOOKUP(C24,Tabla1[[#All],[Ticker]:[Nombre]],2,FALSE)</f>
        <v>PEP648014202</v>
      </c>
      <c r="E24" s="1" t="str">
        <f>+VLOOKUP(C24,Tabla1[[#All],[Ticker]:[Nombre]],3,FALSE)</f>
        <v>PEN</v>
      </c>
      <c r="F24" s="11" t="str">
        <f>+VLOOKUP(C24,Tabla1[[#All],[Ticker]:[Nombre]],4,FALSE)</f>
        <v>VOLCABC1 pe Equity</v>
      </c>
      <c r="G24" s="11" t="str">
        <f>+_xll.BDP($F24,"Name")</f>
        <v>VOLCAN CIA MINERA SAA-CMN B</v>
      </c>
      <c r="H24" s="12">
        <v>440</v>
      </c>
      <c r="I24" s="21">
        <v>0.56999999999999995</v>
      </c>
      <c r="J24" s="5">
        <f>+Tabla2[[#This Row],[Q]]*Tabla2[[#This Row],[P]]</f>
        <v>250.79999999999998</v>
      </c>
      <c r="K24" t="s">
        <v>160</v>
      </c>
      <c r="L24" s="17">
        <f>+Tabla2[[#This Row],[Q]]*Tabla2[[#This Row],[P]]-VLOOKUP(Tabla2[[#This Row],[Cod_ope]],Tabla1[[Cod_Ope]:[Monto compra]],4,)</f>
        <v>47.079999999999984</v>
      </c>
    </row>
    <row r="25" spans="1:12">
      <c r="A25" s="14">
        <v>46009</v>
      </c>
      <c r="B25" s="19">
        <v>39592</v>
      </c>
      <c r="C25" s="19" t="s">
        <v>98</v>
      </c>
      <c r="D25" s="11" t="str">
        <f>+VLOOKUP(C25,Tabla1[[#All],[Ticker]:[Nombre]],2,FALSE)</f>
        <v>PEP648014202</v>
      </c>
      <c r="E25" s="1" t="str">
        <f>+VLOOKUP(C25,Tabla1[[#All],[Ticker]:[Nombre]],3,FALSE)</f>
        <v>PEN</v>
      </c>
      <c r="F25" s="11" t="str">
        <f>+VLOOKUP(C25,Tabla1[[#All],[Ticker]:[Nombre]],4,FALSE)</f>
        <v>VOLCABC1 pe Equity</v>
      </c>
      <c r="G25" s="11" t="str">
        <f>+_xll.BDP($F25,"Name")</f>
        <v>VOLCAN CIA MINERA SAA-CMN B</v>
      </c>
      <c r="H25" s="12">
        <v>167440</v>
      </c>
      <c r="I25" s="15">
        <v>0.6</v>
      </c>
      <c r="J25" s="5">
        <f>+Tabla2[[#This Row],[Q]]*Tabla2[[#This Row],[P]]</f>
        <v>100464</v>
      </c>
      <c r="K25" t="s">
        <v>161</v>
      </c>
      <c r="L25" s="17">
        <f>+Tabla2[[#This Row],[Q]]*Tabla2[[#This Row],[P]]-VLOOKUP(Tabla2[[#This Row],[Cod_ope]],Tabla1[[Cod_Ope]:[Monto compra]],4,)</f>
        <v>22604.399999999994</v>
      </c>
    </row>
    <row r="26" spans="1:12">
      <c r="A26" s="14">
        <v>46009</v>
      </c>
      <c r="B26" s="19">
        <v>39592</v>
      </c>
      <c r="C26" s="19" t="s">
        <v>98</v>
      </c>
      <c r="D26" s="11" t="str">
        <f>+VLOOKUP(C26,Tabla1[[#All],[Ticker]:[Nombre]],2,FALSE)</f>
        <v>PEP648014202</v>
      </c>
      <c r="E26" s="1" t="str">
        <f>+VLOOKUP(C26,Tabla1[[#All],[Ticker]:[Nombre]],3,FALSE)</f>
        <v>PEN</v>
      </c>
      <c r="F26" s="11" t="str">
        <f>+VLOOKUP(C26,Tabla1[[#All],[Ticker]:[Nombre]],4,FALSE)</f>
        <v>VOLCABC1 pe Equity</v>
      </c>
      <c r="G26" s="11" t="str">
        <f>+_xll.BDP($F26,"Name")</f>
        <v>VOLCAN CIA MINERA SAA-CMN B</v>
      </c>
      <c r="H26" s="12">
        <v>50</v>
      </c>
      <c r="I26" s="15">
        <v>0.6</v>
      </c>
      <c r="J26" s="5">
        <f>+Tabla2[[#This Row],[Q]]*Tabla2[[#This Row],[P]]</f>
        <v>30</v>
      </c>
      <c r="K26" t="s">
        <v>162</v>
      </c>
      <c r="L26" s="17">
        <f>+Tabla2[[#This Row],[Q]]*Tabla2[[#This Row],[P]]-VLOOKUP(Tabla2[[#This Row],[Cod_ope]],Tabla1[[Cod_Ope]:[Monto compra]],4,)</f>
        <v>6.8499999999999979</v>
      </c>
    </row>
    <row r="27" spans="1:12">
      <c r="A27" s="14">
        <v>46036</v>
      </c>
      <c r="B27" s="19">
        <v>39592</v>
      </c>
      <c r="C27" s="19" t="s">
        <v>104</v>
      </c>
      <c r="D27" s="11" t="str">
        <f>+VLOOKUP(C27,Tabla1[[#All],[Ticker]:[Nombre]],2,FALSE)</f>
        <v>US46090E1038</v>
      </c>
      <c r="E27" s="1" t="str">
        <f>+VLOOKUP(C27,Tabla1[[#All],[Ticker]:[Nombre]],3,FALSE)</f>
        <v>USD</v>
      </c>
      <c r="F27" s="11" t="str">
        <f>+VLOOKUP(C27,Tabla1[[#All],[Ticker]:[Nombre]],4,FALSE)</f>
        <v>QQQ US Equity</v>
      </c>
      <c r="G27" s="11" t="str">
        <f>+_xll.BDP($F27,"Name")</f>
        <v>INVESCO QQQ TRUST SERIES 1</v>
      </c>
      <c r="H27" s="12">
        <v>325</v>
      </c>
      <c r="I27" s="21">
        <v>620.23329999999999</v>
      </c>
      <c r="J27" s="5">
        <f>+Tabla2[[#This Row],[Q]]*Tabla2[[#This Row],[P]]</f>
        <v>201575.82250000001</v>
      </c>
      <c r="K27" t="s">
        <v>163</v>
      </c>
      <c r="L27" s="62">
        <f>+Tabla2[[#This Row],[Q]]*Tabla2[[#This Row],[P]]-VLOOKUP(Tabla2[[#This Row],[Cod_ope]],Tabla1[[Cod_Ope]:[Monto compra]],4,)</f>
        <v>2185.0725000000093</v>
      </c>
    </row>
    <row r="28" spans="1:12">
      <c r="A28" s="14">
        <v>46036</v>
      </c>
      <c r="B28" s="19">
        <v>39592</v>
      </c>
      <c r="C28" s="19" t="s">
        <v>64</v>
      </c>
      <c r="D28" s="11" t="str">
        <f>+VLOOKUP(C28,Tabla1[[#All],[Ticker]:[Nombre]],2,FALSE)</f>
        <v>US4642867646</v>
      </c>
      <c r="E28" s="1" t="str">
        <f>+VLOOKUP(C28,Tabla1[[#All],[Ticker]:[Nombre]],3,FALSE)</f>
        <v>USD</v>
      </c>
      <c r="F28" s="11" t="str">
        <f>+VLOOKUP(C28,Tabla1[[#All],[Ticker]:[Nombre]],4,FALSE)</f>
        <v>EWP US Equity</v>
      </c>
      <c r="G28" s="11" t="str">
        <f>+_xll.BDP($F28,"Name")</f>
        <v>ISHARES MSCI SPAIN ETF</v>
      </c>
      <c r="H28" s="20">
        <v>1031</v>
      </c>
      <c r="I28" s="21">
        <v>55.030099999999997</v>
      </c>
      <c r="J28" s="5">
        <f>+Tabla2[[#This Row],[Q]]*Tabla2[[#This Row],[P]]</f>
        <v>56736.033100000001</v>
      </c>
      <c r="K28" t="s">
        <v>164</v>
      </c>
      <c r="L28" s="62">
        <f>+Tabla2[[#This Row],[Q]]*Tabla2[[#This Row],[P]]-VLOOKUP(Tabla2[[#This Row],[Cod_ope]],Tabla1[[Cod_Ope]:[Monto compra]],4,)</f>
        <v>6828.323310000007</v>
      </c>
    </row>
    <row r="29" spans="1:12">
      <c r="A29" s="14">
        <v>46036</v>
      </c>
      <c r="B29" s="19">
        <v>39592</v>
      </c>
      <c r="C29" s="19" t="s">
        <v>102</v>
      </c>
      <c r="D29" s="11" t="str">
        <f>+VLOOKUP(C29,Tabla1[[#All],[Ticker]:[Nombre]],2,FALSE)</f>
        <v>US4642867075</v>
      </c>
      <c r="E29" s="1" t="str">
        <f>+VLOOKUP(C29,Tabla1[[#All],[Ticker]:[Nombre]],3,FALSE)</f>
        <v>USD</v>
      </c>
      <c r="F29" s="11" t="str">
        <f>+VLOOKUP(C29,Tabla1[[#All],[Ticker]:[Nombre]],4,FALSE)</f>
        <v>EWQ US Equity</v>
      </c>
      <c r="G29" s="11" t="str">
        <f>+_xll.BDP($F29,"Name")</f>
        <v>ISHARES MSCI FRANCE ETF</v>
      </c>
      <c r="H29" s="20">
        <v>1839</v>
      </c>
      <c r="I29" s="21">
        <v>45.960034999999998</v>
      </c>
      <c r="J29" s="5">
        <f>+Tabla2[[#This Row],[Q]]*Tabla2[[#This Row],[P]]</f>
        <v>84520.504365000001</v>
      </c>
      <c r="K29" t="s">
        <v>165</v>
      </c>
      <c r="L29" s="62">
        <f>+Tabla2[[#This Row],[Q]]*Tabla2[[#This Row],[P]]-VLOOKUP(Tabla2[[#This Row],[Cod_ope]],Tabla1[[Cod_Ope]:[Monto compra]],4,)</f>
        <v>4560.7843649999995</v>
      </c>
    </row>
    <row r="30" spans="1:12">
      <c r="A30" s="18">
        <v>46043</v>
      </c>
      <c r="B30" s="19">
        <v>39592</v>
      </c>
      <c r="C30" s="19" t="s">
        <v>130</v>
      </c>
      <c r="D30" s="19" t="str">
        <f>+VLOOKUP(C30,Tabla1[[#All],[Ticker]:[Nombre]],2,FALSE)</f>
        <v>US74347X8314</v>
      </c>
      <c r="E30" s="1" t="str">
        <f>+VLOOKUP(C30,Tabla1[[#All],[Ticker]:[Nombre]],3,FALSE)</f>
        <v>USD</v>
      </c>
      <c r="F30" s="19" t="str">
        <f>+VLOOKUP(C30,Tabla1[[#All],[Ticker]:[Nombre]],4,FALSE)</f>
        <v>TQQQ US Equity</v>
      </c>
      <c r="G30" s="19" t="str">
        <f>+_xll.BDP($F30,"Name")</f>
        <v>PROSHARES ULTRAPRO QQQ</v>
      </c>
      <c r="H30" s="20">
        <v>2929</v>
      </c>
      <c r="I30" s="21">
        <v>53.51</v>
      </c>
      <c r="J30" s="5">
        <f>+Tabla2[[#This Row],[Q]]*Tabla2[[#This Row],[P]]</f>
        <v>156730.79</v>
      </c>
      <c r="K30" t="s">
        <v>166</v>
      </c>
      <c r="L30" s="62">
        <f>+Tabla2[[#This Row],[Q]]*Tabla2[[#This Row],[P]]-VLOOKUP(Tabla2[[#This Row],[Cod_ope]],Tabla1[[Cod_Ope]:[Monto compra]],4,)</f>
        <v>7000.602899999998</v>
      </c>
    </row>
    <row r="31" spans="1:12">
      <c r="A31" s="18">
        <v>46049</v>
      </c>
      <c r="B31" s="19">
        <v>39592</v>
      </c>
      <c r="C31" s="19" t="s">
        <v>54</v>
      </c>
      <c r="D31" s="19" t="str">
        <f>+VLOOKUP(C31,Tabla1[[#All],[Ticker]:[Nombre]],2,FALSE)</f>
        <v>US69608A1088</v>
      </c>
      <c r="E31" s="1" t="str">
        <f>+VLOOKUP(C31,Tabla1[[#All],[Ticker]:[Nombre]],3,FALSE)</f>
        <v>USD</v>
      </c>
      <c r="F31" s="19" t="str">
        <f>+VLOOKUP(C31,Tabla1[[#All],[Ticker]:[Nombre]],4,FALSE)</f>
        <v>PLTR US Equity</v>
      </c>
      <c r="G31" s="19" t="str">
        <f>+_xll.BDP($F31,"Name")</f>
        <v>PALANTIR TECHNOLOGIES INC-A</v>
      </c>
      <c r="H31" s="20">
        <v>598</v>
      </c>
      <c r="I31" s="21">
        <v>169.0804</v>
      </c>
      <c r="J31" s="5">
        <f>+Tabla2[[#This Row],[Q]]*Tabla2[[#This Row],[P]]</f>
        <v>101110.07919999999</v>
      </c>
      <c r="K31" t="s">
        <v>192</v>
      </c>
      <c r="L31" s="62">
        <f>+Tabla2[[#This Row],[Q]]*Tabla2[[#This Row],[P]]-VLOOKUP(Tabla2[[#This Row],[Cod_ope]],Tabla1[[Cod_Ope]:[Monto compra]],4,)</f>
        <v>1281.6413739999989</v>
      </c>
    </row>
    <row r="32" spans="1:12">
      <c r="A32" s="18">
        <v>46056</v>
      </c>
      <c r="B32" s="19">
        <v>39592</v>
      </c>
      <c r="C32" s="19" t="s">
        <v>54</v>
      </c>
      <c r="D32" s="19" t="str">
        <f>+VLOOKUP(C32,Tabla1[[#All],[Ticker]:[Nombre]],2,FALSE)</f>
        <v>US69608A1088</v>
      </c>
      <c r="E32" s="1" t="str">
        <f>+VLOOKUP(C32,Tabla1[[#All],[Ticker]:[Nombre]],3,FALSE)</f>
        <v>USD</v>
      </c>
      <c r="F32" s="19" t="str">
        <f>+VLOOKUP(C32,Tabla1[[#All],[Ticker]:[Nombre]],4,FALSE)</f>
        <v>PLTR US Equity</v>
      </c>
      <c r="G32" s="19" t="str">
        <f>+_xll.BDP($F32,"Name")</f>
        <v>PALANTIR TECHNOLOGIES INC-A</v>
      </c>
      <c r="H32" s="20">
        <v>989</v>
      </c>
      <c r="I32" s="21">
        <v>161.76</v>
      </c>
      <c r="J32" s="5">
        <f>+Tabla2[[#This Row],[Q]]*Tabla2[[#This Row],[P]]</f>
        <v>159980.63999999998</v>
      </c>
      <c r="K32" t="s">
        <v>199</v>
      </c>
      <c r="L32" s="62">
        <f>+Tabla2[[#This Row],[Q]]*Tabla2[[#This Row],[P]]-VLOOKUP(Tabla2[[#This Row],[Cod_ope]],Tabla1[[Cod_Ope]:[Monto compra]],4,)</f>
        <v>10809.76999999996</v>
      </c>
    </row>
    <row r="33" spans="1:12">
      <c r="A33" s="18">
        <v>46056</v>
      </c>
      <c r="B33" s="19">
        <v>39592</v>
      </c>
      <c r="C33" s="19" t="s">
        <v>78</v>
      </c>
      <c r="D33" s="19" t="str">
        <f>+VLOOKUP(C33,Tabla1[[#All],[Ticker]:[Nombre]],2,FALSE)</f>
        <v>US4642864007</v>
      </c>
      <c r="E33" s="1" t="str">
        <f>+VLOOKUP(C33,Tabla1[[#All],[Ticker]:[Nombre]],3,FALSE)</f>
        <v>USD</v>
      </c>
      <c r="F33" s="19" t="str">
        <f>+VLOOKUP(C33,Tabla1[[#All],[Ticker]:[Nombre]],4,FALSE)</f>
        <v>EWZ US Equity</v>
      </c>
      <c r="G33" s="19" t="str">
        <f>+_xll.BDP($F33,"Name")</f>
        <v>ISHARES MSCI BRAZIL ETF</v>
      </c>
      <c r="H33" s="20">
        <v>2490</v>
      </c>
      <c r="I33" s="21">
        <v>38.58</v>
      </c>
      <c r="J33" s="5">
        <f>+Tabla2[[#This Row],[Q]]*Tabla2[[#This Row],[P]]</f>
        <v>96064.2</v>
      </c>
      <c r="K33" t="s">
        <v>200</v>
      </c>
      <c r="L33" s="62">
        <f>+Tabla2[[#This Row],[Q]]*Tabla2[[#This Row],[P]]-VLOOKUP(Tabla2[[#This Row],[Cod_ope]],Tabla1[[Cod_Ope]:[Monto compra]],4,)</f>
        <v>16234.799999999988</v>
      </c>
    </row>
    <row r="34" spans="1:12">
      <c r="A34" s="18">
        <v>46076</v>
      </c>
      <c r="B34" s="19">
        <v>39592</v>
      </c>
      <c r="C34" s="19" t="s">
        <v>130</v>
      </c>
      <c r="D34" s="19" t="str">
        <f>+VLOOKUP(C34,Tabla1[[#All],[Ticker]:[Nombre]],2,FALSE)</f>
        <v>US74347X8314</v>
      </c>
      <c r="E34" s="1" t="str">
        <f>+VLOOKUP(C34,Tabla1[[#All],[Ticker]:[Nombre]],3,FALSE)</f>
        <v>USD</v>
      </c>
      <c r="F34" s="19" t="str">
        <f>+VLOOKUP(C34,Tabla1[[#All],[Ticker]:[Nombre]],4,FALSE)</f>
        <v>TQQQ US Equity</v>
      </c>
      <c r="G34" s="19" t="str">
        <f>+_xll.BDP($F34,"Name")</f>
        <v>PROSHARES ULTRAPRO QQQ</v>
      </c>
      <c r="H34" s="20">
        <v>1815</v>
      </c>
      <c r="I34" s="21">
        <v>49.95</v>
      </c>
      <c r="J34" s="5">
        <f>+Tabla2[[#This Row],[Q]]*Tabla2[[#This Row],[P]]</f>
        <v>90659.25</v>
      </c>
      <c r="K34" t="s">
        <v>223</v>
      </c>
      <c r="L34" s="62">
        <f>+Tabla2[[#This Row],[Q]]*Tabla2[[#This Row],[P]]-VLOOKUP(Tabla2[[#This Row],[Cod_ope]],Tabla1[[Cod_Ope]:[Monto compra]],4,)</f>
        <v>-8748.3000000000029</v>
      </c>
    </row>
    <row r="35" spans="1:12">
      <c r="A35" s="18">
        <v>46078</v>
      </c>
      <c r="B35" s="19">
        <v>39592</v>
      </c>
      <c r="C35" s="19" t="s">
        <v>215</v>
      </c>
      <c r="D35" s="19" t="str">
        <f>+VLOOKUP(C35,Tabla1[[#All],[Ticker]:[Nombre]],2,FALSE)</f>
        <v>US92189F6768</v>
      </c>
      <c r="E35" s="1" t="str">
        <f>+VLOOKUP(C35,Tabla1[[#All],[Ticker]:[Nombre]],3,FALSE)</f>
        <v>USD</v>
      </c>
      <c r="F35" s="19" t="str">
        <f>+VLOOKUP(C35,Tabla1[[#All],[Ticker]:[Nombre]],4,FALSE)</f>
        <v>SMH us Equity</v>
      </c>
      <c r="G35" s="19" t="str">
        <f>+_xll.BDP($F35,"Name")</f>
        <v>VANECK SEMICONDUCTOR ETF</v>
      </c>
      <c r="H35" s="20">
        <v>264</v>
      </c>
      <c r="I35" s="21">
        <v>425.06259999999997</v>
      </c>
      <c r="J35" s="5">
        <f>+Tabla2[[#This Row],[Q]]*Tabla2[[#This Row],[P]]</f>
        <v>112216.52639999999</v>
      </c>
      <c r="K35" t="s">
        <v>224</v>
      </c>
      <c r="L35" s="62">
        <f>+Tabla2[[#This Row],[Q]]*Tabla2[[#This Row],[P]]-VLOOKUP(Tabla2[[#This Row],[Cod_ope]],Tabla1[[Cod_Ope]:[Monto compra]],4,)</f>
        <v>12538.07279999998</v>
      </c>
    </row>
    <row r="36" spans="1:12">
      <c r="A36" s="18">
        <v>46078</v>
      </c>
      <c r="B36" s="19">
        <v>39592</v>
      </c>
      <c r="C36" s="19" t="s">
        <v>54</v>
      </c>
      <c r="D36" s="19" t="str">
        <f>+VLOOKUP(C36,Tabla1[[#All],[Ticker]:[Nombre]],2,FALSE)</f>
        <v>US69608A1088</v>
      </c>
      <c r="E36" s="1" t="str">
        <f>+VLOOKUP(C36,Tabla1[[#All],[Ticker]:[Nombre]],3,FALSE)</f>
        <v>USD</v>
      </c>
      <c r="F36" s="19" t="str">
        <f>+VLOOKUP(C36,Tabla1[[#All],[Ticker]:[Nombre]],4,FALSE)</f>
        <v>PLTR US Equity</v>
      </c>
      <c r="G36" s="19" t="str">
        <f>+_xll.BDP($F36,"Name")</f>
        <v>PALANTIR TECHNOLOGIES INC-A</v>
      </c>
      <c r="H36" s="20">
        <v>1104</v>
      </c>
      <c r="I36" s="21">
        <v>135.77010000000001</v>
      </c>
      <c r="J36" s="5">
        <f>+Tabla2[[#This Row],[Q]]*Tabla2[[#This Row],[P]]</f>
        <v>149890.19040000002</v>
      </c>
      <c r="K36" t="s">
        <v>225</v>
      </c>
      <c r="L36" s="62">
        <f>+Tabla2[[#This Row],[Q]]*Tabla2[[#This Row],[P]]-VLOOKUP(Tabla2[[#This Row],[Cod_ope]],Tabla1[[Cod_Ope]:[Monto compra]],4,)</f>
        <v>309.11999999999534</v>
      </c>
    </row>
    <row r="37" spans="1:12">
      <c r="A37" s="18">
        <v>46078</v>
      </c>
      <c r="B37" s="19">
        <v>39592</v>
      </c>
      <c r="C37" s="19" t="s">
        <v>54</v>
      </c>
      <c r="D37" s="19" t="str">
        <f>+VLOOKUP(C37,Tabla1[[#All],[Ticker]:[Nombre]],2,FALSE)</f>
        <v>US69608A1088</v>
      </c>
      <c r="E37" s="1" t="str">
        <f>+VLOOKUP(C37,Tabla1[[#All],[Ticker]:[Nombre]],3,FALSE)</f>
        <v>USD</v>
      </c>
      <c r="F37" s="19" t="str">
        <f>+VLOOKUP(C37,Tabla1[[#All],[Ticker]:[Nombre]],4,FALSE)</f>
        <v>PLTR US Equity</v>
      </c>
      <c r="G37" s="19" t="str">
        <f>+_xll.BDP($F37,"Name")</f>
        <v>PALANTIR TECHNOLOGIES INC-A</v>
      </c>
      <c r="H37" s="20">
        <v>390</v>
      </c>
      <c r="I37" s="21">
        <v>135.77010000000001</v>
      </c>
      <c r="J37" s="5">
        <f>+Tabla2[[#This Row],[Q]]*Tabla2[[#This Row],[P]]</f>
        <v>52950.339000000007</v>
      </c>
      <c r="K37" t="s">
        <v>226</v>
      </c>
      <c r="L37" s="62">
        <f>+Tabla2[[#This Row],[Q]]*Tabla2[[#This Row],[P]]-VLOOKUP(Tabla2[[#This Row],[Cod_ope]],Tabla1[[Cod_Ope]:[Monto compra]],4,)</f>
        <v>3143.439000000013</v>
      </c>
    </row>
    <row r="38" spans="1:12">
      <c r="A38" s="18">
        <v>46083</v>
      </c>
      <c r="B38" s="19">
        <v>39592</v>
      </c>
      <c r="C38" s="1" t="s">
        <v>78</v>
      </c>
      <c r="D38" s="19" t="str">
        <f>+VLOOKUP(C38,Tabla1[[#All],[Ticker]:[Nombre]],2,FALSE)</f>
        <v>US4642864007</v>
      </c>
      <c r="E38" s="1" t="str">
        <f>+VLOOKUP(C38,Tabla1[[#All],[Ticker]:[Nombre]],3,FALSE)</f>
        <v>USD</v>
      </c>
      <c r="F38" s="19" t="str">
        <f>+VLOOKUP(C38,Tabla1[[#All],[Ticker]:[Nombre]],4,FALSE)</f>
        <v>EWZ US Equity</v>
      </c>
      <c r="G38" s="19" t="str">
        <f>+_xll.BDP($F38,"Name")</f>
        <v>ISHARES MSCI BRAZIL ETF</v>
      </c>
      <c r="H38" s="7">
        <v>5270</v>
      </c>
      <c r="I38" s="21">
        <v>39.49</v>
      </c>
      <c r="J38" s="5">
        <f>+Tabla2[[#This Row],[Q]]*Tabla2[[#This Row],[P]]</f>
        <v>208112.30000000002</v>
      </c>
      <c r="K38" t="s">
        <v>239</v>
      </c>
      <c r="L38" s="62">
        <f>+Tabla2[[#This Row],[Q]]*Tabla2[[#This Row],[P]]-VLOOKUP(Tabla2[[#This Row],[Cod_ope]],Tabla1[[Cod_Ope]:[Monto compra]],4,)</f>
        <v>9169.8000000000175</v>
      </c>
    </row>
    <row r="39" spans="1:12">
      <c r="A39" s="18">
        <v>46083</v>
      </c>
      <c r="B39" s="19">
        <v>39592</v>
      </c>
      <c r="C39" s="1" t="s">
        <v>130</v>
      </c>
      <c r="D39" s="19" t="str">
        <f>+VLOOKUP(C39,Tabla1[[#All],[Ticker]:[Nombre]],2,FALSE)</f>
        <v>US74347X8314</v>
      </c>
      <c r="E39" s="1" t="str">
        <f>+VLOOKUP(C39,Tabla1[[#All],[Ticker]:[Nombre]],3,FALSE)</f>
        <v>USD</v>
      </c>
      <c r="F39" s="19" t="str">
        <f>+VLOOKUP(C39,Tabla1[[#All],[Ticker]:[Nombre]],4,FALSE)</f>
        <v>TQQQ US Equity</v>
      </c>
      <c r="G39" s="19" t="str">
        <f>+_xll.BDP($F39,"Name")</f>
        <v>PROSHARES ULTRAPRO QQQ</v>
      </c>
      <c r="H39" s="7">
        <v>3165</v>
      </c>
      <c r="I39" s="21">
        <v>49.911700000000003</v>
      </c>
      <c r="J39" s="5">
        <f>+Tabla2[[#This Row],[Q]]*Tabla2[[#This Row],[P]]</f>
        <v>157970.53050000002</v>
      </c>
      <c r="K39" t="s">
        <v>240</v>
      </c>
      <c r="L39" s="62">
        <f>+Tabla2[[#This Row],[Q]]*Tabla2[[#This Row],[P]]-VLOOKUP(Tabla2[[#This Row],[Cod_ope]],Tabla1[[Cod_Ope]:[Monto compra]],4,)</f>
        <v>7949.5305000000226</v>
      </c>
    </row>
    <row r="40" spans="1:12">
      <c r="A40" s="18">
        <v>46084</v>
      </c>
      <c r="B40" s="19">
        <v>39592</v>
      </c>
      <c r="C40" s="1" t="s">
        <v>78</v>
      </c>
      <c r="D40" s="19" t="str">
        <f>+VLOOKUP(C40,Tabla1[[#All],[Ticker]:[Nombre]],2,FALSE)</f>
        <v>US4642864007</v>
      </c>
      <c r="E40" s="1" t="str">
        <f>+VLOOKUP(C40,Tabla1[[#All],[Ticker]:[Nombre]],3,FALSE)</f>
        <v>USD</v>
      </c>
      <c r="F40" s="19" t="str">
        <f>+VLOOKUP(C40,Tabla1[[#All],[Ticker]:[Nombre]],4,FALSE)</f>
        <v>EWZ US Equity</v>
      </c>
      <c r="G40" s="19" t="str">
        <f>+_xll.BDP($F40,"Name")</f>
        <v>ISHARES MSCI BRAZIL ETF</v>
      </c>
      <c r="H40" s="20">
        <v>5450</v>
      </c>
      <c r="I40" s="21">
        <v>36.940100000000001</v>
      </c>
      <c r="J40" s="5">
        <f>+Tabla2[[#This Row],[Q]]*Tabla2[[#This Row],[P]]</f>
        <v>201323.54500000001</v>
      </c>
      <c r="K40" t="s">
        <v>241</v>
      </c>
      <c r="L40" s="62">
        <f>+Tabla2[[#This Row],[Q]]*Tabla2[[#This Row],[P]]-VLOOKUP(Tabla2[[#This Row],[Cod_ope]],Tabla1[[Cod_Ope]:[Monto compra]],4,)</f>
        <v>1853.5450000000128</v>
      </c>
    </row>
    <row r="41" spans="1:12">
      <c r="A41" s="18">
        <v>46084</v>
      </c>
      <c r="B41" s="19">
        <v>39592</v>
      </c>
      <c r="C41" s="19" t="s">
        <v>130</v>
      </c>
      <c r="D41" s="19" t="str">
        <f>+VLOOKUP(C41,Tabla1[[#All],[Ticker]:[Nombre]],2,FALSE)</f>
        <v>US74347X8314</v>
      </c>
      <c r="E41" s="1" t="str">
        <f>+VLOOKUP(C41,Tabla1[[#All],[Ticker]:[Nombre]],3,FALSE)</f>
        <v>USD</v>
      </c>
      <c r="F41" s="19" t="str">
        <f>+VLOOKUP(C41,Tabla1[[#All],[Ticker]:[Nombre]],4,FALSE)</f>
        <v>TQQQ US Equity</v>
      </c>
      <c r="G41" s="19" t="str">
        <f>+_xll.BDP($F41,"Name")</f>
        <v>PROSHARES ULTRAPRO QQQ</v>
      </c>
      <c r="H41" s="20">
        <v>3221</v>
      </c>
      <c r="I41" s="21">
        <v>48.04</v>
      </c>
      <c r="J41" s="5">
        <f>+Tabla2[[#This Row],[Q]]*Tabla2[[#This Row],[P]]</f>
        <v>154736.84</v>
      </c>
      <c r="K41" t="s">
        <v>242</v>
      </c>
      <c r="L41" s="62">
        <f>+Tabla2[[#This Row],[Q]]*Tabla2[[#This Row],[P]]-VLOOKUP(Tabla2[[#This Row],[Cod_ope]],Tabla1[[Cod_Ope]:[Monto compra]],4,)</f>
        <v>5124.6110000000044</v>
      </c>
    </row>
    <row r="42" spans="1:12">
      <c r="A42" s="18">
        <v>46084</v>
      </c>
      <c r="B42" s="19">
        <v>39592</v>
      </c>
      <c r="C42" s="19" t="s">
        <v>54</v>
      </c>
      <c r="D42" s="19" t="str">
        <f>+VLOOKUP(C42,Tabla1[[#All],[Ticker]:[Nombre]],2,FALSE)</f>
        <v>US69608A1088</v>
      </c>
      <c r="E42" s="1" t="str">
        <f>+VLOOKUP(C42,Tabla1[[#All],[Ticker]:[Nombre]],3,FALSE)</f>
        <v>USD</v>
      </c>
      <c r="F42" s="19" t="str">
        <f>+VLOOKUP(C42,Tabla1[[#All],[Ticker]:[Nombre]],4,FALSE)</f>
        <v>PLTR US Equity</v>
      </c>
      <c r="G42" s="19" t="str">
        <f>+_xll.BDP($F42,"Name")</f>
        <v>PALANTIR TECHNOLOGIES INC-A</v>
      </c>
      <c r="H42" s="20">
        <v>687</v>
      </c>
      <c r="I42" s="21">
        <v>146.22</v>
      </c>
      <c r="J42" s="5">
        <f>+Tabla2[[#This Row],[Q]]*Tabla2[[#This Row],[P]]</f>
        <v>100453.14</v>
      </c>
      <c r="K42" t="s">
        <v>243</v>
      </c>
      <c r="L42" s="62">
        <f>+Tabla2[[#This Row],[Q]]*Tabla2[[#This Row],[P]]-VLOOKUP(Tabla2[[#This Row],[Cod_ope]],Tabla1[[Cod_Ope]:[Monto compra]],4,)</f>
        <v>564.02700000000186</v>
      </c>
    </row>
    <row r="43" spans="1:12">
      <c r="A43" s="18">
        <v>46085</v>
      </c>
      <c r="B43" s="19">
        <v>39592</v>
      </c>
      <c r="C43" s="1" t="s">
        <v>244</v>
      </c>
      <c r="D43" s="19" t="str">
        <f>+VLOOKUP(C43,Tabla1[[#All],[Ticker]:[Nombre]],2,FALSE)</f>
        <v>US25461A3876</v>
      </c>
      <c r="E43" s="1" t="str">
        <f>+VLOOKUP(C43,Tabla1[[#All],[Ticker]:[Nombre]],3,FALSE)</f>
        <v>USD</v>
      </c>
      <c r="F43" s="19" t="str">
        <f>+VLOOKUP(C43,Tabla1[[#All],[Ticker]:[Nombre]],4,FALSE)</f>
        <v>KORU US Equity</v>
      </c>
      <c r="G43" s="19" t="str">
        <f>+_xll.BDP($F43,"Name")</f>
        <v>DIREXION DLY M SK BULL 3X-UI</v>
      </c>
      <c r="H43" s="20">
        <v>185</v>
      </c>
      <c r="I43" s="21">
        <v>387.99560000000002</v>
      </c>
      <c r="J43" s="5">
        <f>+Tabla2[[#This Row],[Q]]*Tabla2[[#This Row],[P]]</f>
        <v>71779.186000000002</v>
      </c>
      <c r="K43" t="s">
        <v>246</v>
      </c>
      <c r="L43" s="62">
        <f>+Tabla2[[#This Row],[Q]]*Tabla2[[#This Row],[P]]-VLOOKUP(Tabla2[[#This Row],[Cod_ope]],Tabla1[[Cod_Ope]:[Monto compra]],4,)</f>
        <v>1939.8360000000102</v>
      </c>
    </row>
    <row r="44" spans="1:12">
      <c r="A44" s="18">
        <v>46086</v>
      </c>
      <c r="B44" s="19">
        <v>39592</v>
      </c>
      <c r="C44" s="19" t="s">
        <v>130</v>
      </c>
      <c r="D44" s="19" t="str">
        <f>+VLOOKUP(C44,Tabla1[[#All],[Ticker]:[Nombre]],2,FALSE)</f>
        <v>US74347X8314</v>
      </c>
      <c r="E44" s="1" t="str">
        <f>+VLOOKUP(C44,Tabla1[[#All],[Ticker]:[Nombre]],3,FALSE)</f>
        <v>USD</v>
      </c>
      <c r="F44" s="19" t="str">
        <f>+VLOOKUP(C44,Tabla1[[#All],[Ticker]:[Nombre]],4,FALSE)</f>
        <v>TQQQ US Equity</v>
      </c>
      <c r="G44" s="19" t="str">
        <f>+_xll.BDP($F44,"Name")</f>
        <v>PROSHARES ULTRAPRO QQQ</v>
      </c>
      <c r="H44" s="20">
        <v>2015</v>
      </c>
      <c r="I44" s="21">
        <v>49.71</v>
      </c>
      <c r="J44" s="5">
        <f>+Tabla2[[#This Row],[Q]]*Tabla2[[#This Row],[P]]</f>
        <v>100165.65000000001</v>
      </c>
      <c r="K44" t="s">
        <v>247</v>
      </c>
      <c r="L44" s="62">
        <f>+Tabla2[[#This Row],[Q]]*Tabla2[[#This Row],[P]]-VLOOKUP(Tabla2[[#This Row],[Cod_ope]],Tabla1[[Cod_Ope]:[Monto compra]],4,)</f>
        <v>685.10000000002037</v>
      </c>
    </row>
    <row r="45" spans="1:12">
      <c r="A45" s="18">
        <v>46090</v>
      </c>
      <c r="B45" s="19">
        <v>39592</v>
      </c>
      <c r="C45" s="1" t="s">
        <v>244</v>
      </c>
      <c r="D45" s="19" t="str">
        <f>+VLOOKUP(C45,Tabla1[[#All],[Ticker]:[Nombre]],2,FALSE)</f>
        <v>US25461A3876</v>
      </c>
      <c r="E45" s="1" t="str">
        <f>+VLOOKUP(C45,Tabla1[[#All],[Ticker]:[Nombre]],3,FALSE)</f>
        <v>USD</v>
      </c>
      <c r="F45" s="19" t="str">
        <f>+VLOOKUP(C45,Tabla1[[#All],[Ticker]:[Nombre]],4,FALSE)</f>
        <v>KORU US Equity</v>
      </c>
      <c r="G45" s="19" t="str">
        <f>+_xll.BDP($F45,"Name")</f>
        <v>DIREXION DLY M SK BULL 3X-UI</v>
      </c>
      <c r="H45" s="20">
        <v>184</v>
      </c>
      <c r="I45" s="21">
        <v>389</v>
      </c>
      <c r="J45" s="5">
        <f>+Tabla2[[#This Row],[Q]]*Tabla2[[#This Row],[P]]</f>
        <v>71576</v>
      </c>
      <c r="K45" t="s">
        <v>249</v>
      </c>
      <c r="L45" s="62">
        <f>+Tabla2[[#This Row],[Q]]*Tabla2[[#This Row],[P]]-VLOOKUP(Tabla2[[#This Row],[Cod_ope]],Tabla1[[Cod_Ope]:[Monto compra]],4,)</f>
        <v>2151.6959999999963</v>
      </c>
    </row>
    <row r="46" spans="1:12">
      <c r="A46" s="18">
        <v>46090</v>
      </c>
      <c r="B46" s="19">
        <v>39592</v>
      </c>
      <c r="C46" s="1" t="s">
        <v>244</v>
      </c>
      <c r="D46" s="19" t="str">
        <f>+VLOOKUP(C46,Tabla1[[#All],[Ticker]:[Nombre]],2,FALSE)</f>
        <v>US25461A3876</v>
      </c>
      <c r="E46" s="1" t="str">
        <f>+VLOOKUP(C46,Tabla1[[#All],[Ticker]:[Nombre]],3,FALSE)</f>
        <v>USD</v>
      </c>
      <c r="F46" s="19" t="str">
        <f>+VLOOKUP(C46,Tabla1[[#All],[Ticker]:[Nombre]],4,FALSE)</f>
        <v>KORU US Equity</v>
      </c>
      <c r="G46" s="19" t="str">
        <f>+_xll.BDP($F46,"Name")</f>
        <v>DIREXION DLY M SK BULL 3X-UI</v>
      </c>
      <c r="H46" s="20">
        <v>143</v>
      </c>
      <c r="I46" s="21">
        <v>389</v>
      </c>
      <c r="J46" s="5">
        <f>+Tabla2[[#This Row],[Q]]*Tabla2[[#This Row],[P]]</f>
        <v>55627</v>
      </c>
      <c r="K46" t="s">
        <v>250</v>
      </c>
      <c r="L46" s="62">
        <f>+Tabla2[[#This Row],[Q]]*Tabla2[[#This Row],[P]]-VLOOKUP(Tabla2[[#This Row],[Cod_ope]],Tabla1[[Cod_Ope]:[Monto compra]],4,)</f>
        <v>5644.8820999999953</v>
      </c>
    </row>
    <row r="47" spans="1:12">
      <c r="A47" s="18">
        <v>46090</v>
      </c>
      <c r="B47" s="19">
        <v>39592</v>
      </c>
      <c r="C47" s="1" t="s">
        <v>244</v>
      </c>
      <c r="D47" s="19" t="str">
        <f>+VLOOKUP(C47,Tabla1[[#All],[Ticker]:[Nombre]],2,FALSE)</f>
        <v>US25461A3876</v>
      </c>
      <c r="E47" s="1" t="str">
        <f>+VLOOKUP(C47,Tabla1[[#All],[Ticker]:[Nombre]],3,FALSE)</f>
        <v>USD</v>
      </c>
      <c r="F47" s="19" t="str">
        <f>+VLOOKUP(C47,Tabla1[[#All],[Ticker]:[Nombre]],4,FALSE)</f>
        <v>KORU US Equity</v>
      </c>
      <c r="G47" s="19" t="str">
        <f>+_xll.BDP($F47,"Name")</f>
        <v>DIREXION DLY M SK BULL 3X-UI</v>
      </c>
      <c r="H47" s="20">
        <v>153</v>
      </c>
      <c r="I47" s="21">
        <v>389</v>
      </c>
      <c r="J47" s="5">
        <f>+Tabla2[[#This Row],[Q]]*Tabla2[[#This Row],[P]]</f>
        <v>59517</v>
      </c>
      <c r="K47" t="s">
        <v>251</v>
      </c>
      <c r="L47" s="62">
        <f>+Tabla2[[#This Row],[Q]]*Tabla2[[#This Row],[P]]-VLOOKUP(Tabla2[[#This Row],[Cod_ope]],Tabla1[[Cod_Ope]:[Monto compra]],4,)</f>
        <v>9343.8630000000048</v>
      </c>
    </row>
    <row r="48" spans="1:12">
      <c r="A48" s="83">
        <v>46091</v>
      </c>
      <c r="B48" s="84">
        <v>39592</v>
      </c>
      <c r="C48" s="84" t="s">
        <v>244</v>
      </c>
      <c r="D48" s="84" t="str">
        <f>+VLOOKUP(C48,Tabla1[[#All],[Ticker]:[Nombre]],2,FALSE)</f>
        <v>US25461A3876</v>
      </c>
      <c r="E48" s="85" t="str">
        <f>+VLOOKUP(C48,Tabla1[[#All],[Ticker]:[Nombre]],3,FALSE)</f>
        <v>USD</v>
      </c>
      <c r="F48" s="84" t="str">
        <f>+VLOOKUP(C48,Tabla1[[#All],[Ticker]:[Nombre]],4,FALSE)</f>
        <v>KORU US Equity</v>
      </c>
      <c r="G48" s="84" t="str">
        <f>+_xll.BDP($F48,"Name")</f>
        <v>DIREXION DLY M SK BULL 3X-UI</v>
      </c>
      <c r="H48" s="20">
        <v>260</v>
      </c>
      <c r="I48" s="86">
        <v>410.21679999999998</v>
      </c>
      <c r="J48" s="87">
        <f>+Tabla2[[#This Row],[Q]]*Tabla2[[#This Row],[P]]</f>
        <v>106656.36799999999</v>
      </c>
      <c r="K48" s="88" t="s">
        <v>252</v>
      </c>
      <c r="L48" s="82">
        <f>+Tabla2[[#This Row],[Q]]*Tabla2[[#This Row],[P]]-VLOOKUP(Tabla2[[#This Row],[Cod_ope]],Tabla1[[Cod_Ope]:[Monto compra]],4,)</f>
        <v>7515.6899999999878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AD1A-B5CD-4C71-BA0C-6D96EA777B21}">
  <sheetPr codeName="Hoja6">
    <tabColor rgb="FFA6C9EC"/>
  </sheetPr>
  <dimension ref="A1:E15"/>
  <sheetViews>
    <sheetView showGridLines="0" workbookViewId="0">
      <selection activeCell="A15" sqref="A15"/>
    </sheetView>
  </sheetViews>
  <sheetFormatPr baseColWidth="10" defaultColWidth="9.109375" defaultRowHeight="14.4" outlineLevelCol="1"/>
  <cols>
    <col min="1" max="1" width="19.33203125" bestFit="1" customWidth="1"/>
    <col min="2" max="2" width="15.88671875" customWidth="1" outlineLevel="1"/>
    <col min="3" max="3" width="17.44140625" customWidth="1" outlineLevel="1"/>
    <col min="4" max="4" width="16.33203125" customWidth="1" outlineLevel="1"/>
    <col min="5" max="5" width="15.44140625" customWidth="1"/>
  </cols>
  <sheetData>
    <row r="1" spans="1:5">
      <c r="A1" s="8" t="s">
        <v>15</v>
      </c>
      <c r="B1" s="8" t="s">
        <v>29</v>
      </c>
      <c r="C1" s="8" t="s">
        <v>30</v>
      </c>
      <c r="D1" s="9" t="s">
        <v>167</v>
      </c>
      <c r="E1" s="9" t="s">
        <v>168</v>
      </c>
    </row>
    <row r="2" spans="1:5">
      <c r="A2" t="str" cm="1">
        <f t="array" ref="A2:A15">+_xlfn.UNIQUE(_xlfn._xlws.FILTER(Tabla1[Identificador],Tabla1[Stock]="out",))</f>
        <v>ITUB US Equity</v>
      </c>
      <c r="B2" s="17">
        <f>SUMIFS(
 Tabla1[Q],
 Tabla1[Identificador],A2,
 Tabla1[Stock],"out"
)</f>
        <v>5705</v>
      </c>
      <c r="C2" s="17" cm="1">
        <f t="array" ref="C2">SUMPRODUCT(
 (Tabla1[Identificador]=A2)*
 (Tabla1[Stock]="out")*
 Tabla1[Q]*
 Tabla1[P]
)
/SUMIFS(
 Tabla1[Q],
 Tabla1[Identificador],A2,
 Tabla1[Stock],"out"
)</f>
        <v>6.9882999999999997</v>
      </c>
      <c r="D2" s="26" cm="1">
        <f t="array" ref="D2">SUMPRODUCT(
(Tabla2[Identificador]=A2)*
Tabla2[Q]*
Tabla2[P]
)
/SUMIFS(
Tabla2[Q],
Tabla2[Identificador],A2)</f>
        <v>8.0701000000000001</v>
      </c>
      <c r="E2" s="25">
        <f t="shared" ref="E2:E10" si="0">+(D2*B2)/(B2*C2)-1</f>
        <v>0.15480159695491036</v>
      </c>
    </row>
    <row r="3" spans="1:5">
      <c r="A3" t="str">
        <v>PLTR US Equity</v>
      </c>
      <c r="B3" s="17">
        <f>SUMIFS(
 Tabla1[Q],
 Tabla1[Identificador],A3,
 Tabla1[Stock],"out"
)</f>
        <v>5721</v>
      </c>
      <c r="C3" s="17" cm="1">
        <f t="array" ref="C3">SUMPRODUCT(
 (Tabla1[Identificador]=A3)*
 (Tabla1[Stock]="out")*
 Tabla1[Q]*
 Tabla1[P]
)
/SUMIFS(
 Tabla1[Q],
 Tabla1[Identificador],A3,
 Tabla1[Stock],"out"
)</f>
        <v>155.21545485509526</v>
      </c>
      <c r="D3" s="26" cm="1">
        <f t="array" ref="D3">SUMPRODUCT(
(Tabla2[Identificador]=A3)*
Tabla2[Q]*
Tabla2[P]
)
/SUMIFS(
Tabla2[Q],
Tabla2[Identificador],A3)</f>
        <v>162.69035967488202</v>
      </c>
      <c r="E3" s="25">
        <f t="shared" si="0"/>
        <v>4.815825090848791E-2</v>
      </c>
    </row>
    <row r="4" spans="1:5">
      <c r="A4" t="str">
        <v>SPY US Equity</v>
      </c>
      <c r="B4" s="17">
        <f>SUMIFS(
 Tabla1[Q],
 Tabla1[Identificador],A4,
 Tabla1[Stock],"out"
)</f>
        <v>316</v>
      </c>
      <c r="C4" s="17" cm="1">
        <f t="array" ref="C4">SUMPRODUCT(
 (Tabla1[Identificador]=A4)*
 (Tabla1[Stock]="out")*
 Tabla1[Q]*
 Tabla1[P]
)
/SUMIFS(
 Tabla1[Q],
 Tabla1[Identificador],A4,
 Tabla1[Stock],"out"
)</f>
        <v>661.36362341772156</v>
      </c>
      <c r="D4" s="26" cm="1">
        <f t="array" ref="D4">SUMPRODUCT(
(Tabla2[Identificador]=A4)*
Tabla2[Q]*
Tabla2[P]
)
/SUMIFS(
Tabla2[Q],
Tabla2[Identificador],A4)</f>
        <v>685.79175949367084</v>
      </c>
      <c r="E4" s="25">
        <f t="shared" si="0"/>
        <v>3.693601403372071E-2</v>
      </c>
    </row>
    <row r="5" spans="1:5">
      <c r="A5" t="str">
        <v>XPEV US Equity</v>
      </c>
      <c r="B5" s="17">
        <f>SUMIFS(
 Tabla1[Q],
 Tabla1[Identificador],A5,
 Tabla1[Stock],"out"
)</f>
        <v>2500</v>
      </c>
      <c r="C5" s="17" cm="1">
        <f t="array" ref="C5">SUMPRODUCT(
 (Tabla1[Identificador]=A5)*
 (Tabla1[Stock]="out")*
 Tabla1[Q]*
 Tabla1[P]
)
/SUMIFS(
 Tabla1[Q],
 Tabla1[Identificador],A5,
 Tabla1[Stock],"out"
)</f>
        <v>21.957372968799998</v>
      </c>
      <c r="D5" s="26" cm="1">
        <f t="array" ref="D5">SUMPRODUCT(
(Tabla2[Identificador]=A5)*
Tabla2[Q]*
Tabla2[P]
)
/SUMIFS(
Tabla2[Q],
Tabla2[Identificador],A5)</f>
        <v>27.74</v>
      </c>
      <c r="E5" s="25">
        <f t="shared" si="0"/>
        <v>0.26335696166461897</v>
      </c>
    </row>
    <row r="6" spans="1:5">
      <c r="A6" t="str">
        <v>EWP US Equity</v>
      </c>
      <c r="B6" s="17">
        <f>SUMIFS(
 Tabla1[Q],
 Tabla1[Identificador],A6,
 Tabla1[Stock],"out"
)</f>
        <v>1031</v>
      </c>
      <c r="C6" s="17" cm="1">
        <f t="array" ref="C6">SUMPRODUCT(
 (Tabla1[Identificador]=A6)*
 (Tabla1[Stock]="out")*
 Tabla1[Q]*
 Tabla1[P]
)
/SUMIFS(
 Tabla1[Q],
 Tabla1[Identificador],A6,
 Tabla1[Stock],"out"
)</f>
        <v>48.407089999999997</v>
      </c>
      <c r="D6" s="26" cm="1">
        <f t="array" ref="D6">SUMPRODUCT(
(Tabla2[Identificador]=A6)*
Tabla2[Q]*
Tabla2[P]
)
/SUMIFS(
Tabla2[Q],
Tabla2[Identificador],A6)</f>
        <v>55.030099999999997</v>
      </c>
      <c r="E6" s="25">
        <f t="shared" si="0"/>
        <v>0.13681900729831131</v>
      </c>
    </row>
    <row r="7" spans="1:5">
      <c r="A7" t="str">
        <v>EWZ US Equity</v>
      </c>
      <c r="B7" s="17">
        <f>SUMIFS(
 Tabla1[Q],
 Tabla1[Identificador],A7,
 Tabla1[Stock],"out"
)</f>
        <v>16212</v>
      </c>
      <c r="C7" s="17" cm="1">
        <f t="array" ref="C7">SUMPRODUCT(
 (Tabla1[Identificador]=A7)*
 (Tabla1[Stock]="out")*
 Tabla1[Q]*
 Tabla1[P]
)
/SUMIFS(
 Tabla1[Q],
 Tabla1[Identificador],A7,
 Tabla1[Stock],"out"
)</f>
        <v>35.038813224771772</v>
      </c>
      <c r="D7" s="26" cm="1">
        <f t="array" ref="D7">SUMPRODUCT(
(Tabla2[Identificador]=A7)*
Tabla2[Q]*
Tabla2[P]
)
/SUMIFS(
Tabla2[Q],
Tabla2[Identificador],A7)</f>
        <v>36.959811559338767</v>
      </c>
      <c r="E7" s="25">
        <f t="shared" si="0"/>
        <v>5.4824868703283736E-2</v>
      </c>
    </row>
    <row r="8" spans="1:5">
      <c r="A8" t="str">
        <v>EWZS US Equity</v>
      </c>
      <c r="B8" s="17">
        <f>SUMIFS(
 Tabla1[Q],
 Tabla1[Identificador],A8,
 Tabla1[Stock],"out"
)</f>
        <v>6688</v>
      </c>
      <c r="C8" s="17" cm="1">
        <f t="array" ref="C8">SUMPRODUCT(
 (Tabla1[Identificador]=A8)*
 (Tabla1[Stock]="out")*
 Tabla1[Q]*
 Tabla1[P]
)
/SUMIFS(
 Tabla1[Q],
 Tabla1[Identificador],A8,
 Tabla1[Stock],"out"
)</f>
        <v>13.411578947368419</v>
      </c>
      <c r="D8" s="26" cm="1">
        <f t="array" ref="D8">SUMPRODUCT(
(Tabla2[Identificador]=A8)*
Tabla2[Q]*
Tabla2[P]
)
/SUMIFS(
Tabla2[Q],
Tabla2[Identificador],A8)</f>
        <v>13.712999999999999</v>
      </c>
      <c r="E8" s="25">
        <f t="shared" si="0"/>
        <v>2.2474688015069466E-2</v>
      </c>
    </row>
    <row r="9" spans="1:5">
      <c r="A9" t="str">
        <v>BVN us Equity</v>
      </c>
      <c r="B9" s="17">
        <f>SUMIFS(
 Tabla1[Q],
 Tabla1[Identificador],A9,
 Tabla1[Stock],"out"
)</f>
        <v>4612</v>
      </c>
      <c r="C9" s="17" cm="1">
        <f t="array" ref="C9">SUMPRODUCT(
 (Tabla1[Identificador]=A9)*
 (Tabla1[Stock]="out")*
 Tabla1[Q]*
 Tabla1[P]
)
/SUMIFS(
 Tabla1[Q],
 Tabla1[Identificador],A9,
 Tabla1[Stock],"out"
)</f>
        <v>22.810069384215094</v>
      </c>
      <c r="D9" s="26" cm="1">
        <f t="array" ref="D9">SUMPRODUCT(
(Tabla2[Identificador]=A9)*
Tabla2[Q]*
Tabla2[P]
)
/SUMIFS(
Tabla2[Q],
Tabla2[Identificador],A9)</f>
        <v>25.11126192541197</v>
      </c>
      <c r="E9" s="25">
        <f t="shared" si="0"/>
        <v>0.10088494262929926</v>
      </c>
    </row>
    <row r="10" spans="1:5">
      <c r="A10" t="str">
        <v>VOLCABC1 pe Equity</v>
      </c>
      <c r="B10" s="17">
        <f>SUMIFS(
 Tabla1[Q],
 Tabla1[Identificador],A10,
 Tabla1[Stock],"out"
)</f>
        <v>367490</v>
      </c>
      <c r="C10" s="17" cm="1">
        <f t="array" ref="C10">SUMPRODUCT(
 (Tabla1[Identificador]=A10)*
 (Tabla1[Stock]="out")*
 Tabla1[Q]*
 Tabla1[P]
)
/SUMIFS(
 Tabla1[Q],
 Tabla1[Identificador],A10,
 Tabla1[Stock],"out"
)</f>
        <v>0.46472761163569076</v>
      </c>
      <c r="D10" s="26" cm="1">
        <f t="array" ref="D10">SUMPRODUCT(
(Tabla2[Identificador]=A10)*
Tabla2[Q]*
Tabla2[P]
)
/SUMIFS(
Tabla2[Q],
Tabla2[Identificador],A10)</f>
        <v>0.58367302511632968</v>
      </c>
      <c r="E10" s="25">
        <f t="shared" si="0"/>
        <v>0.25594651684669567</v>
      </c>
    </row>
    <row r="11" spans="1:5">
      <c r="A11" t="str">
        <v>EWQ US Equity</v>
      </c>
      <c r="B11" s="17">
        <f>SUMIFS(
 Tabla1[Q],
 Tabla1[Identificador],A11,
 Tabla1[Stock],"out"
)</f>
        <v>1839</v>
      </c>
      <c r="C11" s="17" cm="1">
        <f t="array" ref="C11">SUMPRODUCT(
 (Tabla1[Identificador]=A11)*
 (Tabla1[Stock]="out")*
 Tabla1[Q]*
 Tabla1[P]
)
/SUMIFS(
 Tabla1[Q],
 Tabla1[Identificador],A11,
 Tabla1[Stock],"out"
)</f>
        <v>43.480000000000004</v>
      </c>
      <c r="D11" s="26" cm="1">
        <f t="array" ref="D11">SUMPRODUCT(
(Tabla2[Identificador]=A11)*
Tabla2[Q]*
Tabla2[P]
)
/SUMIFS(
Tabla2[Q],
Tabla2[Identificador],A11)</f>
        <v>45.960034999999998</v>
      </c>
      <c r="E11" s="25">
        <f t="shared" ref="E11:E12" si="1">+(D11*B11)/(B11*C11)-1</f>
        <v>5.7038523459061574E-2</v>
      </c>
    </row>
    <row r="12" spans="1:5">
      <c r="A12" t="str">
        <v>QQQ US Equity</v>
      </c>
      <c r="B12" s="17">
        <f>SUMIFS(
 Tabla1[Q],
 Tabla1[Identificador],A12,
 Tabla1[Stock],"out"
)</f>
        <v>491</v>
      </c>
      <c r="C12" s="17" cm="1">
        <f t="array" ref="C12">SUMPRODUCT(
 (Tabla1[Identificador]=A12)*
 (Tabla1[Stock]="out")*
 Tabla1[Q]*
 Tabla1[P]
)
/SUMIFS(
 Tabla1[Q],
 Tabla1[Identificador],A12,
 Tabla1[Stock],"out"
)</f>
        <v>609.05403258655815</v>
      </c>
      <c r="D12" s="26" cm="1">
        <f t="array" ref="D12">SUMPRODUCT(
(Tabla2[Identificador]=A12)*
Tabla2[Q]*
Tabla2[P]
)
/SUMIFS(
Tabla2[Q],
Tabla2[Identificador],A12)</f>
        <v>621.26334521384922</v>
      </c>
      <c r="E12" s="25">
        <f t="shared" si="1"/>
        <v>2.0046353811073336E-2</v>
      </c>
    </row>
    <row r="13" spans="1:5">
      <c r="A13" t="str">
        <v>TQQQ US Equity</v>
      </c>
      <c r="B13" s="17">
        <f>SUMIFS(
 Tabla1[Q],
 Tabla1[Identificador],A13,
 Tabla1[Stock],"out"
)</f>
        <v>13145</v>
      </c>
      <c r="C13" s="17" cm="1">
        <f t="array" ref="C13">SUMPRODUCT(
 (Tabla1[Identificador]=A13)*
 (Tabla1[Stock]="out")*
 Tabla1[Q]*
 Tabla1[P]
)
/SUMIFS(
 Tabla1[Q],
 Tabla1[Identificador],A13,
 Tabla1[Stock],"out"
)</f>
        <v>49.315444359071897</v>
      </c>
      <c r="D13" s="26" cm="1">
        <f t="array" ref="D13">SUMPRODUCT(
(Tabla2[Identificador]=A13)*
Tabla2[Q]*
Tabla2[P]
)
/SUMIFS(
Tabla2[Q],
Tabla2[Identificador],A13)</f>
        <v>50.22921723088627</v>
      </c>
      <c r="E13" s="25">
        <f t="shared" ref="E13" si="2">+(D13*B13)/(B13*C13)-1</f>
        <v>1.8529142009977129E-2</v>
      </c>
    </row>
    <row r="14" spans="1:5">
      <c r="A14" t="str">
        <v>SMH us Equity</v>
      </c>
      <c r="B14" s="17">
        <f>SUMIFS(
 Tabla1[Q],
 Tabla1[Identificador],A14,
 Tabla1[Stock],"out"
)</f>
        <v>264</v>
      </c>
      <c r="C14" s="17" cm="1">
        <f t="array" ref="C14">SUMPRODUCT(
 (Tabla1[Identificador]=A14)*
 (Tabla1[Stock]="out")*
 Tabla1[Q]*
 Tabla1[P]
)
/SUMIFS(
 Tabla1[Q],
 Tabla1[Identificador],A14,
 Tabla1[Stock],"out"
)</f>
        <v>377.56990000000002</v>
      </c>
      <c r="D14" s="26" cm="1">
        <f t="array" ref="D14">SUMPRODUCT(
(Tabla2[Identificador]=A14)*
Tabla2[Q]*
Tabla2[P]
)
/SUMIFS(
Tabla2[Q],
Tabla2[Identificador],A14)</f>
        <v>425.06259999999997</v>
      </c>
      <c r="E14" s="25">
        <f>+(D14*B14)/(B14*C14)-1</f>
        <v>0.12578518573646869</v>
      </c>
    </row>
    <row r="15" spans="1:5">
      <c r="A15" t="str">
        <v>KORU US Equity</v>
      </c>
      <c r="B15" s="17">
        <f>SUMIFS(
 Tabla1[Q],
 Tabla1[Identificador],A15,
 Tabla1[Stock],"out"
)</f>
        <v>925</v>
      </c>
      <c r="C15" s="17" cm="1">
        <f t="array" ref="C15">SUMPRODUCT(
 (Tabla1[Identificador]=A15)*
 (Tabla1[Stock]="out")*
 Tabla1[Q]*
 Tabla1[P]
)
/SUMIFS(
 Tabla1[Q],
 Tabla1[Identificador],A15,
 Tabla1[Stock],"out"
)</f>
        <v>366.0103642162162</v>
      </c>
      <c r="D15" s="26" cm="1">
        <f t="array" ref="D15">SUMPRODUCT(
(Tabla2[Identificador]=A15)*
Tabla2[Q]*
Tabla2[P]
)
/SUMIFS(
Tabla2[Q],
Tabla2[Identificador],A15)</f>
        <v>394.76276108108107</v>
      </c>
      <c r="E15" s="25">
        <f>+(D15*B15)/(B15*C15)-1</f>
        <v>7.8556236860767514E-2</v>
      </c>
    </row>
  </sheetData>
  <autoFilter ref="A1:E1" xr:uid="{00000000-0001-0000-0000-000000000000}"/>
  <conditionalFormatting sqref="E2:E1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{0B4D1353-8F57-42ED-8073-7ACB765AB987}</x14:id>
        </ext>
      </extLs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{025E139C-0262-4671-8BE2-B0CACECC024D}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4D1353-8F57-42ED-8073-7ACB765AB9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5E139C-0262-4671-8BE2-B0CACECC02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E9F0-B03A-4F92-946F-2BB331F60D92}">
  <sheetPr codeName="Hoja7">
    <tabColor rgb="FFA6C9EC"/>
  </sheetPr>
  <dimension ref="A1:J32"/>
  <sheetViews>
    <sheetView topLeftCell="A19" workbookViewId="0">
      <selection activeCell="A32" sqref="A32"/>
    </sheetView>
  </sheetViews>
  <sheetFormatPr baseColWidth="10" defaultColWidth="11.44140625" defaultRowHeight="14.4"/>
  <cols>
    <col min="1" max="1" width="15.88671875" bestFit="1" customWidth="1"/>
    <col min="4" max="4" width="18.5546875" bestFit="1" customWidth="1"/>
    <col min="8" max="8" width="13.5546875" customWidth="1"/>
    <col min="9" max="9" width="15.6640625" customWidth="1"/>
    <col min="10" max="10" width="17.6640625" customWidth="1"/>
  </cols>
  <sheetData>
    <row r="1" spans="1:10">
      <c r="A1" s="16" t="s">
        <v>169</v>
      </c>
      <c r="B1" s="16" t="s">
        <v>39</v>
      </c>
      <c r="C1" s="16" t="s">
        <v>40</v>
      </c>
      <c r="D1" s="16" t="s">
        <v>41</v>
      </c>
      <c r="E1" s="16" t="s">
        <v>170</v>
      </c>
      <c r="F1" s="16" t="s">
        <v>171</v>
      </c>
      <c r="G1" s="16" t="s">
        <v>172</v>
      </c>
      <c r="H1" s="16" t="s">
        <v>173</v>
      </c>
      <c r="I1" s="16" t="s">
        <v>174</v>
      </c>
      <c r="J1" s="16" t="s">
        <v>175</v>
      </c>
    </row>
    <row r="2" spans="1:10">
      <c r="A2" s="13" t="s">
        <v>176</v>
      </c>
      <c r="B2" s="6">
        <v>39592</v>
      </c>
      <c r="C2" s="6" t="s">
        <v>50</v>
      </c>
      <c r="D2" s="6" t="str">
        <f>+VLOOKUP(Tabla3[[#This Row],[Ticker]],Tabla1[[Ticker]:[Identificador]],4,FALSE)</f>
        <v>XLY US Equity</v>
      </c>
      <c r="E2" s="6">
        <v>335</v>
      </c>
      <c r="F2">
        <v>0.42549999999999999</v>
      </c>
      <c r="G2">
        <f>+E2*F2</f>
        <v>142.54249999999999</v>
      </c>
      <c r="H2" s="6" t="s">
        <v>177</v>
      </c>
      <c r="I2" s="6" t="str">
        <f>+VLOOKUP(C2,Tabla1[[#All],[Ticker]:[Moneda]],3,FALSE)</f>
        <v>USD</v>
      </c>
      <c r="J2">
        <f t="shared" ref="J2:J26" si="0">+IF(H2=I2,G2,G2*3.4)</f>
        <v>142.54249999999999</v>
      </c>
    </row>
    <row r="3" spans="1:10">
      <c r="A3" t="s">
        <v>178</v>
      </c>
      <c r="B3" s="6">
        <v>39592</v>
      </c>
      <c r="C3" s="6" t="s">
        <v>48</v>
      </c>
      <c r="D3" s="6" t="str">
        <f>+VLOOKUP(Tabla3[[#This Row],[Ticker]],Tabla1[[Ticker]:[Identificador]],4,FALSE)</f>
        <v>XLI US Equity</v>
      </c>
      <c r="E3" s="6">
        <v>526</v>
      </c>
      <c r="F3">
        <v>0.62980000000000003</v>
      </c>
      <c r="G3">
        <f t="shared" ref="G3:G26" si="1">+E3*F3</f>
        <v>331.27480000000003</v>
      </c>
      <c r="H3" s="6" t="s">
        <v>177</v>
      </c>
      <c r="I3" s="6" t="str">
        <f>+VLOOKUP(C3,Tabla1[[#All],[Ticker]:[Moneda]],3,FALSE)</f>
        <v>USD</v>
      </c>
      <c r="J3">
        <f t="shared" si="0"/>
        <v>331.27480000000003</v>
      </c>
    </row>
    <row r="4" spans="1:10">
      <c r="A4" t="s">
        <v>178</v>
      </c>
      <c r="B4" s="6">
        <v>39592</v>
      </c>
      <c r="C4" s="6" t="s">
        <v>52</v>
      </c>
      <c r="D4" s="6" t="str">
        <f>+VLOOKUP(Tabla3[[#This Row],[Ticker]],Tabla1[[Ticker]:[Identificador]],4,FALSE)</f>
        <v>XLU US Equity</v>
      </c>
      <c r="E4" s="6">
        <v>936</v>
      </c>
      <c r="F4">
        <v>0.56779999999999997</v>
      </c>
      <c r="G4">
        <f t="shared" si="1"/>
        <v>531.46079999999995</v>
      </c>
      <c r="H4" s="6" t="s">
        <v>177</v>
      </c>
      <c r="I4" s="6" t="str">
        <f>+VLOOKUP(C4,Tabla1[[#All],[Ticker]:[Moneda]],3,FALSE)</f>
        <v>USD</v>
      </c>
      <c r="J4">
        <f t="shared" si="0"/>
        <v>531.46079999999995</v>
      </c>
    </row>
    <row r="5" spans="1:10">
      <c r="A5" t="s">
        <v>179</v>
      </c>
      <c r="B5" s="6">
        <v>39592</v>
      </c>
      <c r="C5" s="6" t="s">
        <v>44</v>
      </c>
      <c r="D5" s="6" t="str">
        <f>+VLOOKUP(Tabla3[[#This Row],[Ticker]],Tabla1[[Ticker]:[Identificador]],4,FALSE)</f>
        <v>ITUB US Equity</v>
      </c>
      <c r="E5" s="6">
        <v>5705</v>
      </c>
      <c r="F5">
        <v>3.2699999999999999E-3</v>
      </c>
      <c r="G5">
        <f t="shared" si="1"/>
        <v>18.655349999999999</v>
      </c>
      <c r="H5" s="6" t="s">
        <v>177</v>
      </c>
      <c r="I5" s="6" t="str">
        <f>+VLOOKUP(C5,Tabla1[[#All],[Ticker]:[Moneda]],3,FALSE)</f>
        <v>USD</v>
      </c>
      <c r="J5">
        <f t="shared" si="0"/>
        <v>18.655349999999999</v>
      </c>
    </row>
    <row r="6" spans="1:10">
      <c r="A6" t="s">
        <v>180</v>
      </c>
      <c r="B6" s="6">
        <v>39592</v>
      </c>
      <c r="C6" s="6" t="s">
        <v>100</v>
      </c>
      <c r="D6" s="6" t="str">
        <f>+VLOOKUP(Tabla3[[#This Row],[Ticker]],Tabla1[[Ticker]:[Identificador]],4,FALSE)</f>
        <v>PFE US Equity</v>
      </c>
      <c r="E6" s="6">
        <v>3195</v>
      </c>
      <c r="F6">
        <v>0.43</v>
      </c>
      <c r="G6">
        <f t="shared" si="1"/>
        <v>1373.85</v>
      </c>
      <c r="H6" s="6" t="s">
        <v>177</v>
      </c>
      <c r="I6" s="6" t="str">
        <f>+VLOOKUP(C6,Tabla1[[#All],[Ticker]:[Moneda]],3,FALSE)</f>
        <v>USD</v>
      </c>
      <c r="J6">
        <f t="shared" si="0"/>
        <v>1373.85</v>
      </c>
    </row>
    <row r="7" spans="1:10">
      <c r="A7" t="s">
        <v>181</v>
      </c>
      <c r="B7" s="6">
        <v>39592</v>
      </c>
      <c r="C7" s="6" t="s">
        <v>68</v>
      </c>
      <c r="D7" s="6" t="str">
        <f>+VLOOKUP(Tabla3[[#This Row],[Ticker]],Tabla1[[Ticker]:[Identificador]],4,FALSE)</f>
        <v>KKR US Equity</v>
      </c>
      <c r="E7" s="6">
        <v>341</v>
      </c>
      <c r="F7">
        <v>0.185</v>
      </c>
      <c r="G7">
        <f t="shared" si="1"/>
        <v>63.085000000000001</v>
      </c>
      <c r="H7" s="6" t="s">
        <v>177</v>
      </c>
      <c r="I7" s="6" t="str">
        <f>+VLOOKUP(C7,Tabla1[[#All],[Ticker]:[Moneda]],3,FALSE)</f>
        <v>USD</v>
      </c>
      <c r="J7">
        <f t="shared" si="0"/>
        <v>63.085000000000001</v>
      </c>
    </row>
    <row r="8" spans="1:10">
      <c r="A8" t="s">
        <v>182</v>
      </c>
      <c r="B8" s="6">
        <v>39592</v>
      </c>
      <c r="C8" s="6" t="s">
        <v>62</v>
      </c>
      <c r="D8" s="6" t="str">
        <f>+VLOOKUP(Tabla3[[#This Row],[Ticker]],Tabla1[[Ticker]:[Identificador]],4,FALSE)</f>
        <v>PRU US Equity</v>
      </c>
      <c r="E8" s="6">
        <v>483</v>
      </c>
      <c r="F8">
        <v>1.35</v>
      </c>
      <c r="G8">
        <f t="shared" si="1"/>
        <v>652.05000000000007</v>
      </c>
      <c r="H8" s="6" t="s">
        <v>177</v>
      </c>
      <c r="I8" s="6" t="str">
        <f>+VLOOKUP(C8,Tabla1[[#All],[Ticker]:[Moneda]],3,FALSE)</f>
        <v>USD</v>
      </c>
      <c r="J8">
        <f t="shared" si="0"/>
        <v>652.05000000000007</v>
      </c>
    </row>
    <row r="9" spans="1:10">
      <c r="A9" t="s">
        <v>182</v>
      </c>
      <c r="B9" s="6">
        <v>39592</v>
      </c>
      <c r="C9" s="6" t="s">
        <v>44</v>
      </c>
      <c r="D9" s="6" t="str">
        <f>+VLOOKUP(Tabla3[[#This Row],[Ticker]],Tabla1[[Ticker]:[Identificador]],4,FALSE)</f>
        <v>ITUB US Equity</v>
      </c>
      <c r="E9" s="6">
        <v>5705</v>
      </c>
      <c r="F9">
        <v>3.29E-3</v>
      </c>
      <c r="G9">
        <f t="shared" si="1"/>
        <v>18.769449999999999</v>
      </c>
      <c r="H9" s="6" t="s">
        <v>177</v>
      </c>
      <c r="I9" s="6" t="str">
        <f>+VLOOKUP(C9,Tabla1[[#All],[Ticker]:[Moneda]],3,FALSE)</f>
        <v>USD</v>
      </c>
      <c r="J9">
        <f t="shared" si="0"/>
        <v>18.769449999999999</v>
      </c>
    </row>
    <row r="10" spans="1:10">
      <c r="A10" t="s">
        <v>183</v>
      </c>
      <c r="B10" s="6">
        <v>39592</v>
      </c>
      <c r="C10" s="6" t="s">
        <v>90</v>
      </c>
      <c r="D10" s="6" t="str">
        <f>+VLOOKUP(Tabla3[[#This Row],[Ticker]],Tabla1[[Ticker]:[Identificador]],4,FALSE)</f>
        <v>MINSURI1 pe Equity</v>
      </c>
      <c r="E10" s="6">
        <v>96030</v>
      </c>
      <c r="F10">
        <v>0.104058</v>
      </c>
      <c r="G10">
        <f t="shared" si="1"/>
        <v>9992.6897399999998</v>
      </c>
      <c r="H10" s="6" t="s">
        <v>177</v>
      </c>
      <c r="I10" s="6" t="str">
        <f>+VLOOKUP(C10,Tabla1[[#All],[Ticker]:[Moneda]],3,FALSE)</f>
        <v>PEN</v>
      </c>
      <c r="J10">
        <f t="shared" si="0"/>
        <v>33975.145116</v>
      </c>
    </row>
    <row r="11" spans="1:10">
      <c r="A11" t="s">
        <v>184</v>
      </c>
      <c r="B11" s="6">
        <v>39592</v>
      </c>
      <c r="C11" s="6" t="s">
        <v>94</v>
      </c>
      <c r="D11" s="6" t="str">
        <f>+VLOOKUP(Tabla3[[#This Row],[Ticker]],Tabla1[[Ticker]:[Identificador]],4,FALSE)</f>
        <v>BVN us Equity</v>
      </c>
      <c r="E11" s="6">
        <v>2612</v>
      </c>
      <c r="F11">
        <v>0.14460000000000001</v>
      </c>
      <c r="G11">
        <f t="shared" si="1"/>
        <v>377.6952</v>
      </c>
      <c r="H11" s="6" t="s">
        <v>177</v>
      </c>
      <c r="I11" s="6" t="str">
        <f>+VLOOKUP(C11,Tabla1[[#All],[Ticker]:[Moneda]],3,FALSE)</f>
        <v>USD</v>
      </c>
      <c r="J11">
        <f t="shared" si="0"/>
        <v>377.6952</v>
      </c>
    </row>
    <row r="12" spans="1:10">
      <c r="A12" t="s">
        <v>184</v>
      </c>
      <c r="B12" s="6">
        <v>39592</v>
      </c>
      <c r="C12" s="6" t="s">
        <v>94</v>
      </c>
      <c r="D12" s="6" t="str">
        <f>+VLOOKUP(Tabla3[[#This Row],[Ticker]],Tabla1[[Ticker]:[Identificador]],4,FALSE)</f>
        <v>BVN us Equity</v>
      </c>
      <c r="E12" s="6">
        <v>2000</v>
      </c>
      <c r="F12">
        <v>0.14460000000000001</v>
      </c>
      <c r="G12">
        <f t="shared" si="1"/>
        <v>289.2</v>
      </c>
      <c r="H12" s="6" t="s">
        <v>177</v>
      </c>
      <c r="I12" s="6" t="str">
        <f>+VLOOKUP(C12,Tabla1[[#All],[Ticker]:[Moneda]],3,FALSE)</f>
        <v>USD</v>
      </c>
      <c r="J12">
        <f t="shared" si="0"/>
        <v>289.2</v>
      </c>
    </row>
    <row r="13" spans="1:10">
      <c r="A13" t="s">
        <v>185</v>
      </c>
      <c r="B13" s="6">
        <v>39592</v>
      </c>
      <c r="C13" s="6" t="s">
        <v>118</v>
      </c>
      <c r="D13" s="6" t="str">
        <f>+VLOOKUP(Tabla3[[#This Row],[Ticker]],Tabla1[[Ticker]:[Identificador]],4,FALSE)</f>
        <v>JAVA US Equity</v>
      </c>
      <c r="E13" s="6">
        <v>1000</v>
      </c>
      <c r="F13">
        <v>0.2959</v>
      </c>
      <c r="G13">
        <f t="shared" si="1"/>
        <v>295.89999999999998</v>
      </c>
      <c r="H13" s="6" t="s">
        <v>177</v>
      </c>
      <c r="I13" s="6" t="str">
        <f>+VLOOKUP(C13,Tabla1[[#All],[Ticker]:[Moneda]],3,FALSE)</f>
        <v>USD</v>
      </c>
      <c r="J13">
        <f t="shared" si="0"/>
        <v>295.89999999999998</v>
      </c>
    </row>
    <row r="14" spans="1:10">
      <c r="A14" t="s">
        <v>185</v>
      </c>
      <c r="B14" s="6">
        <v>39592</v>
      </c>
      <c r="C14" s="6" t="s">
        <v>120</v>
      </c>
      <c r="D14" s="6" t="str">
        <f>+VLOOKUP(Tabla3[[#This Row],[Ticker]],Tabla1[[Ticker]:[Identificador]],4,FALSE)</f>
        <v>JDOC US Equity</v>
      </c>
      <c r="E14" s="6">
        <v>1500</v>
      </c>
      <c r="F14">
        <v>0.5121</v>
      </c>
      <c r="G14">
        <f t="shared" si="1"/>
        <v>768.15</v>
      </c>
      <c r="H14" s="6" t="s">
        <v>177</v>
      </c>
      <c r="I14" s="6" t="str">
        <f>+VLOOKUP(C14,Tabla1[[#All],[Ticker]:[Moneda]],3,FALSE)</f>
        <v>USD</v>
      </c>
      <c r="J14">
        <f t="shared" si="0"/>
        <v>768.15</v>
      </c>
    </row>
    <row r="15" spans="1:10">
      <c r="A15" t="s">
        <v>185</v>
      </c>
      <c r="B15" s="6">
        <v>39592</v>
      </c>
      <c r="C15" s="6" t="s">
        <v>66</v>
      </c>
      <c r="D15" s="6" t="str">
        <f>+VLOOKUP(Tabla3[[#This Row],[Ticker]],Tabla1[[Ticker]:[Identificador]],4,FALSE)</f>
        <v>UNH US Equity</v>
      </c>
      <c r="E15" s="6">
        <v>437</v>
      </c>
      <c r="F15">
        <v>2.21</v>
      </c>
      <c r="G15">
        <f t="shared" si="1"/>
        <v>965.77</v>
      </c>
      <c r="H15" s="6" t="s">
        <v>177</v>
      </c>
      <c r="I15" s="6" t="str">
        <f>+VLOOKUP(C15,Tabla1[[#All],[Ticker]:[Moneda]],3,FALSE)</f>
        <v>USD</v>
      </c>
      <c r="J15">
        <f t="shared" si="0"/>
        <v>965.77</v>
      </c>
    </row>
    <row r="16" spans="1:10">
      <c r="A16" t="s">
        <v>186</v>
      </c>
      <c r="B16" s="6">
        <v>39592</v>
      </c>
      <c r="C16" s="6" t="s">
        <v>76</v>
      </c>
      <c r="D16" s="6" t="str">
        <f>+VLOOKUP(Tabla3[[#This Row],[Ticker]],Tabla1[[Ticker]:[Identificador]],4,FALSE)</f>
        <v>EZU US Equity</v>
      </c>
      <c r="E16" s="6">
        <v>2391</v>
      </c>
      <c r="F16">
        <v>0.61006000000000005</v>
      </c>
      <c r="G16">
        <f t="shared" si="1"/>
        <v>1458.6534600000002</v>
      </c>
      <c r="H16" s="6" t="s">
        <v>177</v>
      </c>
      <c r="I16" s="6" t="str">
        <f>+VLOOKUP(C16,Tabla1[[#All],[Ticker]:[Moneda]],3,FALSE)</f>
        <v>USD</v>
      </c>
      <c r="J16">
        <f t="shared" si="0"/>
        <v>1458.6534600000002</v>
      </c>
    </row>
    <row r="17" spans="1:10">
      <c r="A17" t="s">
        <v>186</v>
      </c>
      <c r="B17" s="6">
        <v>39592</v>
      </c>
      <c r="C17" s="6" t="s">
        <v>102</v>
      </c>
      <c r="D17" s="6" t="str">
        <f>+VLOOKUP(Tabla3[[#This Row],[Ticker]],Tabla1[[Ticker]:[Identificador]],4,FALSE)</f>
        <v>EWQ US Equity</v>
      </c>
      <c r="E17" s="6">
        <v>1839</v>
      </c>
      <c r="F17">
        <v>0.22808</v>
      </c>
      <c r="G17">
        <f t="shared" si="1"/>
        <v>419.43912</v>
      </c>
      <c r="H17" s="6" t="s">
        <v>177</v>
      </c>
      <c r="I17" s="6" t="str">
        <f>+VLOOKUP(C17,Tabla1[[#All],[Ticker]:[Moneda]],3,FALSE)</f>
        <v>USD</v>
      </c>
      <c r="J17">
        <f t="shared" si="0"/>
        <v>419.43912</v>
      </c>
    </row>
    <row r="18" spans="1:10">
      <c r="A18" t="s">
        <v>186</v>
      </c>
      <c r="B18" s="6">
        <v>39592</v>
      </c>
      <c r="C18" s="6" t="s">
        <v>64</v>
      </c>
      <c r="D18" s="6" t="str">
        <f>+VLOOKUP(Tabla3[[#This Row],[Ticker]],Tabla1[[Ticker]:[Identificador]],4,FALSE)</f>
        <v>EWP US Equity</v>
      </c>
      <c r="E18" s="6">
        <v>1031</v>
      </c>
      <c r="F18">
        <v>0.74036999999999997</v>
      </c>
      <c r="G18">
        <f t="shared" si="1"/>
        <v>763.32146999999998</v>
      </c>
      <c r="H18" s="6" t="s">
        <v>177</v>
      </c>
      <c r="I18" s="6" t="str">
        <f>+VLOOKUP(C18,Tabla1[[#All],[Ticker]:[Moneda]],3,FALSE)</f>
        <v>USD</v>
      </c>
      <c r="J18">
        <f t="shared" si="0"/>
        <v>763.32146999999998</v>
      </c>
    </row>
    <row r="19" spans="1:10">
      <c r="A19" t="s">
        <v>186</v>
      </c>
      <c r="B19" s="6">
        <v>39592</v>
      </c>
      <c r="C19" s="6" t="s">
        <v>114</v>
      </c>
      <c r="D19" s="6" t="str">
        <f>+VLOOKUP(Tabla3[[#This Row],[Ticker]],Tabla1[[Ticker]:[Identificador]],4,FALSE)</f>
        <v>ICLN US Equity</v>
      </c>
      <c r="E19" s="6">
        <v>4702</v>
      </c>
      <c r="F19">
        <v>0.12820000000000001</v>
      </c>
      <c r="G19">
        <f t="shared" si="1"/>
        <v>602.79640000000006</v>
      </c>
      <c r="H19" s="6" t="s">
        <v>177</v>
      </c>
      <c r="I19" s="6" t="str">
        <f>+VLOOKUP(C19,Tabla1[[#All],[Ticker]:[Moneda]],3,FALSE)</f>
        <v>USD</v>
      </c>
      <c r="J19">
        <f t="shared" si="0"/>
        <v>602.79640000000006</v>
      </c>
    </row>
    <row r="20" spans="1:10">
      <c r="A20" t="s">
        <v>186</v>
      </c>
      <c r="B20" s="6">
        <v>39592</v>
      </c>
      <c r="C20" s="6" t="s">
        <v>74</v>
      </c>
      <c r="D20" s="6" t="str">
        <f>+VLOOKUP(Tabla3[[#This Row],[Ticker]],Tabla1[[Ticker]:[Identificador]],4,FALSE)</f>
        <v>EUFN US Equity</v>
      </c>
      <c r="E20" s="6">
        <v>4135</v>
      </c>
      <c r="F20">
        <v>0.51563999999999999</v>
      </c>
      <c r="G20">
        <f t="shared" si="1"/>
        <v>2132.1713999999997</v>
      </c>
      <c r="H20" s="6" t="s">
        <v>177</v>
      </c>
      <c r="I20" s="6" t="str">
        <f>+VLOOKUP(C20,Tabla1[[#All],[Ticker]:[Moneda]],3,FALSE)</f>
        <v>USD</v>
      </c>
      <c r="J20">
        <f t="shared" si="0"/>
        <v>2132.1713999999997</v>
      </c>
    </row>
    <row r="21" spans="1:10">
      <c r="A21" t="s">
        <v>186</v>
      </c>
      <c r="B21" s="6">
        <v>39592</v>
      </c>
      <c r="C21" s="6" t="s">
        <v>86</v>
      </c>
      <c r="D21" s="6" t="str">
        <f>+VLOOKUP(Tabla3[[#This Row],[Ticker]],Tabla1[[Ticker]:[Identificador]],4,FALSE)</f>
        <v>TCHI US Equity</v>
      </c>
      <c r="E21" s="6">
        <v>5252</v>
      </c>
      <c r="F21">
        <v>0.46153</v>
      </c>
      <c r="G21">
        <f t="shared" si="1"/>
        <v>2423.9555599999999</v>
      </c>
      <c r="H21" s="6" t="s">
        <v>177</v>
      </c>
      <c r="I21" s="6" t="str">
        <f>+VLOOKUP(C21,Tabla1[[#All],[Ticker]:[Moneda]],3,FALSE)</f>
        <v>USD</v>
      </c>
      <c r="J21">
        <f t="shared" si="0"/>
        <v>2423.9555599999999</v>
      </c>
    </row>
    <row r="22" spans="1:10">
      <c r="A22" t="s">
        <v>186</v>
      </c>
      <c r="B22" s="6">
        <v>39592</v>
      </c>
      <c r="C22" s="6" t="s">
        <v>46</v>
      </c>
      <c r="D22" s="6" t="str">
        <f>+VLOOKUP(Tabla3[[#This Row],[Ticker]],Tabla1[[Ticker]:[Identificador]],4,FALSE)</f>
        <v>EEM US Equity</v>
      </c>
      <c r="E22" s="6">
        <v>4425</v>
      </c>
      <c r="F22">
        <v>0.76326000000000005</v>
      </c>
      <c r="G22">
        <f t="shared" si="1"/>
        <v>3377.4255000000003</v>
      </c>
      <c r="H22" s="6" t="s">
        <v>177</v>
      </c>
      <c r="I22" s="6" t="str">
        <f>+VLOOKUP(C22,Tabla1[[#All],[Ticker]:[Moneda]],3,FALSE)</f>
        <v>USD</v>
      </c>
      <c r="J22">
        <f t="shared" si="0"/>
        <v>3377.4255000000003</v>
      </c>
    </row>
    <row r="23" spans="1:10">
      <c r="A23" t="s">
        <v>187</v>
      </c>
      <c r="B23" s="6">
        <v>39592</v>
      </c>
      <c r="C23" s="6" t="s">
        <v>50</v>
      </c>
      <c r="D23" s="6" t="str">
        <f>+VLOOKUP(Tabla3[[#This Row],[Ticker]],Tabla1[[Ticker]:[Identificador]],4,FALSE)</f>
        <v>XLY US Equity</v>
      </c>
      <c r="E23" s="6">
        <v>1104</v>
      </c>
      <c r="F23">
        <v>0.24084</v>
      </c>
      <c r="G23">
        <f t="shared" si="1"/>
        <v>265.88736</v>
      </c>
      <c r="H23" s="6" t="s">
        <v>177</v>
      </c>
      <c r="I23" s="6" t="str">
        <f>+VLOOKUP(C23,Tabla1[[#All],[Ticker]:[Moneda]],3,FALSE)</f>
        <v>USD</v>
      </c>
      <c r="J23">
        <f t="shared" si="0"/>
        <v>265.88736</v>
      </c>
    </row>
    <row r="24" spans="1:10">
      <c r="A24" t="s">
        <v>187</v>
      </c>
      <c r="B24" s="6">
        <v>39592</v>
      </c>
      <c r="C24" s="6" t="s">
        <v>48</v>
      </c>
      <c r="D24" s="6" t="str">
        <f>+VLOOKUP(Tabla3[[#This Row],[Ticker]],Tabla1[[Ticker]:[Identificador]],4,FALSE)</f>
        <v>XLI US Equity</v>
      </c>
      <c r="E24" s="6">
        <v>526</v>
      </c>
      <c r="F24">
        <v>0.53159999999999996</v>
      </c>
      <c r="G24">
        <f t="shared" si="1"/>
        <v>279.6216</v>
      </c>
      <c r="H24" s="6" t="s">
        <v>177</v>
      </c>
      <c r="I24" s="6" t="str">
        <f>+VLOOKUP(C24,Tabla1[[#All],[Ticker]:[Moneda]],3,FALSE)</f>
        <v>USD</v>
      </c>
      <c r="J24">
        <f t="shared" si="0"/>
        <v>279.6216</v>
      </c>
    </row>
    <row r="25" spans="1:10">
      <c r="A25" t="s">
        <v>187</v>
      </c>
      <c r="B25" s="6">
        <v>39592</v>
      </c>
      <c r="C25" s="6" t="s">
        <v>52</v>
      </c>
      <c r="D25" s="6" t="str">
        <f>+VLOOKUP(Tabla3[[#This Row],[Ticker]],Tabla1[[Ticker]:[Identificador]],4,FALSE)</f>
        <v>XLU US Equity</v>
      </c>
      <c r="E25" s="6">
        <v>3000</v>
      </c>
      <c r="F25">
        <v>0.31720999999999999</v>
      </c>
      <c r="G25">
        <f t="shared" si="1"/>
        <v>951.63</v>
      </c>
      <c r="H25" s="6" t="s">
        <v>177</v>
      </c>
      <c r="I25" s="6" t="str">
        <f>+VLOOKUP(C25,Tabla1[[#All],[Ticker]:[Moneda]],3,FALSE)</f>
        <v>USD</v>
      </c>
      <c r="J25">
        <f t="shared" si="0"/>
        <v>951.63</v>
      </c>
    </row>
    <row r="26" spans="1:10">
      <c r="A26" t="s">
        <v>188</v>
      </c>
      <c r="B26" s="6">
        <v>39592</v>
      </c>
      <c r="C26" s="6" t="s">
        <v>88</v>
      </c>
      <c r="D26" s="6" t="str">
        <f>+VLOOKUP(Tabla3[[#This Row],[Ticker]],Tabla1[[Ticker]:[Identificador]],4,FALSE)</f>
        <v>CQQQ US Equity</v>
      </c>
      <c r="E26" s="6">
        <v>679</v>
      </c>
      <c r="F26">
        <v>1.12616</v>
      </c>
      <c r="G26">
        <f t="shared" si="1"/>
        <v>764.66264000000001</v>
      </c>
      <c r="H26" s="6" t="s">
        <v>177</v>
      </c>
      <c r="I26" s="6" t="str">
        <f>+VLOOKUP(C26,Tabla1[[#All],[Ticker]:[Moneda]],3,FALSE)</f>
        <v>USD</v>
      </c>
      <c r="J26">
        <f t="shared" si="0"/>
        <v>764.66264000000001</v>
      </c>
    </row>
    <row r="27" spans="1:10">
      <c r="A27" t="s">
        <v>221</v>
      </c>
      <c r="B27" s="6">
        <v>39592</v>
      </c>
      <c r="C27" s="6" t="s">
        <v>82</v>
      </c>
      <c r="D27" s="6" t="str">
        <f>+VLOOKUP(Tabla3[[#This Row],[Ticker]],Tabla1[[Ticker]:[Identificador]],4,FALSE)</f>
        <v>FERREYC1 pe Equity</v>
      </c>
      <c r="E27" s="6">
        <v>103492</v>
      </c>
      <c r="F27">
        <v>0.105701</v>
      </c>
      <c r="G27">
        <f>+E27*F27</f>
        <v>10939.207892</v>
      </c>
      <c r="H27" s="6" t="s">
        <v>205</v>
      </c>
      <c r="I27" s="6" t="str">
        <f>+VLOOKUP(C27,Tabla1[[#All],[Ticker]:[Moneda]],3,FALSE)</f>
        <v>PEN</v>
      </c>
      <c r="J27">
        <f>+IF(H27=I27,G27,G27*3.4)</f>
        <v>10939.207892</v>
      </c>
    </row>
    <row r="28" spans="1:10">
      <c r="A28" t="s">
        <v>221</v>
      </c>
      <c r="B28" s="6">
        <v>39592</v>
      </c>
      <c r="C28" s="6" t="s">
        <v>70</v>
      </c>
      <c r="D28" s="6" t="str">
        <f>+VLOOKUP(Tabla3[[#This Row],[Ticker]],Tabla1[[Ticker]:[Identificador]],4,FALSE)</f>
        <v>KMB US Equity</v>
      </c>
      <c r="E28" s="6">
        <v>402</v>
      </c>
      <c r="F28">
        <v>1.26</v>
      </c>
      <c r="G28">
        <f t="shared" ref="G28:G31" si="2">+E28*F28</f>
        <v>506.52</v>
      </c>
      <c r="H28" s="6" t="s">
        <v>177</v>
      </c>
      <c r="I28" s="6" t="str">
        <f>+VLOOKUP(C28,Tabla1[[#All],[Ticker]:[Moneda]],3,FALSE)</f>
        <v>USD</v>
      </c>
      <c r="J28">
        <f t="shared" ref="J28:J31" si="3">+IF(H28=I28,G28,G28*3.4)</f>
        <v>506.52</v>
      </c>
    </row>
    <row r="29" spans="1:10">
      <c r="A29" t="s">
        <v>222</v>
      </c>
      <c r="B29" s="6">
        <v>39592</v>
      </c>
      <c r="C29" s="6" t="s">
        <v>58</v>
      </c>
      <c r="D29" s="6" t="str">
        <f>+VLOOKUP(Tabla3[[#This Row],[Ticker]],Tabla1[[Ticker]:[Identificador]],4,FALSE)</f>
        <v>FDX US Equity</v>
      </c>
      <c r="E29" s="6">
        <v>218</v>
      </c>
      <c r="F29">
        <v>1.45</v>
      </c>
      <c r="G29">
        <f t="shared" si="2"/>
        <v>316.09999999999997</v>
      </c>
      <c r="H29" s="6" t="s">
        <v>177</v>
      </c>
      <c r="I29" s="6" t="str">
        <f>+VLOOKUP(C29,Tabla1[[#All],[Ticker]:[Moneda]],3,FALSE)</f>
        <v>USD</v>
      </c>
      <c r="J29">
        <f t="shared" si="3"/>
        <v>316.09999999999997</v>
      </c>
    </row>
    <row r="30" spans="1:10">
      <c r="A30" t="s">
        <v>222</v>
      </c>
      <c r="B30" s="6">
        <v>39592</v>
      </c>
      <c r="C30" s="6" t="s">
        <v>44</v>
      </c>
      <c r="D30" s="6" t="str">
        <f>+VLOOKUP(Tabla3[[#This Row],[Ticker]],Tabla1[[Ticker]:[Identificador]],4,FALSE)</f>
        <v>ITUB US Equity</v>
      </c>
      <c r="E30" s="6">
        <v>5705</v>
      </c>
      <c r="F30">
        <v>3.2299999999999998E-3</v>
      </c>
      <c r="G30">
        <f t="shared" si="2"/>
        <v>18.427149999999997</v>
      </c>
      <c r="H30" s="6" t="s">
        <v>177</v>
      </c>
      <c r="I30" s="6" t="str">
        <f>+VLOOKUP(C30,Tabla1[[#All],[Ticker]:[Moneda]],3,FALSE)</f>
        <v>USD</v>
      </c>
      <c r="J30">
        <f t="shared" si="3"/>
        <v>18.427149999999997</v>
      </c>
    </row>
    <row r="31" spans="1:10">
      <c r="A31" s="80" t="s">
        <v>222</v>
      </c>
      <c r="B31" s="6">
        <v>39592</v>
      </c>
      <c r="C31" s="6" t="s">
        <v>110</v>
      </c>
      <c r="D31" s="6" t="str">
        <f>+VLOOKUP(Tabla3[[#This Row],[Ticker]],Tabla1[[Ticker]:[Identificador]],4,FALSE)</f>
        <v>DIS US Equity</v>
      </c>
      <c r="E31" s="6">
        <v>752</v>
      </c>
      <c r="F31">
        <v>0.75</v>
      </c>
      <c r="G31">
        <f t="shared" si="2"/>
        <v>564</v>
      </c>
      <c r="H31" s="6" t="s">
        <v>177</v>
      </c>
      <c r="I31" s="6" t="str">
        <f>+VLOOKUP(C31,Tabla1[[#All],[Ticker]:[Moneda]],3,FALSE)</f>
        <v>USD</v>
      </c>
      <c r="J31">
        <f t="shared" si="3"/>
        <v>564</v>
      </c>
    </row>
    <row r="32" spans="1:10">
      <c r="A32" s="80">
        <v>46071</v>
      </c>
      <c r="B32" s="6">
        <v>39592</v>
      </c>
      <c r="C32" s="6" t="s">
        <v>116</v>
      </c>
      <c r="D32" s="6" t="str">
        <f>+VLOOKUP(Tabla3[[#This Row],[Ticker]],Tabla1[[Ticker]:[Identificador]],4,FALSE)</f>
        <v>ORYGENC1 pe Equity</v>
      </c>
      <c r="E32" s="6">
        <v>48829</v>
      </c>
      <c r="F32">
        <v>0.110892</v>
      </c>
      <c r="G32">
        <f t="shared" ref="G32" si="4">+E32*F32</f>
        <v>5414.7454680000001</v>
      </c>
      <c r="H32" s="6" t="s">
        <v>205</v>
      </c>
      <c r="I32" s="6" t="str">
        <f>+VLOOKUP(C32,Tabla1[[#All],[Ticker]:[Moneda]],3,FALSE)</f>
        <v>PEN</v>
      </c>
      <c r="J32">
        <f t="shared" ref="J32" si="5">+IF(H32=I32,G32,G32*3.4)</f>
        <v>5414.7454680000001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Intro</vt:lpstr>
      <vt:lpstr>Portada RV</vt:lpstr>
      <vt:lpstr>P&amp;L Total</vt:lpstr>
      <vt:lpstr>Stock</vt:lpstr>
      <vt:lpstr>DATA</vt:lpstr>
      <vt:lpstr>BP</vt:lpstr>
      <vt:lpstr>Hoja1</vt:lpstr>
      <vt:lpstr>Compras</vt:lpstr>
      <vt:lpstr>Ventas</vt:lpstr>
      <vt:lpstr>Cerradas</vt:lpstr>
      <vt:lpstr>Dividendos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Mendoza Vasquez</dc:creator>
  <cp:keywords/>
  <dc:description/>
  <cp:lastModifiedBy>Joshep Andru Ortega Ramos</cp:lastModifiedBy>
  <cp:revision/>
  <dcterms:created xsi:type="dcterms:W3CDTF">2015-06-05T18:19:34Z</dcterms:created>
  <dcterms:modified xsi:type="dcterms:W3CDTF">2026-03-11T22:14:57Z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